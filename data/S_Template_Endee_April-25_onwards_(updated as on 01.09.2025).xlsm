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hendra_Mandavkar\Mahendra\Mahendra's Folder\mgmTools\mgm9\"/>
    </mc:Choice>
  </mc:AlternateContent>
  <xr:revisionPtr revIDLastSave="0" documentId="13_ncr:1_{A4E2DD3B-B44D-4391-8CEF-6D5D370EDE40}" xr6:coauthVersionLast="47" xr6:coauthVersionMax="47" xr10:uidLastSave="{00000000-0000-0000-0000-000000000000}"/>
  <bookViews>
    <workbookView xWindow="-108" yWindow="-108" windowWidth="23256" windowHeight="12456" firstSheet="2" activeTab="5" xr2:uid="{B665B99F-8B4E-4CFE-A212-3EC57AD2D85F}"/>
  </bookViews>
  <sheets>
    <sheet name="Salary_Slip_Print_Mass" sheetId="11" r:id="rId1"/>
    <sheet name="Salary_Slip_Print_Single" sheetId="3" r:id="rId2"/>
    <sheet name="Salary_Master" sheetId="49" r:id="rId3"/>
    <sheet name="Salary_Master_1" sheetId="56" r:id="rId4"/>
    <sheet name="Salary_Master_2" sheetId="57" r:id="rId5"/>
    <sheet name="Apr'25" sheetId="41" r:id="rId6"/>
    <sheet name="May'25" sheetId="43" r:id="rId7"/>
    <sheet name="Increment" sheetId="45" state="hidden" r:id="rId8"/>
    <sheet name="Jun'25" sheetId="44" r:id="rId9"/>
    <sheet name="Jul'25" sheetId="46" r:id="rId10"/>
    <sheet name="Aug'25" sheetId="47" r:id="rId11"/>
    <sheet name="Sep'25" sheetId="48" r:id="rId12"/>
    <sheet name="Oct'25" sheetId="50" state="hidden" r:id="rId13"/>
    <sheet name="Nov'25" sheetId="51" state="hidden" r:id="rId14"/>
    <sheet name="Dec'25" sheetId="52" state="hidden" r:id="rId15"/>
    <sheet name="Jan'26" sheetId="53" state="hidden" r:id="rId16"/>
    <sheet name="Feb'26" sheetId="54" state="hidden" r:id="rId17"/>
    <sheet name="Mar'26" sheetId="55" state="hidden" r:id="rId18"/>
    <sheet name="Annual_Report" sheetId="40" state="hidden" r:id="rId19"/>
  </sheets>
  <functionGroups builtInGroupCount="19"/>
  <definedNames>
    <definedName name="_xlnm._FilterDatabase" localSheetId="7" hidden="1">Increment!$A$4:$B$34</definedName>
    <definedName name="_xlnm._FilterDatabase" localSheetId="2" hidden="1">Salary_Master!$A$4:$AI$34</definedName>
    <definedName name="_xlnm._FilterDatabase" localSheetId="3" hidden="1">Salary_Master_1!$A$4:$AI$34</definedName>
    <definedName name="_xlnm._FilterDatabase" localSheetId="4" hidden="1">Salary_Master_2!$A$4:$AI$34</definedName>
    <definedName name="_xleta.IF" hidden="1" xlm="1">#NAME?</definedName>
    <definedName name="_xleta.N" hidden="1" xlm="1">#NAME?</definedName>
    <definedName name="Aprr25">'Apr''25'!$B$5:$AT$39</definedName>
    <definedName name="Augg25">'Aug''25'!$B$5:$AT$39</definedName>
    <definedName name="Decc25">'Dec''25'!$B$5:$AT$39</definedName>
    <definedName name="DynPrint">OFFSET(Salary_Slip_Print_Mass!$A$2,0,0,COUNTA(Salary_Slip_Print_Mass!$K:$K),9)</definedName>
    <definedName name="Febb26">'Feb''26'!$B$5:$AT$39</definedName>
    <definedName name="Increment">Increment!$B$5:$B$34</definedName>
    <definedName name="Jann26">'Jan''26'!$B$5:$AT$39</definedName>
    <definedName name="Jull25">'Jul''25'!$B$5:$AT$39</definedName>
    <definedName name="Junn25">'Jun''25'!$B$5:$AT$39</definedName>
    <definedName name="Marr26">'Mar''26'!$B$5:$AT$39</definedName>
    <definedName name="Mayy25">'May''25'!$B$5:$AT$39</definedName>
    <definedName name="Novv25">'Nov''25'!$B$5:$AT$39</definedName>
    <definedName name="Octt25">'Oct''25'!$B$5:$AT$39</definedName>
    <definedName name="_xlnm.Print_Area" localSheetId="0">Salary_Slip_Print_Mass!$A$2:$K$1081</definedName>
    <definedName name="_xlnm.Print_Area" localSheetId="1">Salary_Slip_Print_Single!$A$2:$K$36</definedName>
    <definedName name="Salary_Master">Salary_Master!$B$5:$AK$34</definedName>
    <definedName name="Salary_Master_1">Salary_Master_1!$B$5:$AK$34</definedName>
    <definedName name="Salary_Master_2">Salary_Master_2!$B$5:$AK$34</definedName>
    <definedName name="Sepp25">'Sep''25'!$B$5:$AT$39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3" l="1"/>
  <c r="B11" i="3"/>
  <c r="E10" i="3"/>
  <c r="B10" i="3"/>
  <c r="E9" i="3"/>
  <c r="B9" i="3"/>
  <c r="B7" i="3"/>
  <c r="B1052" i="11"/>
  <c r="B1056" i="11" s="1"/>
  <c r="B1016" i="11"/>
  <c r="B1020" i="11" s="1"/>
  <c r="S6" i="46"/>
  <c r="S7" i="46"/>
  <c r="S8" i="46"/>
  <c r="W8" i="46" s="1"/>
  <c r="S9" i="46"/>
  <c r="S10" i="46"/>
  <c r="S11" i="46"/>
  <c r="S12" i="46"/>
  <c r="T12" i="46" s="1"/>
  <c r="X12" i="46" s="1"/>
  <c r="S13" i="46"/>
  <c r="T13" i="46" s="1"/>
  <c r="X13" i="46" s="1"/>
  <c r="S14" i="46"/>
  <c r="S15" i="46"/>
  <c r="S16" i="46"/>
  <c r="S17" i="46"/>
  <c r="S18" i="46"/>
  <c r="S19" i="46"/>
  <c r="S20" i="46"/>
  <c r="S21" i="46"/>
  <c r="W21" i="46" s="1"/>
  <c r="S22" i="46"/>
  <c r="S23" i="46"/>
  <c r="S24" i="46"/>
  <c r="W24" i="46" s="1"/>
  <c r="S25" i="46"/>
  <c r="W25" i="46" s="1"/>
  <c r="S26" i="46"/>
  <c r="S27" i="46"/>
  <c r="S28" i="46"/>
  <c r="W28" i="46" s="1"/>
  <c r="S29" i="46"/>
  <c r="W29" i="46" s="1"/>
  <c r="S30" i="46"/>
  <c r="S31" i="46"/>
  <c r="S32" i="46"/>
  <c r="T32" i="46" s="1"/>
  <c r="X32" i="46" s="1"/>
  <c r="S33" i="46"/>
  <c r="W33" i="46" s="1"/>
  <c r="S34" i="46"/>
  <c r="S35" i="46"/>
  <c r="S36" i="46"/>
  <c r="T36" i="46" s="1"/>
  <c r="X36" i="46" s="1"/>
  <c r="S37" i="46"/>
  <c r="W37" i="46" s="1"/>
  <c r="S38" i="46"/>
  <c r="S39" i="46"/>
  <c r="W17" i="46"/>
  <c r="W9" i="46"/>
  <c r="S5" i="46"/>
  <c r="X30" i="46"/>
  <c r="Y6" i="46"/>
  <c r="Y7" i="46"/>
  <c r="Y8" i="46"/>
  <c r="Y9" i="46"/>
  <c r="Y10" i="46"/>
  <c r="Y11" i="46"/>
  <c r="Y12" i="46"/>
  <c r="Y13" i="46"/>
  <c r="Y14" i="46"/>
  <c r="Y15" i="46"/>
  <c r="Y16" i="46"/>
  <c r="Y17" i="46"/>
  <c r="Y18" i="46"/>
  <c r="Y19" i="46"/>
  <c r="Y20" i="46"/>
  <c r="Y21" i="46"/>
  <c r="Y24" i="46"/>
  <c r="Y25" i="46"/>
  <c r="Y26" i="46"/>
  <c r="Y27" i="46"/>
  <c r="Y28" i="46"/>
  <c r="Y29" i="46"/>
  <c r="Y30" i="46"/>
  <c r="Y31" i="46"/>
  <c r="Y33" i="46"/>
  <c r="Y34" i="46"/>
  <c r="Y35" i="46"/>
  <c r="Y36" i="46"/>
  <c r="Y37" i="46"/>
  <c r="Y38" i="46"/>
  <c r="Y39" i="46"/>
  <c r="Y5" i="46"/>
  <c r="Z6" i="46"/>
  <c r="Z7" i="46"/>
  <c r="Z8" i="46"/>
  <c r="Z9" i="46"/>
  <c r="Z10" i="46"/>
  <c r="Z11" i="46"/>
  <c r="Z12" i="46"/>
  <c r="Z13" i="46"/>
  <c r="Z14" i="46"/>
  <c r="Z15" i="46"/>
  <c r="Z16" i="46"/>
  <c r="Z17" i="46"/>
  <c r="Z18" i="46"/>
  <c r="Z19" i="46"/>
  <c r="Z20" i="46"/>
  <c r="Z21" i="46"/>
  <c r="Z22" i="46"/>
  <c r="Z23" i="46"/>
  <c r="Z24" i="46"/>
  <c r="Z25" i="46"/>
  <c r="Z26" i="46"/>
  <c r="Z27" i="46"/>
  <c r="Z28" i="46"/>
  <c r="Z29" i="46"/>
  <c r="Z30" i="46"/>
  <c r="Z32" i="46"/>
  <c r="Z33" i="46"/>
  <c r="Z34" i="46"/>
  <c r="Z35" i="46"/>
  <c r="Z36" i="46"/>
  <c r="Z37" i="46"/>
  <c r="Z38" i="46"/>
  <c r="Z39" i="46"/>
  <c r="Z5" i="46"/>
  <c r="W34" i="46"/>
  <c r="W35" i="46"/>
  <c r="W36" i="46"/>
  <c r="W38" i="46"/>
  <c r="W39" i="46"/>
  <c r="W32" i="46"/>
  <c r="W30" i="46"/>
  <c r="W27" i="46"/>
  <c r="W26" i="46"/>
  <c r="W23" i="46"/>
  <c r="W22" i="46"/>
  <c r="W20" i="46"/>
  <c r="W19" i="46"/>
  <c r="W18" i="46"/>
  <c r="W16" i="46"/>
  <c r="W15" i="46"/>
  <c r="W14" i="46"/>
  <c r="W11" i="46"/>
  <c r="W10" i="46"/>
  <c r="W7" i="46"/>
  <c r="W6" i="46"/>
  <c r="W5" i="46"/>
  <c r="U5" i="46"/>
  <c r="T6" i="46"/>
  <c r="X6" i="46" s="1"/>
  <c r="U6" i="46"/>
  <c r="T7" i="46"/>
  <c r="X7" i="46" s="1"/>
  <c r="U7" i="46"/>
  <c r="U8" i="46"/>
  <c r="U9" i="46"/>
  <c r="T10" i="46"/>
  <c r="X10" i="46" s="1"/>
  <c r="U10" i="46"/>
  <c r="T11" i="46"/>
  <c r="X11" i="46" s="1"/>
  <c r="U11" i="46"/>
  <c r="U12" i="46"/>
  <c r="U13" i="46"/>
  <c r="T14" i="46"/>
  <c r="X14" i="46" s="1"/>
  <c r="U14" i="46"/>
  <c r="T15" i="46"/>
  <c r="X15" i="46" s="1"/>
  <c r="U15" i="46"/>
  <c r="T16" i="46"/>
  <c r="X16" i="46" s="1"/>
  <c r="U16" i="46"/>
  <c r="U17" i="46"/>
  <c r="T18" i="46"/>
  <c r="X18" i="46" s="1"/>
  <c r="U18" i="46"/>
  <c r="T19" i="46"/>
  <c r="X19" i="46" s="1"/>
  <c r="U19" i="46"/>
  <c r="T20" i="46"/>
  <c r="X20" i="46" s="1"/>
  <c r="U20" i="46"/>
  <c r="U21" i="46"/>
  <c r="T22" i="46"/>
  <c r="X22" i="46" s="1"/>
  <c r="U22" i="46"/>
  <c r="T23" i="46"/>
  <c r="X23" i="46" s="1"/>
  <c r="U23" i="46"/>
  <c r="U24" i="46"/>
  <c r="T25" i="46"/>
  <c r="X25" i="46" s="1"/>
  <c r="U25" i="46"/>
  <c r="T26" i="46"/>
  <c r="X26" i="46" s="1"/>
  <c r="U26" i="46"/>
  <c r="T27" i="46"/>
  <c r="X27" i="46" s="1"/>
  <c r="U27" i="46"/>
  <c r="U28" i="46"/>
  <c r="T29" i="46"/>
  <c r="X29" i="46" s="1"/>
  <c r="U29" i="46"/>
  <c r="T30" i="46"/>
  <c r="U30" i="46"/>
  <c r="U31" i="46"/>
  <c r="Z31" i="46" s="1"/>
  <c r="U32" i="46"/>
  <c r="U33" i="46"/>
  <c r="T34" i="46"/>
  <c r="X34" i="46" s="1"/>
  <c r="U34" i="46"/>
  <c r="T35" i="46"/>
  <c r="X35" i="46" s="1"/>
  <c r="U35" i="46"/>
  <c r="U36" i="46"/>
  <c r="U37" i="46"/>
  <c r="T38" i="46"/>
  <c r="X38" i="46" s="1"/>
  <c r="U38" i="46"/>
  <c r="T39" i="46"/>
  <c r="X39" i="46" s="1"/>
  <c r="U39" i="46"/>
  <c r="T5" i="46"/>
  <c r="X5" i="46" s="1"/>
  <c r="B980" i="11"/>
  <c r="B944" i="11"/>
  <c r="B908" i="11"/>
  <c r="B872" i="11"/>
  <c r="B836" i="11"/>
  <c r="B800" i="11"/>
  <c r="B764" i="11"/>
  <c r="B728" i="11"/>
  <c r="B692" i="11"/>
  <c r="B656" i="11"/>
  <c r="B620" i="11"/>
  <c r="B584" i="11"/>
  <c r="B548" i="11"/>
  <c r="B512" i="11"/>
  <c r="B476" i="11"/>
  <c r="B44" i="11"/>
  <c r="B440" i="11"/>
  <c r="B296" i="11"/>
  <c r="B152" i="11"/>
  <c r="B80" i="11"/>
  <c r="B8" i="11"/>
  <c r="B404" i="11"/>
  <c r="B332" i="11"/>
  <c r="B260" i="11"/>
  <c r="B188" i="11"/>
  <c r="B116" i="11"/>
  <c r="B368" i="11"/>
  <c r="B224" i="11"/>
  <c r="B1015" i="11" l="1"/>
  <c r="B1019" i="11"/>
  <c r="B1051" i="11"/>
  <c r="B1017" i="11"/>
  <c r="B1018" i="11"/>
  <c r="B1054" i="11"/>
  <c r="B228" i="11"/>
  <c r="E225" i="11"/>
  <c r="E226" i="11"/>
  <c r="B223" i="11"/>
  <c r="B225" i="11"/>
  <c r="B226" i="11"/>
  <c r="B227" i="11"/>
  <c r="B372" i="11"/>
  <c r="E369" i="11"/>
  <c r="E370" i="11"/>
  <c r="B367" i="11"/>
  <c r="B370" i="11"/>
  <c r="B369" i="11"/>
  <c r="B371" i="11"/>
  <c r="B120" i="11"/>
  <c r="E117" i="11"/>
  <c r="B117" i="11"/>
  <c r="E118" i="11"/>
  <c r="B118" i="11"/>
  <c r="B119" i="11"/>
  <c r="B115" i="11"/>
  <c r="B192" i="11"/>
  <c r="E189" i="11"/>
  <c r="B189" i="11"/>
  <c r="B187" i="11"/>
  <c r="B190" i="11"/>
  <c r="B191" i="11"/>
  <c r="E190" i="11"/>
  <c r="B264" i="11"/>
  <c r="E261" i="11"/>
  <c r="B261" i="11"/>
  <c r="B263" i="11"/>
  <c r="E262" i="11"/>
  <c r="B259" i="11"/>
  <c r="B262" i="11"/>
  <c r="B336" i="11"/>
  <c r="E333" i="11"/>
  <c r="B333" i="11"/>
  <c r="E334" i="11"/>
  <c r="B334" i="11"/>
  <c r="B335" i="11"/>
  <c r="B331" i="11"/>
  <c r="B408" i="11"/>
  <c r="E405" i="11"/>
  <c r="B405" i="11"/>
  <c r="B403" i="11"/>
  <c r="B407" i="11"/>
  <c r="E406" i="11"/>
  <c r="B406" i="11"/>
  <c r="B12" i="11"/>
  <c r="E9" i="11"/>
  <c r="E10" i="11"/>
  <c r="B7" i="11"/>
  <c r="B11" i="11"/>
  <c r="B10" i="11"/>
  <c r="B9" i="11"/>
  <c r="B84" i="11"/>
  <c r="E81" i="11"/>
  <c r="E82" i="11"/>
  <c r="B79" i="11"/>
  <c r="B82" i="11"/>
  <c r="B81" i="11"/>
  <c r="B83" i="11"/>
  <c r="B156" i="11"/>
  <c r="E153" i="11"/>
  <c r="E154" i="11"/>
  <c r="B151" i="11"/>
  <c r="B155" i="11"/>
  <c r="B154" i="11"/>
  <c r="B153" i="11"/>
  <c r="B300" i="11"/>
  <c r="E297" i="11"/>
  <c r="E298" i="11"/>
  <c r="B295" i="11"/>
  <c r="B297" i="11"/>
  <c r="B298" i="11"/>
  <c r="B299" i="11"/>
  <c r="B444" i="11"/>
  <c r="E441" i="11"/>
  <c r="E442" i="11"/>
  <c r="B439" i="11"/>
  <c r="B441" i="11"/>
  <c r="B442" i="11"/>
  <c r="B443" i="11"/>
  <c r="B48" i="11"/>
  <c r="E45" i="11"/>
  <c r="B45" i="11"/>
  <c r="B47" i="11"/>
  <c r="B43" i="11"/>
  <c r="B46" i="11"/>
  <c r="E46" i="11"/>
  <c r="B480" i="11"/>
  <c r="E477" i="11"/>
  <c r="E478" i="11"/>
  <c r="B478" i="11"/>
  <c r="B479" i="11"/>
  <c r="B477" i="11"/>
  <c r="B475" i="11"/>
  <c r="B516" i="11"/>
  <c r="E513" i="11"/>
  <c r="E514" i="11"/>
  <c r="B514" i="11"/>
  <c r="B511" i="11"/>
  <c r="B513" i="11"/>
  <c r="B515" i="11"/>
  <c r="B552" i="11"/>
  <c r="E549" i="11"/>
  <c r="B551" i="11"/>
  <c r="E550" i="11"/>
  <c r="B550" i="11"/>
  <c r="B549" i="11"/>
  <c r="B547" i="11"/>
  <c r="B588" i="11"/>
  <c r="E585" i="11"/>
  <c r="B587" i="11"/>
  <c r="B585" i="11"/>
  <c r="E586" i="11"/>
  <c r="B586" i="11"/>
  <c r="B583" i="11"/>
  <c r="B624" i="11"/>
  <c r="E621" i="11"/>
  <c r="B623" i="11"/>
  <c r="B621" i="11"/>
  <c r="E622" i="11"/>
  <c r="B622" i="11"/>
  <c r="B619" i="11"/>
  <c r="B660" i="11"/>
  <c r="E657" i="11"/>
  <c r="B659" i="11"/>
  <c r="B657" i="11"/>
  <c r="E658" i="11"/>
  <c r="B658" i="11"/>
  <c r="B655" i="11"/>
  <c r="B696" i="11"/>
  <c r="E693" i="11"/>
  <c r="B695" i="11"/>
  <c r="B693" i="11"/>
  <c r="E694" i="11"/>
  <c r="B694" i="11"/>
  <c r="B691" i="11"/>
  <c r="B732" i="11"/>
  <c r="E729" i="11"/>
  <c r="B731" i="11"/>
  <c r="B729" i="11"/>
  <c r="E730" i="11"/>
  <c r="B730" i="11"/>
  <c r="B727" i="11"/>
  <c r="B768" i="11"/>
  <c r="E765" i="11"/>
  <c r="B767" i="11"/>
  <c r="B765" i="11"/>
  <c r="E766" i="11"/>
  <c r="B766" i="11"/>
  <c r="B763" i="11"/>
  <c r="B804" i="11"/>
  <c r="E801" i="11"/>
  <c r="B803" i="11"/>
  <c r="B801" i="11"/>
  <c r="E802" i="11"/>
  <c r="B802" i="11"/>
  <c r="B799" i="11"/>
  <c r="B840" i="11"/>
  <c r="E837" i="11"/>
  <c r="B839" i="11"/>
  <c r="B837" i="11"/>
  <c r="E838" i="11"/>
  <c r="B838" i="11"/>
  <c r="B835" i="11"/>
  <c r="B876" i="11"/>
  <c r="E873" i="11"/>
  <c r="B875" i="11"/>
  <c r="B873" i="11"/>
  <c r="E874" i="11"/>
  <c r="B874" i="11"/>
  <c r="B871" i="11"/>
  <c r="B912" i="11"/>
  <c r="E909" i="11"/>
  <c r="B911" i="11"/>
  <c r="B909" i="11"/>
  <c r="E910" i="11"/>
  <c r="B910" i="11"/>
  <c r="B907" i="11"/>
  <c r="B948" i="11"/>
  <c r="E945" i="11"/>
  <c r="B947" i="11"/>
  <c r="B945" i="11"/>
  <c r="E946" i="11"/>
  <c r="B946" i="11"/>
  <c r="B943" i="11"/>
  <c r="B984" i="11"/>
  <c r="E981" i="11"/>
  <c r="B983" i="11"/>
  <c r="B981" i="11"/>
  <c r="E982" i="11"/>
  <c r="B982" i="11"/>
  <c r="B979" i="11"/>
  <c r="E1018" i="11"/>
  <c r="E1054" i="11"/>
  <c r="B1053" i="11"/>
  <c r="B1055" i="11"/>
  <c r="E1017" i="11"/>
  <c r="E1053" i="11"/>
  <c r="T28" i="46"/>
  <c r="X28" i="46" s="1"/>
  <c r="T24" i="46"/>
  <c r="X24" i="46" s="1"/>
  <c r="T8" i="46"/>
  <c r="X8" i="46" s="1"/>
  <c r="W12" i="46"/>
  <c r="T37" i="46"/>
  <c r="X37" i="46" s="1"/>
  <c r="T33" i="46"/>
  <c r="X33" i="46" s="1"/>
  <c r="T21" i="46"/>
  <c r="X21" i="46" s="1"/>
  <c r="T17" i="46"/>
  <c r="X17" i="46" s="1"/>
  <c r="W13" i="46"/>
  <c r="T9" i="46"/>
  <c r="X9" i="46" s="1"/>
  <c r="AE24" i="48"/>
  <c r="AE5" i="48"/>
  <c r="R34" i="48"/>
  <c r="R36" i="48"/>
  <c r="L6" i="48"/>
  <c r="K7" i="48"/>
  <c r="L10" i="48"/>
  <c r="K12" i="48"/>
  <c r="L12" i="48"/>
  <c r="K13" i="48"/>
  <c r="K16" i="48"/>
  <c r="L16" i="48"/>
  <c r="K19" i="48"/>
  <c r="K21" i="48"/>
  <c r="K22" i="48"/>
  <c r="L22" i="48"/>
  <c r="L24" i="48"/>
  <c r="K25" i="48"/>
  <c r="K27" i="48"/>
  <c r="L28" i="48"/>
  <c r="K31" i="48"/>
  <c r="L32" i="48"/>
  <c r="L34" i="48"/>
  <c r="K36" i="48"/>
  <c r="L36" i="48"/>
  <c r="K37" i="48"/>
  <c r="L38" i="48"/>
  <c r="K39" i="48"/>
  <c r="K5" i="48"/>
  <c r="B6" i="48" a="1"/>
  <c r="B6" i="48" s="1"/>
  <c r="B7" i="48" a="1"/>
  <c r="B7" i="48"/>
  <c r="B8" i="48" a="1"/>
  <c r="B8" i="48" s="1"/>
  <c r="B9" i="48" a="1"/>
  <c r="B9" i="48" s="1"/>
  <c r="B10" i="48" a="1"/>
  <c r="B10" i="48" s="1"/>
  <c r="B11" i="48" a="1"/>
  <c r="B11" i="48" s="1"/>
  <c r="B12" i="48" a="1"/>
  <c r="B12" i="48" s="1"/>
  <c r="B13" i="48" a="1"/>
  <c r="B13" i="48" s="1"/>
  <c r="B14" i="48" a="1"/>
  <c r="B14" i="48" s="1"/>
  <c r="B15" i="48" a="1"/>
  <c r="B15" i="48" s="1"/>
  <c r="B16" i="48" a="1"/>
  <c r="B16" i="48" s="1"/>
  <c r="B17" i="48" a="1"/>
  <c r="B17" i="48" s="1"/>
  <c r="B18" i="48" a="1"/>
  <c r="B18" i="48" s="1"/>
  <c r="B19" i="48" a="1"/>
  <c r="B19" i="48"/>
  <c r="B20" i="48" a="1"/>
  <c r="B20" i="48" s="1"/>
  <c r="B21" i="48" a="1"/>
  <c r="B21" i="48" s="1"/>
  <c r="B22" i="48" a="1"/>
  <c r="B22" i="48" s="1"/>
  <c r="B23" i="48" a="1"/>
  <c r="B23" i="48" s="1"/>
  <c r="B24" i="48" a="1"/>
  <c r="B24" i="48" s="1"/>
  <c r="B25" i="48" a="1"/>
  <c r="B25" i="48"/>
  <c r="B26" i="48" a="1"/>
  <c r="B26" i="48" s="1"/>
  <c r="B27" i="48" a="1"/>
  <c r="B27" i="48" s="1"/>
  <c r="B28" i="48" a="1"/>
  <c r="B28" i="48" s="1"/>
  <c r="B29" i="48" a="1"/>
  <c r="B29" i="48" s="1"/>
  <c r="B30" i="48" a="1"/>
  <c r="B30" i="48" s="1"/>
  <c r="B31" i="48" a="1"/>
  <c r="B31" i="48"/>
  <c r="B32" i="48" a="1"/>
  <c r="B32" i="48" s="1"/>
  <c r="B33" i="48" a="1"/>
  <c r="B33" i="48" s="1"/>
  <c r="B34" i="48" a="1"/>
  <c r="B34" i="48" s="1"/>
  <c r="B35" i="48" a="1"/>
  <c r="B35" i="48"/>
  <c r="B36" i="48" a="1"/>
  <c r="B36" i="48" s="1"/>
  <c r="B37" i="48" a="1"/>
  <c r="B37" i="48" s="1"/>
  <c r="B38" i="48" a="1"/>
  <c r="B38" i="48" s="1"/>
  <c r="B39" i="48" a="1"/>
  <c r="B39" i="48" s="1"/>
  <c r="B5" i="48" a="1"/>
  <c r="B5" i="48" s="1"/>
  <c r="L17" i="48" l="1"/>
  <c r="U17" i="48"/>
  <c r="Z17" i="48" s="1"/>
  <c r="S17" i="48"/>
  <c r="T17" i="48" s="1"/>
  <c r="X17" i="48" s="1"/>
  <c r="Y17" i="48"/>
  <c r="L23" i="48"/>
  <c r="S23" i="48"/>
  <c r="T23" i="48" s="1"/>
  <c r="X23" i="48" s="1"/>
  <c r="W23" i="48"/>
  <c r="U23" i="48"/>
  <c r="Z23" i="48" s="1"/>
  <c r="Y39" i="48"/>
  <c r="S39" i="48"/>
  <c r="T39" i="48" s="1"/>
  <c r="X39" i="48" s="1"/>
  <c r="U39" i="48"/>
  <c r="Z39" i="48" s="1"/>
  <c r="S35" i="48"/>
  <c r="T35" i="48" s="1"/>
  <c r="X35" i="48" s="1"/>
  <c r="U35" i="48"/>
  <c r="Z35" i="48" s="1"/>
  <c r="Y35" i="48"/>
  <c r="S32" i="48"/>
  <c r="T32" i="48" s="1"/>
  <c r="X32" i="48" s="1"/>
  <c r="W32" i="48"/>
  <c r="U32" i="48"/>
  <c r="Z32" i="48" s="1"/>
  <c r="L29" i="48"/>
  <c r="U29" i="48"/>
  <c r="Z29" i="48" s="1"/>
  <c r="S29" i="48"/>
  <c r="T29" i="48" s="1"/>
  <c r="X29" i="48" s="1"/>
  <c r="Y29" i="48"/>
  <c r="L25" i="48"/>
  <c r="U25" i="48"/>
  <c r="Z25" i="48" s="1"/>
  <c r="W25" i="48"/>
  <c r="S25" i="48"/>
  <c r="T25" i="48" s="1"/>
  <c r="X25" i="48" s="1"/>
  <c r="Y25" i="48"/>
  <c r="S19" i="48"/>
  <c r="T19" i="48" s="1"/>
  <c r="X19" i="48" s="1"/>
  <c r="U19" i="48"/>
  <c r="Z19" i="48" s="1"/>
  <c r="Y19" i="48"/>
  <c r="L13" i="48"/>
  <c r="U13" i="48"/>
  <c r="Z13" i="48" s="1"/>
  <c r="S13" i="48"/>
  <c r="T13" i="48" s="1"/>
  <c r="X13" i="48" s="1"/>
  <c r="W13" i="48"/>
  <c r="Y13" i="48"/>
  <c r="Y9" i="48"/>
  <c r="U9" i="48"/>
  <c r="Z9" i="48" s="1"/>
  <c r="S9" i="48"/>
  <c r="T9" i="48" s="1"/>
  <c r="X9" i="48" s="1"/>
  <c r="S6" i="48"/>
  <c r="T6" i="48" s="1"/>
  <c r="X6" i="48" s="1"/>
  <c r="U6" i="48"/>
  <c r="Z6" i="48" s="1"/>
  <c r="Y6" i="48"/>
  <c r="AE25" i="48"/>
  <c r="S38" i="48"/>
  <c r="T38" i="48" s="1"/>
  <c r="X38" i="48" s="1"/>
  <c r="U38" i="48"/>
  <c r="Z38" i="48" s="1"/>
  <c r="W38" i="48"/>
  <c r="Y38" i="48"/>
  <c r="U31" i="48"/>
  <c r="Z31" i="48" s="1"/>
  <c r="S31" i="48"/>
  <c r="T31" i="48" s="1"/>
  <c r="X31" i="48" s="1"/>
  <c r="Y31" i="48"/>
  <c r="W31" i="48"/>
  <c r="K28" i="48"/>
  <c r="U28" i="48"/>
  <c r="Z28" i="48" s="1"/>
  <c r="S28" i="48"/>
  <c r="T28" i="48" s="1"/>
  <c r="X28" i="48" s="1"/>
  <c r="Y28" i="48"/>
  <c r="AE22" i="48"/>
  <c r="S22" i="48"/>
  <c r="T22" i="48" s="1"/>
  <c r="X22" i="48" s="1"/>
  <c r="U22" i="48"/>
  <c r="Z22" i="48" s="1"/>
  <c r="S16" i="48"/>
  <c r="T16" i="48" s="1"/>
  <c r="X16" i="48" s="1"/>
  <c r="U16" i="48"/>
  <c r="Z16" i="48" s="1"/>
  <c r="W16" i="48"/>
  <c r="Y16" i="48"/>
  <c r="U12" i="48"/>
  <c r="Z12" i="48" s="1"/>
  <c r="S12" i="48"/>
  <c r="T12" i="48" s="1"/>
  <c r="X12" i="48" s="1"/>
  <c r="W12" i="48"/>
  <c r="Y12" i="48"/>
  <c r="S8" i="48"/>
  <c r="T8" i="48" s="1"/>
  <c r="X8" i="48" s="1"/>
  <c r="U8" i="48"/>
  <c r="Z8" i="48" s="1"/>
  <c r="W8" i="48"/>
  <c r="Y8" i="48"/>
  <c r="L37" i="48"/>
  <c r="Y37" i="48"/>
  <c r="S37" i="48"/>
  <c r="T37" i="48" s="1"/>
  <c r="X37" i="48" s="1"/>
  <c r="U37" i="48"/>
  <c r="Z37" i="48" s="1"/>
  <c r="K34" i="48"/>
  <c r="U34" i="48"/>
  <c r="Z34" i="48" s="1"/>
  <c r="S34" i="48"/>
  <c r="T34" i="48" s="1"/>
  <c r="X34" i="48" s="1"/>
  <c r="W34" i="48"/>
  <c r="Y34" i="48"/>
  <c r="S27" i="48"/>
  <c r="T27" i="48" s="1"/>
  <c r="X27" i="48" s="1"/>
  <c r="U27" i="48"/>
  <c r="Z27" i="48" s="1"/>
  <c r="Y27" i="48"/>
  <c r="S24" i="48"/>
  <c r="T24" i="48" s="1"/>
  <c r="X24" i="48" s="1"/>
  <c r="U24" i="48"/>
  <c r="Z24" i="48" s="1"/>
  <c r="Y24" i="48"/>
  <c r="U21" i="48"/>
  <c r="Z21" i="48" s="1"/>
  <c r="S21" i="48"/>
  <c r="T21" i="48" s="1"/>
  <c r="X21" i="48" s="1"/>
  <c r="W21" i="48"/>
  <c r="Y21" i="48"/>
  <c r="W18" i="48"/>
  <c r="S18" i="48"/>
  <c r="T18" i="48" s="1"/>
  <c r="X18" i="48" s="1"/>
  <c r="U18" i="48"/>
  <c r="Z18" i="48" s="1"/>
  <c r="Y18" i="48"/>
  <c r="L15" i="48"/>
  <c r="S15" i="48"/>
  <c r="T15" i="48" s="1"/>
  <c r="X15" i="48" s="1"/>
  <c r="U15" i="48"/>
  <c r="Z15" i="48" s="1"/>
  <c r="Y15" i="48"/>
  <c r="W15" i="48"/>
  <c r="S11" i="48"/>
  <c r="T11" i="48" s="1"/>
  <c r="X11" i="48" s="1"/>
  <c r="U11" i="48"/>
  <c r="Z11" i="48" s="1"/>
  <c r="Y11" i="48"/>
  <c r="W11" i="48"/>
  <c r="U7" i="48"/>
  <c r="Z7" i="48" s="1"/>
  <c r="Y7" i="48"/>
  <c r="S7" i="48"/>
  <c r="T7" i="48" s="1"/>
  <c r="X7" i="48" s="1"/>
  <c r="W7" i="48"/>
  <c r="Q39" i="48"/>
  <c r="AE13" i="48"/>
  <c r="W5" i="48"/>
  <c r="U5" i="48"/>
  <c r="Z5" i="48" s="1"/>
  <c r="Y5" i="48"/>
  <c r="S5" i="48"/>
  <c r="T5" i="48" s="1"/>
  <c r="X5" i="48" s="1"/>
  <c r="Q36" i="48"/>
  <c r="U36" i="48"/>
  <c r="Z36" i="48" s="1"/>
  <c r="S36" i="48"/>
  <c r="T36" i="48" s="1"/>
  <c r="X36" i="48" s="1"/>
  <c r="Y36" i="48"/>
  <c r="W36" i="48"/>
  <c r="U33" i="48"/>
  <c r="Z33" i="48" s="1"/>
  <c r="Y33" i="48"/>
  <c r="S33" i="48"/>
  <c r="T33" i="48" s="1"/>
  <c r="X33" i="48" s="1"/>
  <c r="W33" i="48"/>
  <c r="Y30" i="48"/>
  <c r="U30" i="48"/>
  <c r="Z30" i="48" s="1"/>
  <c r="S30" i="48"/>
  <c r="T30" i="48" s="1"/>
  <c r="X30" i="48" s="1"/>
  <c r="K26" i="48"/>
  <c r="Y26" i="48"/>
  <c r="S26" i="48"/>
  <c r="T26" i="48" s="1"/>
  <c r="X26" i="48" s="1"/>
  <c r="U26" i="48"/>
  <c r="Z26" i="48" s="1"/>
  <c r="K20" i="48"/>
  <c r="U20" i="48"/>
  <c r="Z20" i="48" s="1"/>
  <c r="S20" i="48"/>
  <c r="T20" i="48" s="1"/>
  <c r="X20" i="48" s="1"/>
  <c r="Y20" i="48"/>
  <c r="S14" i="48"/>
  <c r="T14" i="48" s="1"/>
  <c r="X14" i="48" s="1"/>
  <c r="W14" i="48"/>
  <c r="U14" i="48"/>
  <c r="Z14" i="48" s="1"/>
  <c r="Y14" i="48"/>
  <c r="S10" i="48"/>
  <c r="T10" i="48" s="1"/>
  <c r="X10" i="48" s="1"/>
  <c r="U10" i="48"/>
  <c r="Z10" i="48" s="1"/>
  <c r="Y10" i="48"/>
  <c r="R37" i="48"/>
  <c r="AE37" i="48"/>
  <c r="L11" i="48"/>
  <c r="K11" i="48"/>
  <c r="L33" i="48"/>
  <c r="AE33" i="48"/>
  <c r="Q33" i="48"/>
  <c r="AE30" i="48"/>
  <c r="K30" i="48"/>
  <c r="AE14" i="48"/>
  <c r="K14" i="48"/>
  <c r="K17" i="48"/>
  <c r="L14" i="48"/>
  <c r="R33" i="48"/>
  <c r="R39" i="48"/>
  <c r="L39" i="48"/>
  <c r="O35" i="48"/>
  <c r="N35" i="48"/>
  <c r="L35" i="48"/>
  <c r="Q35" i="48"/>
  <c r="AE32" i="48"/>
  <c r="K32" i="48"/>
  <c r="K35" i="48"/>
  <c r="K23" i="48"/>
  <c r="L20" i="48"/>
  <c r="AE38" i="48"/>
  <c r="Q38" i="48"/>
  <c r="R38" i="48"/>
  <c r="K38" i="48"/>
  <c r="L9" i="48"/>
  <c r="AE6" i="48"/>
  <c r="K6" i="48"/>
  <c r="L30" i="48"/>
  <c r="L26" i="48"/>
  <c r="K9" i="48"/>
  <c r="N38" i="48"/>
  <c r="R35" i="48"/>
  <c r="AE9" i="48"/>
  <c r="L27" i="48"/>
  <c r="K24" i="48"/>
  <c r="L21" i="48"/>
  <c r="AE21" i="48"/>
  <c r="K18" i="48"/>
  <c r="AE8" i="48"/>
  <c r="K8" i="48"/>
  <c r="K33" i="48"/>
  <c r="K29" i="48"/>
  <c r="L18" i="48"/>
  <c r="K15" i="48"/>
  <c r="L8" i="48"/>
  <c r="L5" i="48"/>
  <c r="K10" i="48"/>
  <c r="L31" i="48"/>
  <c r="L19" i="48"/>
  <c r="L7" i="48"/>
  <c r="AE16" i="48"/>
  <c r="AE15" i="48"/>
  <c r="AE26" i="48"/>
  <c r="AE23" i="48"/>
  <c r="AE20" i="48"/>
  <c r="O37" i="48"/>
  <c r="P37" i="48"/>
  <c r="AE34" i="48"/>
  <c r="O34" i="48"/>
  <c r="P34" i="48"/>
  <c r="AE31" i="48"/>
  <c r="AE28" i="48"/>
  <c r="Q37" i="48"/>
  <c r="Q34" i="48"/>
  <c r="O39" i="48"/>
  <c r="AE39" i="48"/>
  <c r="P39" i="48"/>
  <c r="O36" i="48"/>
  <c r="AE36" i="48"/>
  <c r="P36" i="48"/>
  <c r="O33" i="48"/>
  <c r="P33" i="48"/>
  <c r="AE10" i="48"/>
  <c r="AE7" i="48"/>
  <c r="N39" i="48"/>
  <c r="N37" i="48"/>
  <c r="N36" i="48"/>
  <c r="N34" i="48"/>
  <c r="N33" i="48"/>
  <c r="AE18" i="48"/>
  <c r="AE12" i="48"/>
  <c r="AE29" i="48"/>
  <c r="AE17" i="48"/>
  <c r="P38" i="48"/>
  <c r="P35" i="48"/>
  <c r="AE35" i="48"/>
  <c r="AE27" i="48"/>
  <c r="AE19" i="48"/>
  <c r="AE11" i="48"/>
  <c r="O38" i="48"/>
  <c r="W20" i="48" l="1"/>
  <c r="W27" i="48"/>
  <c r="W28" i="48"/>
  <c r="W17" i="48"/>
  <c r="W10" i="48"/>
  <c r="W26" i="48"/>
  <c r="W37" i="48"/>
  <c r="W9" i="48"/>
  <c r="W19" i="48"/>
  <c r="W29" i="48"/>
  <c r="W30" i="48"/>
  <c r="W24" i="48"/>
  <c r="W22" i="48"/>
  <c r="W6" i="48"/>
  <c r="W35" i="48"/>
  <c r="W39" i="48"/>
  <c r="AS34" i="44"/>
  <c r="AS35" i="44"/>
  <c r="AS36" i="44"/>
  <c r="AS37" i="44"/>
  <c r="AS38" i="44"/>
  <c r="AS39" i="44"/>
  <c r="AS33" i="44"/>
  <c r="AS32" i="44"/>
  <c r="AS31" i="44"/>
  <c r="AS30" i="44"/>
  <c r="AS29" i="44"/>
  <c r="AS28" i="44"/>
  <c r="AS27" i="44"/>
  <c r="AS26" i="44"/>
  <c r="AS25" i="44"/>
  <c r="AS24" i="44"/>
  <c r="AS23" i="44"/>
  <c r="AS22" i="44"/>
  <c r="AS21" i="44"/>
  <c r="AS20" i="44"/>
  <c r="AS19" i="44"/>
  <c r="AS18" i="44"/>
  <c r="AS17" i="44"/>
  <c r="AS16" i="44"/>
  <c r="AS15" i="44"/>
  <c r="AS14" i="44"/>
  <c r="AS13" i="44"/>
  <c r="AS12" i="44"/>
  <c r="AS11" i="44"/>
  <c r="AS10" i="44"/>
  <c r="AS9" i="44"/>
  <c r="AS8" i="44"/>
  <c r="AS7" i="44"/>
  <c r="AS6" i="44"/>
  <c r="AS5" i="44"/>
  <c r="AE6" i="46"/>
  <c r="AE7" i="46"/>
  <c r="AE8" i="46"/>
  <c r="AE9" i="46"/>
  <c r="AE10" i="46"/>
  <c r="AE11" i="46"/>
  <c r="AE12" i="46"/>
  <c r="AE13" i="46"/>
  <c r="AE14" i="46"/>
  <c r="AE15" i="46"/>
  <c r="AE16" i="46"/>
  <c r="AE17" i="46"/>
  <c r="AE18" i="46"/>
  <c r="AE19" i="46"/>
  <c r="AE20" i="46"/>
  <c r="AE21" i="46"/>
  <c r="AE22" i="46"/>
  <c r="AE23" i="46"/>
  <c r="AE24" i="46"/>
  <c r="AE25" i="46"/>
  <c r="AE26" i="46"/>
  <c r="AE27" i="46"/>
  <c r="AE28" i="46"/>
  <c r="AE29" i="46"/>
  <c r="AE30" i="46"/>
  <c r="AE31" i="46"/>
  <c r="AE32" i="46"/>
  <c r="AE33" i="46"/>
  <c r="AE34" i="46"/>
  <c r="AE35" i="46"/>
  <c r="AE36" i="46"/>
  <c r="AE37" i="46"/>
  <c r="AE38" i="46"/>
  <c r="AE39" i="46"/>
  <c r="AE5" i="46"/>
  <c r="N6" i="46"/>
  <c r="O6" i="46"/>
  <c r="P6" i="46"/>
  <c r="Q6" i="46"/>
  <c r="R6" i="46"/>
  <c r="N7" i="46"/>
  <c r="O7" i="46"/>
  <c r="P7" i="46"/>
  <c r="Q7" i="46"/>
  <c r="R7" i="46"/>
  <c r="N8" i="46"/>
  <c r="O8" i="46"/>
  <c r="P8" i="46"/>
  <c r="Q8" i="46"/>
  <c r="R8" i="46"/>
  <c r="N9" i="46"/>
  <c r="O9" i="46"/>
  <c r="P9" i="46"/>
  <c r="Q9" i="46"/>
  <c r="R9" i="46"/>
  <c r="N10" i="46"/>
  <c r="O10" i="46"/>
  <c r="P10" i="46"/>
  <c r="Q10" i="46"/>
  <c r="R10" i="46"/>
  <c r="N11" i="46"/>
  <c r="O11" i="46"/>
  <c r="P11" i="46"/>
  <c r="Q11" i="46"/>
  <c r="R11" i="46"/>
  <c r="N13" i="46"/>
  <c r="O13" i="46"/>
  <c r="P13" i="46"/>
  <c r="Q13" i="46"/>
  <c r="R13" i="46"/>
  <c r="N14" i="46"/>
  <c r="O14" i="46"/>
  <c r="P14" i="46"/>
  <c r="Q14" i="46"/>
  <c r="R14" i="46"/>
  <c r="N15" i="46"/>
  <c r="O15" i="46"/>
  <c r="P15" i="46"/>
  <c r="Q15" i="46"/>
  <c r="R15" i="46"/>
  <c r="N16" i="46"/>
  <c r="O16" i="46"/>
  <c r="P16" i="46"/>
  <c r="Q16" i="46"/>
  <c r="R16" i="46"/>
  <c r="N17" i="46"/>
  <c r="O17" i="46"/>
  <c r="P17" i="46"/>
  <c r="Q17" i="46"/>
  <c r="R17" i="46"/>
  <c r="N18" i="46"/>
  <c r="O18" i="46"/>
  <c r="P18" i="46"/>
  <c r="Q18" i="46"/>
  <c r="R18" i="46"/>
  <c r="N19" i="46"/>
  <c r="O19" i="46"/>
  <c r="P19" i="46"/>
  <c r="Q19" i="46"/>
  <c r="R19" i="46"/>
  <c r="N20" i="46"/>
  <c r="O20" i="46"/>
  <c r="P20" i="46"/>
  <c r="Q20" i="46"/>
  <c r="R20" i="46"/>
  <c r="N21" i="46"/>
  <c r="O21" i="46"/>
  <c r="P21" i="46"/>
  <c r="Q21" i="46"/>
  <c r="R21" i="46"/>
  <c r="N22" i="46"/>
  <c r="O22" i="46"/>
  <c r="P22" i="46"/>
  <c r="Q22" i="46"/>
  <c r="R22" i="46"/>
  <c r="N23" i="46"/>
  <c r="O23" i="46"/>
  <c r="P23" i="46"/>
  <c r="Q23" i="46"/>
  <c r="R23" i="46"/>
  <c r="N24" i="46"/>
  <c r="O24" i="46"/>
  <c r="P24" i="46"/>
  <c r="Q24" i="46"/>
  <c r="R24" i="46"/>
  <c r="N25" i="46"/>
  <c r="O25" i="46"/>
  <c r="P25" i="46"/>
  <c r="Q25" i="46"/>
  <c r="R25" i="46"/>
  <c r="N27" i="46"/>
  <c r="O27" i="46"/>
  <c r="P27" i="46"/>
  <c r="Q27" i="46"/>
  <c r="R27" i="46"/>
  <c r="N28" i="46"/>
  <c r="O28" i="46"/>
  <c r="P28" i="46"/>
  <c r="Q28" i="46"/>
  <c r="R28" i="46"/>
  <c r="N29" i="46"/>
  <c r="O29" i="46"/>
  <c r="P29" i="46"/>
  <c r="Q29" i="46"/>
  <c r="R29" i="46"/>
  <c r="N30" i="46"/>
  <c r="O30" i="46"/>
  <c r="P30" i="46"/>
  <c r="Q30" i="46"/>
  <c r="R30" i="46"/>
  <c r="N32" i="46"/>
  <c r="O32" i="46"/>
  <c r="P32" i="46"/>
  <c r="Q32" i="46"/>
  <c r="R32" i="46"/>
  <c r="N33" i="46"/>
  <c r="O33" i="46"/>
  <c r="P33" i="46"/>
  <c r="Q33" i="46"/>
  <c r="R33" i="46"/>
  <c r="N34" i="46"/>
  <c r="O34" i="46"/>
  <c r="P34" i="46"/>
  <c r="Q34" i="46"/>
  <c r="R34" i="46"/>
  <c r="N35" i="46"/>
  <c r="O35" i="46"/>
  <c r="P35" i="46"/>
  <c r="Q35" i="46"/>
  <c r="R35" i="46"/>
  <c r="N36" i="46"/>
  <c r="O36" i="46"/>
  <c r="P36" i="46"/>
  <c r="Q36" i="46"/>
  <c r="R36" i="46"/>
  <c r="N37" i="46"/>
  <c r="O37" i="46"/>
  <c r="P37" i="46"/>
  <c r="Q37" i="46"/>
  <c r="R37" i="46"/>
  <c r="N38" i="46"/>
  <c r="O38" i="46"/>
  <c r="P38" i="46"/>
  <c r="Q38" i="46"/>
  <c r="R38" i="46"/>
  <c r="N39" i="46"/>
  <c r="O39" i="46"/>
  <c r="P39" i="46"/>
  <c r="Q39" i="46"/>
  <c r="R39" i="46"/>
  <c r="R5" i="46"/>
  <c r="Q5" i="46"/>
  <c r="P5" i="46"/>
  <c r="O5" i="46"/>
  <c r="N5" i="46"/>
  <c r="K6" i="46"/>
  <c r="L6" i="46"/>
  <c r="K7" i="46"/>
  <c r="L7" i="46"/>
  <c r="K8" i="46"/>
  <c r="L8" i="46"/>
  <c r="K9" i="46"/>
  <c r="L9" i="46"/>
  <c r="K10" i="46"/>
  <c r="L10" i="46"/>
  <c r="K11" i="46"/>
  <c r="L11" i="46"/>
  <c r="K12" i="46"/>
  <c r="L12" i="46"/>
  <c r="K13" i="46"/>
  <c r="L13" i="46"/>
  <c r="K14" i="46"/>
  <c r="L14" i="46"/>
  <c r="K15" i="46"/>
  <c r="L15" i="46"/>
  <c r="K16" i="46"/>
  <c r="L16" i="46"/>
  <c r="K17" i="46"/>
  <c r="L17" i="46"/>
  <c r="K18" i="46"/>
  <c r="L18" i="46"/>
  <c r="K19" i="46"/>
  <c r="L19" i="46"/>
  <c r="K20" i="46"/>
  <c r="L20" i="46"/>
  <c r="K21" i="46"/>
  <c r="L21" i="46"/>
  <c r="K22" i="46"/>
  <c r="L22" i="46"/>
  <c r="K23" i="46"/>
  <c r="L23" i="46"/>
  <c r="K24" i="46"/>
  <c r="L24" i="46"/>
  <c r="K25" i="46"/>
  <c r="L25" i="46"/>
  <c r="K26" i="46"/>
  <c r="L26" i="46"/>
  <c r="K27" i="46"/>
  <c r="L27" i="46"/>
  <c r="K28" i="46"/>
  <c r="L28" i="46"/>
  <c r="K29" i="46"/>
  <c r="L29" i="46"/>
  <c r="K30" i="46"/>
  <c r="L30" i="46"/>
  <c r="K31" i="46"/>
  <c r="L31" i="46"/>
  <c r="K32" i="46"/>
  <c r="L32" i="46"/>
  <c r="K33" i="46"/>
  <c r="L33" i="46"/>
  <c r="K34" i="46"/>
  <c r="L34" i="46"/>
  <c r="K35" i="46"/>
  <c r="L35" i="46"/>
  <c r="K36" i="46"/>
  <c r="L36" i="46"/>
  <c r="K37" i="46"/>
  <c r="L37" i="46"/>
  <c r="K38" i="46"/>
  <c r="L38" i="46"/>
  <c r="K39" i="46"/>
  <c r="L39" i="46"/>
  <c r="L5" i="46"/>
  <c r="K5" i="46"/>
  <c r="B6" i="46" a="1"/>
  <c r="B6" i="46" s="1"/>
  <c r="B7" i="46" a="1"/>
  <c r="B7" i="46"/>
  <c r="B8" i="46" a="1"/>
  <c r="B8" i="46" s="1"/>
  <c r="B9" i="46" a="1"/>
  <c r="B9" i="46"/>
  <c r="B10" i="46" a="1"/>
  <c r="B10" i="46" s="1"/>
  <c r="B11" i="46" a="1"/>
  <c r="B11" i="46"/>
  <c r="B12" i="46" a="1"/>
  <c r="B12" i="46" s="1"/>
  <c r="B13" i="46" a="1"/>
  <c r="B13" i="46"/>
  <c r="B14" i="46" a="1"/>
  <c r="B14" i="46" s="1"/>
  <c r="B15" i="46" a="1"/>
  <c r="B15" i="46"/>
  <c r="B16" i="46" a="1"/>
  <c r="B16" i="46" s="1"/>
  <c r="B17" i="46" a="1"/>
  <c r="B17" i="46"/>
  <c r="B18" i="46" a="1"/>
  <c r="B18" i="46" s="1"/>
  <c r="B19" i="46" a="1"/>
  <c r="B19" i="46"/>
  <c r="B20" i="46" a="1"/>
  <c r="B20" i="46" s="1"/>
  <c r="B21" i="46" a="1"/>
  <c r="B21" i="46"/>
  <c r="B22" i="46" a="1"/>
  <c r="B22" i="46" s="1"/>
  <c r="B23" i="46" a="1"/>
  <c r="B23" i="46"/>
  <c r="B24" i="46" a="1"/>
  <c r="B24" i="46" s="1"/>
  <c r="B25" i="46" a="1"/>
  <c r="B25" i="46"/>
  <c r="B26" i="46" a="1"/>
  <c r="B26" i="46" s="1"/>
  <c r="B27" i="46" a="1"/>
  <c r="B27" i="46"/>
  <c r="B28" i="46" a="1"/>
  <c r="B28" i="46" s="1"/>
  <c r="B29" i="46" a="1"/>
  <c r="B29" i="46"/>
  <c r="B30" i="46" a="1"/>
  <c r="B30" i="46" s="1"/>
  <c r="B31" i="46" a="1"/>
  <c r="B31" i="46"/>
  <c r="B32" i="46" a="1"/>
  <c r="B32" i="46" s="1"/>
  <c r="B33" i="46" a="1"/>
  <c r="B33" i="46"/>
  <c r="B34" i="46" a="1"/>
  <c r="B34" i="46" s="1"/>
  <c r="B35" i="46" a="1"/>
  <c r="B35" i="46"/>
  <c r="B36" i="46" a="1"/>
  <c r="B36" i="46" s="1"/>
  <c r="B37" i="46" a="1"/>
  <c r="B37" i="46"/>
  <c r="B38" i="46" a="1"/>
  <c r="B38" i="46" s="1"/>
  <c r="B39" i="46" a="1"/>
  <c r="B39" i="46"/>
  <c r="B5" i="46" a="1"/>
  <c r="B5" i="46" s="1"/>
  <c r="V26" i="57"/>
  <c r="L6" i="47"/>
  <c r="K12" i="47"/>
  <c r="K26" i="47"/>
  <c r="L38" i="47"/>
  <c r="B6" i="47" a="1"/>
  <c r="B6" i="47" s="1"/>
  <c r="B7" i="47" a="1"/>
  <c r="B7" i="47" s="1"/>
  <c r="B8" i="47" a="1"/>
  <c r="B8" i="47" s="1"/>
  <c r="B9" i="47" a="1"/>
  <c r="B9" i="47" s="1"/>
  <c r="B10" i="47" a="1"/>
  <c r="B10" i="47" s="1"/>
  <c r="B11" i="47" a="1"/>
  <c r="B11" i="47" s="1"/>
  <c r="B12" i="47" a="1"/>
  <c r="B12" i="47" s="1"/>
  <c r="B13" i="47" a="1"/>
  <c r="B13" i="47" s="1"/>
  <c r="B14" i="47" a="1"/>
  <c r="B14" i="47" s="1"/>
  <c r="B15" i="47" a="1"/>
  <c r="B15" i="47" s="1"/>
  <c r="B16" i="47" a="1"/>
  <c r="B16" i="47" s="1"/>
  <c r="B17" i="47" a="1"/>
  <c r="B17" i="47" s="1"/>
  <c r="B18" i="47" a="1"/>
  <c r="B18" i="47" s="1"/>
  <c r="B19" i="47" a="1"/>
  <c r="B19" i="47" s="1"/>
  <c r="B20" i="47" a="1"/>
  <c r="B20" i="47" s="1"/>
  <c r="B21" i="47" a="1"/>
  <c r="B21" i="47" s="1"/>
  <c r="B22" i="47" a="1"/>
  <c r="B22" i="47" s="1"/>
  <c r="B23" i="47" a="1"/>
  <c r="B23" i="47" s="1"/>
  <c r="B24" i="47" a="1"/>
  <c r="B24" i="47" s="1"/>
  <c r="B25" i="47" a="1"/>
  <c r="B25" i="47" s="1"/>
  <c r="B26" i="47" a="1"/>
  <c r="B26" i="47" s="1"/>
  <c r="B27" i="47" a="1"/>
  <c r="B27" i="47" s="1"/>
  <c r="B28" i="47" a="1"/>
  <c r="B28" i="47" s="1"/>
  <c r="B29" i="47" a="1"/>
  <c r="B29" i="47" s="1"/>
  <c r="B30" i="47" a="1"/>
  <c r="B30" i="47" s="1"/>
  <c r="B31" i="47" a="1"/>
  <c r="B31" i="47" s="1"/>
  <c r="B32" i="47" a="1"/>
  <c r="B32" i="47" s="1"/>
  <c r="B33" i="47" a="1"/>
  <c r="B33" i="47" s="1"/>
  <c r="B34" i="47" a="1"/>
  <c r="B34" i="47" s="1"/>
  <c r="B35" i="47" a="1"/>
  <c r="B35" i="47" s="1"/>
  <c r="B36" i="47" a="1"/>
  <c r="B36" i="47" s="1"/>
  <c r="B37" i="47" a="1"/>
  <c r="B37" i="47" s="1"/>
  <c r="B38" i="47" a="1"/>
  <c r="B38" i="47" s="1"/>
  <c r="B39" i="47" a="1"/>
  <c r="B39" i="47" s="1"/>
  <c r="B5" i="47" a="1"/>
  <c r="B5" i="47" s="1"/>
  <c r="AD39" i="57"/>
  <c r="AC39" i="57"/>
  <c r="AB39" i="57"/>
  <c r="AA39" i="57"/>
  <c r="Y39" i="57"/>
  <c r="X39" i="57"/>
  <c r="W39" i="57"/>
  <c r="U39" i="57"/>
  <c r="S39" i="57" a="1"/>
  <c r="S39" i="57" s="1"/>
  <c r="AD38" i="57"/>
  <c r="AC38" i="57"/>
  <c r="AB38" i="57"/>
  <c r="AA38" i="57"/>
  <c r="Y38" i="57"/>
  <c r="X38" i="57"/>
  <c r="W38" i="57"/>
  <c r="U38" i="57"/>
  <c r="S38" i="57" a="1"/>
  <c r="S38" i="57" s="1"/>
  <c r="Z38" i="57" s="1"/>
  <c r="AD37" i="57"/>
  <c r="AC37" i="57"/>
  <c r="AB37" i="57"/>
  <c r="AA37" i="57"/>
  <c r="Y37" i="57"/>
  <c r="X37" i="57"/>
  <c r="W37" i="57"/>
  <c r="U37" i="57"/>
  <c r="S37" i="57"/>
  <c r="Z37" i="57" s="1"/>
  <c r="S37" i="57" a="1"/>
  <c r="AD36" i="57"/>
  <c r="AC36" i="57"/>
  <c r="AB36" i="57"/>
  <c r="AA36" i="57"/>
  <c r="Y36" i="57"/>
  <c r="X36" i="57"/>
  <c r="W36" i="57"/>
  <c r="U36" i="57"/>
  <c r="S36" i="57" a="1"/>
  <c r="S36" i="57" s="1"/>
  <c r="Z36" i="57" s="1"/>
  <c r="AD35" i="57"/>
  <c r="AC35" i="57"/>
  <c r="AB35" i="57"/>
  <c r="AA35" i="57"/>
  <c r="Y35" i="57"/>
  <c r="X35" i="57"/>
  <c r="W35" i="57"/>
  <c r="U35" i="57"/>
  <c r="S35" i="57" a="1"/>
  <c r="S35" i="57" s="1"/>
  <c r="AD34" i="57"/>
  <c r="AC34" i="57"/>
  <c r="AB34" i="57"/>
  <c r="AA34" i="57"/>
  <c r="Y34" i="57"/>
  <c r="X34" i="57"/>
  <c r="W34" i="57"/>
  <c r="U34" i="57"/>
  <c r="S34" i="57" a="1"/>
  <c r="S34" i="57" s="1"/>
  <c r="Z34" i="57" s="1"/>
  <c r="AD33" i="57"/>
  <c r="AC33" i="57"/>
  <c r="AB33" i="57"/>
  <c r="AA33" i="57"/>
  <c r="Y33" i="57"/>
  <c r="X33" i="57"/>
  <c r="W33" i="57"/>
  <c r="U33" i="57"/>
  <c r="S33" i="57"/>
  <c r="Z33" i="57" s="1"/>
  <c r="S33" i="57" a="1"/>
  <c r="AB32" i="57"/>
  <c r="V32" i="57"/>
  <c r="U32" i="57"/>
  <c r="S32" i="57" a="1"/>
  <c r="S32" i="57" s="1"/>
  <c r="Z32" i="57" s="1"/>
  <c r="AD31" i="57"/>
  <c r="AC31" i="57"/>
  <c r="Y31" i="57"/>
  <c r="V31" i="57"/>
  <c r="U31" i="57"/>
  <c r="S31" i="57" a="1"/>
  <c r="S31" i="57" s="1"/>
  <c r="AD30" i="57"/>
  <c r="AC30" i="57"/>
  <c r="AB30" i="57"/>
  <c r="AA30" i="57"/>
  <c r="Y30" i="57"/>
  <c r="X30" i="57"/>
  <c r="W30" i="57"/>
  <c r="V30" i="57"/>
  <c r="U30" i="57"/>
  <c r="Z30" i="57" s="1"/>
  <c r="S30" i="57" a="1"/>
  <c r="S30" i="57" s="1"/>
  <c r="AD29" i="57"/>
  <c r="AC29" i="57"/>
  <c r="Y29" i="57"/>
  <c r="V29" i="57"/>
  <c r="U29" i="57"/>
  <c r="S29" i="57" a="1"/>
  <c r="S29" i="57" s="1"/>
  <c r="AD28" i="57"/>
  <c r="AC28" i="57"/>
  <c r="Y28" i="57"/>
  <c r="V28" i="57"/>
  <c r="U28" i="57"/>
  <c r="S28" i="57" a="1"/>
  <c r="S28" i="57" s="1"/>
  <c r="AD27" i="57"/>
  <c r="AC27" i="57"/>
  <c r="Y27" i="57"/>
  <c r="V27" i="57"/>
  <c r="U27" i="57"/>
  <c r="S27" i="57" a="1"/>
  <c r="S27" i="57" s="1"/>
  <c r="AD26" i="57"/>
  <c r="AC26" i="57"/>
  <c r="Y26" i="57"/>
  <c r="U26" i="57"/>
  <c r="S26" i="57" a="1"/>
  <c r="S26" i="57" s="1"/>
  <c r="AD25" i="57"/>
  <c r="AC25" i="57"/>
  <c r="Y25" i="57"/>
  <c r="V25" i="57"/>
  <c r="U25" i="57"/>
  <c r="S25" i="57" a="1"/>
  <c r="S25" i="57" s="1"/>
  <c r="AD24" i="57"/>
  <c r="AC24" i="57"/>
  <c r="Y24" i="57"/>
  <c r="V24" i="57"/>
  <c r="R24" i="57"/>
  <c r="S24" i="57" s="1" a="1"/>
  <c r="S24" i="57" s="1"/>
  <c r="AD23" i="57"/>
  <c r="AB23" i="57"/>
  <c r="Y23" i="57"/>
  <c r="X23" i="57"/>
  <c r="W23" i="57"/>
  <c r="V23" i="57"/>
  <c r="R23" i="57"/>
  <c r="U23" i="57" s="1"/>
  <c r="AD22" i="57"/>
  <c r="AB22" i="57"/>
  <c r="Y22" i="57"/>
  <c r="X22" i="57"/>
  <c r="W22" i="57"/>
  <c r="V22" i="57"/>
  <c r="S22" i="57" a="1"/>
  <c r="S22" i="57" s="1"/>
  <c r="R22" i="57"/>
  <c r="AD21" i="57"/>
  <c r="AC21" i="57"/>
  <c r="Y21" i="57"/>
  <c r="X21" i="57"/>
  <c r="V21" i="57"/>
  <c r="U21" i="57"/>
  <c r="S21" i="57"/>
  <c r="W21" i="57" s="1"/>
  <c r="S21" i="57" a="1"/>
  <c r="R21" i="57"/>
  <c r="AD20" i="57"/>
  <c r="AC20" i="57"/>
  <c r="Y20" i="57"/>
  <c r="V20" i="57"/>
  <c r="R20" i="57"/>
  <c r="S20" i="57" s="1" a="1"/>
  <c r="S20" i="57" s="1"/>
  <c r="AD19" i="57"/>
  <c r="AC19" i="57"/>
  <c r="AB19" i="57"/>
  <c r="AA19" i="57"/>
  <c r="Y19" i="57"/>
  <c r="X19" i="57"/>
  <c r="W19" i="57"/>
  <c r="V19" i="57"/>
  <c r="S19" i="57" a="1"/>
  <c r="S19" i="57" s="1"/>
  <c r="Z19" i="57" s="1"/>
  <c r="R19" i="57"/>
  <c r="U19" i="57" s="1"/>
  <c r="AD18" i="57"/>
  <c r="AC18" i="57"/>
  <c r="AB18" i="57"/>
  <c r="AA18" i="57"/>
  <c r="Y18" i="57"/>
  <c r="X18" i="57"/>
  <c r="W18" i="57"/>
  <c r="V18" i="57"/>
  <c r="S18" i="57"/>
  <c r="S18" i="57" a="1"/>
  <c r="R18" i="57"/>
  <c r="AD17" i="57"/>
  <c r="AC17" i="57"/>
  <c r="AB17" i="57"/>
  <c r="AA17" i="57"/>
  <c r="Y17" i="57"/>
  <c r="X17" i="57"/>
  <c r="W17" i="57"/>
  <c r="V17" i="57"/>
  <c r="U17" i="57"/>
  <c r="S17" i="57"/>
  <c r="S17" i="57" a="1"/>
  <c r="R17" i="57"/>
  <c r="Z17" i="57" s="1"/>
  <c r="AE17" i="57" s="1"/>
  <c r="AD16" i="57"/>
  <c r="AC16" i="57"/>
  <c r="Y16" i="57"/>
  <c r="V16" i="57"/>
  <c r="U16" i="57"/>
  <c r="R16" i="57"/>
  <c r="S16" i="57" s="1" a="1"/>
  <c r="S16" i="57" s="1"/>
  <c r="AD15" i="57"/>
  <c r="AC15" i="57"/>
  <c r="AB15" i="57"/>
  <c r="AA15" i="57"/>
  <c r="Y15" i="57"/>
  <c r="X15" i="57"/>
  <c r="W15" i="57"/>
  <c r="V15" i="57"/>
  <c r="R15" i="57"/>
  <c r="U15" i="57" s="1"/>
  <c r="AD14" i="57"/>
  <c r="AC14" i="57"/>
  <c r="AB14" i="57"/>
  <c r="AA14" i="57"/>
  <c r="Y14" i="57"/>
  <c r="X14" i="57"/>
  <c r="W14" i="57"/>
  <c r="V14" i="57"/>
  <c r="S14" i="57" a="1"/>
  <c r="S14" i="57" s="1"/>
  <c r="R14" i="57"/>
  <c r="AD13" i="57"/>
  <c r="AC13" i="57"/>
  <c r="AB13" i="57"/>
  <c r="AA13" i="57"/>
  <c r="Y13" i="57"/>
  <c r="X13" i="57"/>
  <c r="W13" i="57"/>
  <c r="V13" i="57"/>
  <c r="U13" i="57"/>
  <c r="S13" i="57"/>
  <c r="S13" i="57" a="1"/>
  <c r="R13" i="57"/>
  <c r="AD12" i="57"/>
  <c r="AC12" i="57"/>
  <c r="AB12" i="57"/>
  <c r="AA12" i="57"/>
  <c r="Y12" i="57"/>
  <c r="X12" i="57"/>
  <c r="W12" i="57"/>
  <c r="V12" i="57"/>
  <c r="R12" i="57"/>
  <c r="S12" i="57" s="1" a="1"/>
  <c r="S12" i="57" s="1"/>
  <c r="AD11" i="57"/>
  <c r="AC11" i="57"/>
  <c r="AB11" i="57"/>
  <c r="AA11" i="57"/>
  <c r="Y11" i="57"/>
  <c r="X11" i="57"/>
  <c r="W11" i="57"/>
  <c r="V11" i="57"/>
  <c r="R11" i="57"/>
  <c r="U11" i="57" s="1"/>
  <c r="AD10" i="57"/>
  <c r="AC10" i="57"/>
  <c r="AB10" i="57"/>
  <c r="AA10" i="57"/>
  <c r="Y10" i="57"/>
  <c r="X10" i="57"/>
  <c r="W10" i="57"/>
  <c r="V10" i="57"/>
  <c r="S10" i="57" a="1"/>
  <c r="S10" i="57" s="1"/>
  <c r="R10" i="57"/>
  <c r="AD9" i="57"/>
  <c r="AC9" i="57"/>
  <c r="AB9" i="57"/>
  <c r="AA9" i="57"/>
  <c r="Y9" i="57"/>
  <c r="X9" i="57"/>
  <c r="W9" i="57"/>
  <c r="V9" i="57"/>
  <c r="U9" i="57"/>
  <c r="S9" i="57"/>
  <c r="S9" i="57" a="1"/>
  <c r="R9" i="57"/>
  <c r="AD8" i="57"/>
  <c r="AC8" i="57"/>
  <c r="Y8" i="57"/>
  <c r="V8" i="57"/>
  <c r="R8" i="57"/>
  <c r="S8" i="57" s="1" a="1"/>
  <c r="S8" i="57" s="1"/>
  <c r="AD7" i="57"/>
  <c r="AC7" i="57"/>
  <c r="AB7" i="57"/>
  <c r="AA7" i="57"/>
  <c r="Y7" i="57"/>
  <c r="X7" i="57"/>
  <c r="W7" i="57"/>
  <c r="V7" i="57"/>
  <c r="R7" i="57"/>
  <c r="U7" i="57" s="1"/>
  <c r="AD6" i="57"/>
  <c r="AC6" i="57"/>
  <c r="AB6" i="57"/>
  <c r="AA6" i="57"/>
  <c r="Y6" i="57"/>
  <c r="X6" i="57"/>
  <c r="W6" i="57"/>
  <c r="V6" i="57"/>
  <c r="S6" i="57" a="1"/>
  <c r="S6" i="57" s="1"/>
  <c r="R6" i="57"/>
  <c r="AD5" i="57"/>
  <c r="AC5" i="57"/>
  <c r="AB5" i="57"/>
  <c r="AA5" i="57"/>
  <c r="Y5" i="57"/>
  <c r="X5" i="57"/>
  <c r="W5" i="57"/>
  <c r="V5" i="57"/>
  <c r="S5" i="57" a="1"/>
  <c r="S5" i="57" s="1"/>
  <c r="R5" i="57"/>
  <c r="W6" i="56"/>
  <c r="W5" i="56"/>
  <c r="AD5" i="56"/>
  <c r="AC5" i="56"/>
  <c r="AB5" i="56"/>
  <c r="AA7" i="56"/>
  <c r="AA6" i="56"/>
  <c r="AA5" i="56"/>
  <c r="AA22" i="56"/>
  <c r="Z22" i="56"/>
  <c r="AC22" i="56" s="1"/>
  <c r="B6" i="44" a="1"/>
  <c r="B6" i="44" s="1"/>
  <c r="B7" i="44" a="1"/>
  <c r="B7" i="44" s="1"/>
  <c r="B8" i="44" a="1"/>
  <c r="B8" i="44" s="1"/>
  <c r="B9" i="44" a="1"/>
  <c r="B9" i="44" s="1"/>
  <c r="B10" i="44" a="1"/>
  <c r="B10" i="44" s="1"/>
  <c r="B11" i="44" a="1"/>
  <c r="B11" i="44" s="1"/>
  <c r="B12" i="44" a="1"/>
  <c r="B12" i="44" s="1"/>
  <c r="B13" i="44" a="1"/>
  <c r="B13" i="44" s="1"/>
  <c r="B14" i="44" a="1"/>
  <c r="B14" i="44" s="1"/>
  <c r="B15" i="44" a="1"/>
  <c r="B15" i="44" s="1"/>
  <c r="B16" i="44" a="1"/>
  <c r="B16" i="44" s="1"/>
  <c r="B17" i="44" a="1"/>
  <c r="B17" i="44" s="1"/>
  <c r="B18" i="44" a="1"/>
  <c r="B18" i="44" s="1"/>
  <c r="B19" i="44" a="1"/>
  <c r="B19" i="44" s="1"/>
  <c r="B20" i="44" a="1"/>
  <c r="B20" i="44" s="1"/>
  <c r="B21" i="44" a="1"/>
  <c r="B21" i="44" s="1"/>
  <c r="B22" i="44" a="1"/>
  <c r="B22" i="44" s="1"/>
  <c r="B23" i="44" a="1"/>
  <c r="B23" i="44" s="1"/>
  <c r="B24" i="44" a="1"/>
  <c r="B24" i="44" s="1"/>
  <c r="B25" i="44" a="1"/>
  <c r="B25" i="44" s="1"/>
  <c r="B26" i="44" a="1"/>
  <c r="B26" i="44" s="1"/>
  <c r="B27" i="44" a="1"/>
  <c r="B27" i="44" s="1"/>
  <c r="B28" i="44" a="1"/>
  <c r="B28" i="44" s="1"/>
  <c r="B29" i="44" a="1"/>
  <c r="B29" i="44" s="1"/>
  <c r="B30" i="44" a="1"/>
  <c r="B30" i="44" s="1"/>
  <c r="B31" i="44" a="1"/>
  <c r="B31" i="44" s="1"/>
  <c r="B32" i="44" a="1"/>
  <c r="B32" i="44" s="1"/>
  <c r="B33" i="44" a="1"/>
  <c r="B33" i="44" s="1"/>
  <c r="O33" i="44" s="1"/>
  <c r="B34" i="44" a="1"/>
  <c r="B34" i="44" s="1"/>
  <c r="B35" i="44" a="1"/>
  <c r="B35" i="44" s="1"/>
  <c r="B36" i="44" a="1"/>
  <c r="B36" i="44" s="1"/>
  <c r="B37" i="44" a="1"/>
  <c r="B37" i="44" s="1"/>
  <c r="B38" i="44" a="1"/>
  <c r="B38" i="44" s="1"/>
  <c r="B39" i="44" a="1"/>
  <c r="B39" i="44" s="1"/>
  <c r="B5" i="44" a="1"/>
  <c r="B5" i="44" s="1"/>
  <c r="S11" i="47" l="1"/>
  <c r="T11" i="47" s="1"/>
  <c r="X11" i="47" s="1"/>
  <c r="U11" i="47"/>
  <c r="Z11" i="47" s="1"/>
  <c r="Y11" i="47"/>
  <c r="L30" i="47"/>
  <c r="S30" i="47"/>
  <c r="T30" i="47" s="1"/>
  <c r="X30" i="47" s="1"/>
  <c r="Y30" i="47"/>
  <c r="U30" i="47"/>
  <c r="Z30" i="47" s="1"/>
  <c r="K22" i="47"/>
  <c r="S22" i="47"/>
  <c r="T22" i="47" s="1"/>
  <c r="X22" i="47" s="1"/>
  <c r="Y22" i="47"/>
  <c r="U22" i="47"/>
  <c r="Z22" i="47" s="1"/>
  <c r="K14" i="47"/>
  <c r="W14" i="47"/>
  <c r="S14" i="47"/>
  <c r="T14" i="47" s="1"/>
  <c r="X14" i="47" s="1"/>
  <c r="U14" i="47"/>
  <c r="Z14" i="47" s="1"/>
  <c r="Y14" i="47"/>
  <c r="K7" i="47"/>
  <c r="U7" i="47"/>
  <c r="Z7" i="47" s="1"/>
  <c r="Y7" i="47"/>
  <c r="S7" i="47"/>
  <c r="T7" i="47" s="1"/>
  <c r="X7" i="47" s="1"/>
  <c r="S33" i="47"/>
  <c r="T33" i="47" s="1"/>
  <c r="X33" i="47" s="1"/>
  <c r="U33" i="47"/>
  <c r="Z33" i="47" s="1"/>
  <c r="Y33" i="47"/>
  <c r="K25" i="47"/>
  <c r="S25" i="47"/>
  <c r="T25" i="47" s="1"/>
  <c r="X25" i="47" s="1"/>
  <c r="U25" i="47"/>
  <c r="Z25" i="47" s="1"/>
  <c r="Y25" i="47"/>
  <c r="K17" i="47"/>
  <c r="S17" i="47"/>
  <c r="T17" i="47" s="1"/>
  <c r="X17" i="47" s="1"/>
  <c r="U17" i="47"/>
  <c r="Z17" i="47" s="1"/>
  <c r="Y17" i="47"/>
  <c r="L10" i="47"/>
  <c r="W10" i="47"/>
  <c r="U10" i="47"/>
  <c r="Z10" i="47" s="1"/>
  <c r="Y10" i="47"/>
  <c r="S10" i="47"/>
  <c r="T10" i="47" s="1"/>
  <c r="X10" i="47" s="1"/>
  <c r="AE5" i="47"/>
  <c r="U5" i="47"/>
  <c r="Z5" i="47" s="1"/>
  <c r="Y5" i="47"/>
  <c r="S5" i="47"/>
  <c r="T5" i="47" s="1"/>
  <c r="X5" i="47" s="1"/>
  <c r="R36" i="47"/>
  <c r="S36" i="47"/>
  <c r="T36" i="47" s="1"/>
  <c r="X36" i="47" s="1"/>
  <c r="U36" i="47"/>
  <c r="Z36" i="47" s="1"/>
  <c r="Y36" i="47"/>
  <c r="K32" i="47"/>
  <c r="W32" i="47"/>
  <c r="U32" i="47"/>
  <c r="Z32" i="47" s="1"/>
  <c r="S32" i="47"/>
  <c r="T32" i="47" s="1"/>
  <c r="X32" i="47" s="1"/>
  <c r="Y32" i="47"/>
  <c r="K28" i="47"/>
  <c r="W28" i="47"/>
  <c r="U28" i="47"/>
  <c r="Z28" i="47" s="1"/>
  <c r="S28" i="47"/>
  <c r="T28" i="47" s="1"/>
  <c r="X28" i="47" s="1"/>
  <c r="Y28" i="47"/>
  <c r="L24" i="47"/>
  <c r="S24" i="47"/>
  <c r="T24" i="47" s="1"/>
  <c r="X24" i="47" s="1"/>
  <c r="U24" i="47"/>
  <c r="Z24" i="47" s="1"/>
  <c r="Y24" i="47"/>
  <c r="L20" i="47"/>
  <c r="S20" i="47"/>
  <c r="T20" i="47" s="1"/>
  <c r="X20" i="47" s="1"/>
  <c r="U20" i="47"/>
  <c r="Z20" i="47" s="1"/>
  <c r="Y20" i="47"/>
  <c r="L16" i="47"/>
  <c r="S16" i="47"/>
  <c r="T16" i="47" s="1"/>
  <c r="X16" i="47" s="1"/>
  <c r="Y16" i="47"/>
  <c r="U16" i="47"/>
  <c r="Z16" i="47" s="1"/>
  <c r="L12" i="47"/>
  <c r="W12" i="47"/>
  <c r="U12" i="47"/>
  <c r="Z12" i="47" s="1"/>
  <c r="Y12" i="47"/>
  <c r="S12" i="47"/>
  <c r="T12" i="47" s="1"/>
  <c r="X12" i="47" s="1"/>
  <c r="W9" i="47"/>
  <c r="U9" i="47"/>
  <c r="Z9" i="47" s="1"/>
  <c r="S9" i="47"/>
  <c r="T9" i="47" s="1"/>
  <c r="X9" i="47" s="1"/>
  <c r="Y9" i="47"/>
  <c r="W38" i="47"/>
  <c r="S38" i="47"/>
  <c r="T38" i="47" s="1"/>
  <c r="X38" i="47" s="1"/>
  <c r="Y38" i="47"/>
  <c r="U38" i="47"/>
  <c r="Z38" i="47" s="1"/>
  <c r="Q34" i="47"/>
  <c r="U34" i="47"/>
  <c r="Z34" i="47" s="1"/>
  <c r="Y34" i="47"/>
  <c r="S34" i="47"/>
  <c r="T34" i="47" s="1"/>
  <c r="X34" i="47" s="1"/>
  <c r="L26" i="47"/>
  <c r="W26" i="47"/>
  <c r="U26" i="47"/>
  <c r="Z26" i="47" s="1"/>
  <c r="Y26" i="47"/>
  <c r="S26" i="47"/>
  <c r="T26" i="47" s="1"/>
  <c r="X26" i="47" s="1"/>
  <c r="W18" i="47"/>
  <c r="U18" i="47"/>
  <c r="Z18" i="47" s="1"/>
  <c r="Y18" i="47"/>
  <c r="S18" i="47"/>
  <c r="T18" i="47" s="1"/>
  <c r="X18" i="47" s="1"/>
  <c r="W37" i="47"/>
  <c r="U37" i="47"/>
  <c r="Z37" i="47" s="1"/>
  <c r="Y37" i="47"/>
  <c r="S37" i="47"/>
  <c r="T37" i="47" s="1"/>
  <c r="X37" i="47" s="1"/>
  <c r="W29" i="47"/>
  <c r="U29" i="47"/>
  <c r="Z29" i="47" s="1"/>
  <c r="Y29" i="47"/>
  <c r="S29" i="47"/>
  <c r="T29" i="47" s="1"/>
  <c r="X29" i="47" s="1"/>
  <c r="K21" i="47"/>
  <c r="W21" i="47"/>
  <c r="U21" i="47"/>
  <c r="Z21" i="47" s="1"/>
  <c r="Y21" i="47"/>
  <c r="S21" i="47"/>
  <c r="T21" i="47" s="1"/>
  <c r="X21" i="47" s="1"/>
  <c r="AE13" i="47"/>
  <c r="W13" i="47"/>
  <c r="U13" i="47"/>
  <c r="Z13" i="47" s="1"/>
  <c r="S13" i="47"/>
  <c r="T13" i="47" s="1"/>
  <c r="X13" i="47" s="1"/>
  <c r="Y13" i="47"/>
  <c r="K6" i="47"/>
  <c r="S6" i="47"/>
  <c r="T6" i="47" s="1"/>
  <c r="X6" i="47" s="1"/>
  <c r="U6" i="47"/>
  <c r="Z6" i="47" s="1"/>
  <c r="Y6" i="47"/>
  <c r="U39" i="47"/>
  <c r="Z39" i="47" s="1"/>
  <c r="S39" i="47"/>
  <c r="T39" i="47" s="1"/>
  <c r="X39" i="47" s="1"/>
  <c r="Y39" i="47"/>
  <c r="S35" i="47"/>
  <c r="T35" i="47" s="1"/>
  <c r="X35" i="47" s="1"/>
  <c r="Y35" i="47"/>
  <c r="U35" i="47"/>
  <c r="Z35" i="47" s="1"/>
  <c r="K31" i="47"/>
  <c r="U31" i="47"/>
  <c r="Z31" i="47" s="1"/>
  <c r="S31" i="47"/>
  <c r="T31" i="47" s="1"/>
  <c r="X31" i="47" s="1"/>
  <c r="Y31" i="47"/>
  <c r="S27" i="47"/>
  <c r="T27" i="47" s="1"/>
  <c r="X27" i="47" s="1"/>
  <c r="Y27" i="47"/>
  <c r="U27" i="47"/>
  <c r="Z27" i="47" s="1"/>
  <c r="K23" i="47"/>
  <c r="W23" i="47"/>
  <c r="U23" i="47"/>
  <c r="Z23" i="47" s="1"/>
  <c r="S23" i="47"/>
  <c r="T23" i="47" s="1"/>
  <c r="X23" i="47" s="1"/>
  <c r="Y23" i="47"/>
  <c r="S19" i="47"/>
  <c r="T19" i="47" s="1"/>
  <c r="X19" i="47" s="1"/>
  <c r="Y19" i="47"/>
  <c r="U19" i="47"/>
  <c r="Z19" i="47" s="1"/>
  <c r="L15" i="47"/>
  <c r="W15" i="47"/>
  <c r="U15" i="47"/>
  <c r="Z15" i="47" s="1"/>
  <c r="Y15" i="47"/>
  <c r="S15" i="47"/>
  <c r="T15" i="47" s="1"/>
  <c r="X15" i="47" s="1"/>
  <c r="K8" i="47"/>
  <c r="S8" i="47"/>
  <c r="T8" i="47" s="1"/>
  <c r="X8" i="47" s="1"/>
  <c r="Y8" i="47"/>
  <c r="U8" i="47"/>
  <c r="Z8" i="47" s="1"/>
  <c r="K38" i="47"/>
  <c r="L22" i="47"/>
  <c r="K16" i="47"/>
  <c r="K10" i="47"/>
  <c r="N38" i="47"/>
  <c r="L32" i="47"/>
  <c r="L36" i="47"/>
  <c r="L8" i="47"/>
  <c r="Q33" i="47"/>
  <c r="AE33" i="47"/>
  <c r="K29" i="47"/>
  <c r="L29" i="47"/>
  <c r="AE29" i="47"/>
  <c r="P35" i="47"/>
  <c r="K35" i="47"/>
  <c r="L35" i="47"/>
  <c r="O37" i="47"/>
  <c r="AE37" i="47"/>
  <c r="N37" i="47"/>
  <c r="K37" i="47"/>
  <c r="Q37" i="47"/>
  <c r="R37" i="47"/>
  <c r="L37" i="47"/>
  <c r="K19" i="47"/>
  <c r="L19" i="47"/>
  <c r="K9" i="47"/>
  <c r="L9" i="47"/>
  <c r="L34" i="47"/>
  <c r="L5" i="47"/>
  <c r="K36" i="47"/>
  <c r="K30" i="47"/>
  <c r="K5" i="47"/>
  <c r="L28" i="47"/>
  <c r="K24" i="47"/>
  <c r="L39" i="47"/>
  <c r="L33" i="47"/>
  <c r="L31" i="47"/>
  <c r="L27" i="47"/>
  <c r="L25" i="47"/>
  <c r="L23" i="47"/>
  <c r="L21" i="47"/>
  <c r="L17" i="47"/>
  <c r="L13" i="47"/>
  <c r="L11" i="47"/>
  <c r="L7" i="47"/>
  <c r="O39" i="47"/>
  <c r="L18" i="47"/>
  <c r="L14" i="47"/>
  <c r="O34" i="47"/>
  <c r="K34" i="47"/>
  <c r="K20" i="47"/>
  <c r="K18" i="47"/>
  <c r="N34" i="47"/>
  <c r="K39" i="47"/>
  <c r="K33" i="47"/>
  <c r="K27" i="47"/>
  <c r="K15" i="47"/>
  <c r="K13" i="47"/>
  <c r="K11" i="47"/>
  <c r="AE17" i="47"/>
  <c r="AE25" i="47"/>
  <c r="AE31" i="47"/>
  <c r="AE28" i="47"/>
  <c r="AE22" i="47"/>
  <c r="AE7" i="47"/>
  <c r="AE23" i="47"/>
  <c r="R39" i="47"/>
  <c r="Q39" i="47"/>
  <c r="AE39" i="47"/>
  <c r="N39" i="47"/>
  <c r="N36" i="47"/>
  <c r="O36" i="47"/>
  <c r="Q36" i="47"/>
  <c r="AE36" i="47"/>
  <c r="O33" i="47"/>
  <c r="P33" i="47"/>
  <c r="R33" i="47"/>
  <c r="AE30" i="47"/>
  <c r="AE27" i="47"/>
  <c r="AE15" i="47"/>
  <c r="AE12" i="47"/>
  <c r="AE6" i="47"/>
  <c r="AE9" i="47"/>
  <c r="AE19" i="47"/>
  <c r="P36" i="47"/>
  <c r="Q38" i="47"/>
  <c r="AE38" i="47"/>
  <c r="P38" i="47"/>
  <c r="R38" i="47"/>
  <c r="R35" i="47"/>
  <c r="O35" i="47"/>
  <c r="Q35" i="47"/>
  <c r="AE35" i="47"/>
  <c r="N35" i="47"/>
  <c r="AE20" i="47"/>
  <c r="AE14" i="47"/>
  <c r="AE11" i="47"/>
  <c r="P39" i="47"/>
  <c r="O38" i="47"/>
  <c r="N33" i="47"/>
  <c r="AE21" i="47"/>
  <c r="AE32" i="47"/>
  <c r="AE24" i="47"/>
  <c r="AE16" i="47"/>
  <c r="AE8" i="47"/>
  <c r="P37" i="47"/>
  <c r="R34" i="47"/>
  <c r="P34" i="47"/>
  <c r="AE34" i="47"/>
  <c r="AE26" i="47"/>
  <c r="AE18" i="47"/>
  <c r="AE10" i="47"/>
  <c r="L5" i="44"/>
  <c r="K18" i="44"/>
  <c r="K28" i="44"/>
  <c r="P37" i="44"/>
  <c r="O37" i="44"/>
  <c r="S37" i="44"/>
  <c r="S39" i="44"/>
  <c r="O39" i="44"/>
  <c r="O36" i="44"/>
  <c r="K8" i="44"/>
  <c r="S34" i="44"/>
  <c r="K36" i="44"/>
  <c r="K26" i="44"/>
  <c r="K16" i="44"/>
  <c r="O34" i="44"/>
  <c r="K34" i="44"/>
  <c r="K24" i="44"/>
  <c r="K12" i="44"/>
  <c r="S36" i="44"/>
  <c r="K32" i="44"/>
  <c r="K20" i="44"/>
  <c r="K10" i="44"/>
  <c r="K25" i="44"/>
  <c r="L25" i="44"/>
  <c r="L38" i="44"/>
  <c r="P38" i="44"/>
  <c r="T38" i="44"/>
  <c r="K38" i="44"/>
  <c r="Q38" i="44"/>
  <c r="U38" i="44"/>
  <c r="N38" i="44"/>
  <c r="R38" i="44"/>
  <c r="P35" i="44"/>
  <c r="T35" i="44"/>
  <c r="K35" i="44"/>
  <c r="Q35" i="44"/>
  <c r="U35" i="44"/>
  <c r="L35" i="44"/>
  <c r="N35" i="44"/>
  <c r="R35" i="44"/>
  <c r="K29" i="44"/>
  <c r="L29" i="44"/>
  <c r="K19" i="44"/>
  <c r="L19" i="44"/>
  <c r="L6" i="44"/>
  <c r="K6" i="44"/>
  <c r="S38" i="44"/>
  <c r="K27" i="44"/>
  <c r="L27" i="44"/>
  <c r="K21" i="44"/>
  <c r="L21" i="44"/>
  <c r="K9" i="44"/>
  <c r="L9" i="44"/>
  <c r="O38" i="44"/>
  <c r="K7" i="44"/>
  <c r="L7" i="44"/>
  <c r="O35" i="44"/>
  <c r="L22" i="44"/>
  <c r="K22" i="44"/>
  <c r="P33" i="44"/>
  <c r="T33" i="44"/>
  <c r="K33" i="44"/>
  <c r="Q33" i="44"/>
  <c r="U33" i="44"/>
  <c r="L33" i="44"/>
  <c r="N33" i="44"/>
  <c r="R33" i="44"/>
  <c r="L30" i="44"/>
  <c r="K30" i="44"/>
  <c r="K17" i="44"/>
  <c r="L17" i="44"/>
  <c r="L14" i="44"/>
  <c r="K14" i="44"/>
  <c r="K11" i="44"/>
  <c r="L11" i="44"/>
  <c r="S35" i="44"/>
  <c r="S33" i="44"/>
  <c r="R39" i="44"/>
  <c r="N39" i="44"/>
  <c r="R37" i="44"/>
  <c r="N37" i="44"/>
  <c r="R36" i="44"/>
  <c r="N36" i="44"/>
  <c r="R34" i="44"/>
  <c r="N34" i="44"/>
  <c r="L39" i="44"/>
  <c r="L37" i="44"/>
  <c r="L31" i="44"/>
  <c r="L23" i="44"/>
  <c r="L15" i="44"/>
  <c r="L13" i="44"/>
  <c r="U39" i="44"/>
  <c r="Q39" i="44"/>
  <c r="U37" i="44"/>
  <c r="Q37" i="44"/>
  <c r="U36" i="44"/>
  <c r="Q36" i="44"/>
  <c r="U34" i="44"/>
  <c r="Q34" i="44"/>
  <c r="AE5" i="44"/>
  <c r="K39" i="44"/>
  <c r="K37" i="44"/>
  <c r="K31" i="44"/>
  <c r="K23" i="44"/>
  <c r="K15" i="44"/>
  <c r="K13" i="44"/>
  <c r="T39" i="44"/>
  <c r="P39" i="44"/>
  <c r="T37" i="44"/>
  <c r="T36" i="44"/>
  <c r="P36" i="44"/>
  <c r="T34" i="44"/>
  <c r="P34" i="44"/>
  <c r="K5" i="44"/>
  <c r="W5" i="44" s="1"/>
  <c r="L36" i="44"/>
  <c r="L34" i="44"/>
  <c r="L32" i="44"/>
  <c r="L28" i="44"/>
  <c r="L26" i="44"/>
  <c r="L24" i="44"/>
  <c r="L20" i="44"/>
  <c r="L18" i="44"/>
  <c r="L16" i="44"/>
  <c r="L12" i="44"/>
  <c r="L10" i="44"/>
  <c r="L8" i="44"/>
  <c r="AE30" i="57"/>
  <c r="AF30" i="57" s="1"/>
  <c r="AG30" i="57"/>
  <c r="AH30" i="57" s="1"/>
  <c r="AF33" i="57"/>
  <c r="AE33" i="57"/>
  <c r="AG33" i="57"/>
  <c r="AH33" i="57" s="1"/>
  <c r="AG34" i="57"/>
  <c r="AH34" i="57" s="1"/>
  <c r="AF34" i="57"/>
  <c r="AE34" i="57"/>
  <c r="AE37" i="57"/>
  <c r="AF37" i="57" s="1"/>
  <c r="AG37" i="57"/>
  <c r="AH37" i="57" s="1"/>
  <c r="AG19" i="57"/>
  <c r="AH19" i="57" s="1"/>
  <c r="AE19" i="57"/>
  <c r="AF19" i="57" s="1"/>
  <c r="AG38" i="57"/>
  <c r="AH38" i="57" s="1"/>
  <c r="AE38" i="57"/>
  <c r="AF38" i="57" s="1"/>
  <c r="Z5" i="57"/>
  <c r="Z28" i="57"/>
  <c r="AE36" i="57"/>
  <c r="AG36" i="57"/>
  <c r="AH36" i="57" s="1"/>
  <c r="AF36" i="57"/>
  <c r="X27" i="57"/>
  <c r="W27" i="57"/>
  <c r="Z27" i="57"/>
  <c r="X8" i="57"/>
  <c r="W8" i="57"/>
  <c r="X24" i="57"/>
  <c r="W24" i="57"/>
  <c r="AE32" i="57"/>
  <c r="AA32" i="57"/>
  <c r="AD32" i="57"/>
  <c r="Z35" i="57"/>
  <c r="U5" i="57"/>
  <c r="U8" i="57"/>
  <c r="Z8" i="57" s="1"/>
  <c r="Z9" i="57"/>
  <c r="S11" i="57" a="1"/>
  <c r="S11" i="57" s="1"/>
  <c r="Z18" i="57"/>
  <c r="S23" i="57" a="1"/>
  <c r="S23" i="57" s="1"/>
  <c r="Z23" i="57" s="1"/>
  <c r="U24" i="57"/>
  <c r="Z24" i="57" s="1"/>
  <c r="X25" i="57"/>
  <c r="W25" i="57"/>
  <c r="Z25" i="57"/>
  <c r="X29" i="57"/>
  <c r="W29" i="57"/>
  <c r="Z29" i="57"/>
  <c r="AF17" i="57"/>
  <c r="X20" i="57"/>
  <c r="W20" i="57"/>
  <c r="Z20" i="57" s="1"/>
  <c r="X31" i="57"/>
  <c r="W31" i="57"/>
  <c r="Z31" i="57"/>
  <c r="S7" i="57" a="1"/>
  <c r="S7" i="57" s="1"/>
  <c r="Z7" i="57" s="1"/>
  <c r="AG17" i="57"/>
  <c r="AH17" i="57" s="1"/>
  <c r="U20" i="57"/>
  <c r="Z21" i="57"/>
  <c r="X28" i="57"/>
  <c r="W28" i="57"/>
  <c r="AC32" i="57"/>
  <c r="AF32" i="57" s="1"/>
  <c r="Z39" i="57"/>
  <c r="U6" i="57"/>
  <c r="Z6" i="57" s="1"/>
  <c r="Z11" i="57"/>
  <c r="U12" i="57"/>
  <c r="Z12" i="57" s="1"/>
  <c r="Z13" i="57"/>
  <c r="S15" i="57" a="1"/>
  <c r="S15" i="57" s="1"/>
  <c r="Z15" i="57" s="1"/>
  <c r="X16" i="57"/>
  <c r="Z16" i="57" s="1"/>
  <c r="W16" i="57"/>
  <c r="X26" i="57"/>
  <c r="Z26" i="57" s="1"/>
  <c r="W26" i="57"/>
  <c r="AG32" i="57"/>
  <c r="AH32" i="57" s="1"/>
  <c r="U10" i="57"/>
  <c r="Z10" i="57" s="1"/>
  <c r="U14" i="57"/>
  <c r="Z14" i="57" s="1"/>
  <c r="U18" i="57"/>
  <c r="U22" i="57"/>
  <c r="Z22" i="57" s="1"/>
  <c r="W19" i="47" l="1"/>
  <c r="W16" i="47"/>
  <c r="W17" i="47"/>
  <c r="W22" i="47"/>
  <c r="W27" i="47"/>
  <c r="W31" i="47"/>
  <c r="W20" i="47"/>
  <c r="W36" i="47"/>
  <c r="W25" i="47"/>
  <c r="W30" i="47"/>
  <c r="W8" i="47"/>
  <c r="W35" i="47"/>
  <c r="W39" i="47"/>
  <c r="W6" i="47"/>
  <c r="W34" i="47"/>
  <c r="W24" i="47"/>
  <c r="W5" i="47"/>
  <c r="W33" i="47"/>
  <c r="W7" i="47"/>
  <c r="W11" i="47"/>
  <c r="AG10" i="57"/>
  <c r="AH10" i="57" s="1"/>
  <c r="AE10" i="57"/>
  <c r="AF10" i="57"/>
  <c r="AG23" i="57"/>
  <c r="AH23" i="57" s="1"/>
  <c r="AC23" i="57"/>
  <c r="AE23" i="57"/>
  <c r="AA23" i="57"/>
  <c r="AF23" i="57" s="1"/>
  <c r="AB8" i="57"/>
  <c r="AE8" i="57"/>
  <c r="AA8" i="57"/>
  <c r="AF8" i="57" s="1"/>
  <c r="AG8" i="57"/>
  <c r="AH8" i="57" s="1"/>
  <c r="AG22" i="57"/>
  <c r="AH22" i="57" s="1"/>
  <c r="AC22" i="57"/>
  <c r="AE22" i="57"/>
  <c r="AA22" i="57"/>
  <c r="AF22" i="57" s="1"/>
  <c r="AB16" i="57"/>
  <c r="AF16" i="57" s="1"/>
  <c r="AE16" i="57"/>
  <c r="AA16" i="57"/>
  <c r="AG16" i="57"/>
  <c r="AH16" i="57" s="1"/>
  <c r="AG6" i="57"/>
  <c r="AH6" i="57" s="1"/>
  <c r="AE6" i="57"/>
  <c r="AF6" i="57" s="1"/>
  <c r="AG7" i="57"/>
  <c r="AH7" i="57" s="1"/>
  <c r="AF7" i="57"/>
  <c r="AE7" i="57"/>
  <c r="AB20" i="57"/>
  <c r="AF20" i="57" s="1"/>
  <c r="AE20" i="57"/>
  <c r="AA20" i="57"/>
  <c r="AG20" i="57"/>
  <c r="AH20" i="57" s="1"/>
  <c r="AG14" i="57"/>
  <c r="AH14" i="57" s="1"/>
  <c r="AF14" i="57"/>
  <c r="AE14" i="57"/>
  <c r="AB26" i="57"/>
  <c r="AF26" i="57" s="1"/>
  <c r="AE26" i="57"/>
  <c r="AA26" i="57"/>
  <c r="AG26" i="57"/>
  <c r="AH26" i="57" s="1"/>
  <c r="AB24" i="57"/>
  <c r="AF24" i="57" s="1"/>
  <c r="AE24" i="57"/>
  <c r="AA24" i="57"/>
  <c r="AG24" i="57"/>
  <c r="AH24" i="57" s="1"/>
  <c r="AG11" i="57"/>
  <c r="AH11" i="57" s="1"/>
  <c r="AE11" i="57"/>
  <c r="AF11" i="57" s="1"/>
  <c r="AE21" i="57"/>
  <c r="AA21" i="57"/>
  <c r="AF21" i="57" s="1"/>
  <c r="AG21" i="57"/>
  <c r="AH21" i="57" s="1"/>
  <c r="AB21" i="57"/>
  <c r="AG15" i="57"/>
  <c r="AH15" i="57" s="1"/>
  <c r="AE15" i="57"/>
  <c r="AF15" i="57" s="1"/>
  <c r="AB31" i="57"/>
  <c r="AF31" i="57" s="1"/>
  <c r="AE31" i="57"/>
  <c r="AA31" i="57"/>
  <c r="AG31" i="57"/>
  <c r="AH31" i="57" s="1"/>
  <c r="AF29" i="57"/>
  <c r="AB29" i="57"/>
  <c r="AE29" i="57"/>
  <c r="AA29" i="57"/>
  <c r="AG29" i="57"/>
  <c r="AH29" i="57" s="1"/>
  <c r="AG18" i="57"/>
  <c r="AH18" i="57" s="1"/>
  <c r="AE18" i="57"/>
  <c r="AF18" i="57" s="1"/>
  <c r="AF27" i="57"/>
  <c r="AB27" i="57"/>
  <c r="AE27" i="57"/>
  <c r="AA27" i="57"/>
  <c r="AG27" i="57"/>
  <c r="AH27" i="57" s="1"/>
  <c r="AE5" i="57"/>
  <c r="AG5" i="57"/>
  <c r="AH5" i="57" s="1"/>
  <c r="AF5" i="57"/>
  <c r="AE13" i="57"/>
  <c r="AF13" i="57" s="1"/>
  <c r="AG13" i="57"/>
  <c r="AH13" i="57" s="1"/>
  <c r="AB25" i="57"/>
  <c r="AF25" i="57" s="1"/>
  <c r="AE25" i="57"/>
  <c r="AA25" i="57"/>
  <c r="AG25" i="57"/>
  <c r="AH25" i="57" s="1"/>
  <c r="AF28" i="57"/>
  <c r="AB28" i="57"/>
  <c r="AE28" i="57"/>
  <c r="AA28" i="57"/>
  <c r="AG28" i="57"/>
  <c r="AH28" i="57" s="1"/>
  <c r="AE12" i="57"/>
  <c r="AF12" i="57" s="1"/>
  <c r="AG12" i="57"/>
  <c r="AH12" i="57" s="1"/>
  <c r="AG39" i="57"/>
  <c r="AH39" i="57" s="1"/>
  <c r="AE39" i="57"/>
  <c r="AF39" i="57" s="1"/>
  <c r="AE9" i="57"/>
  <c r="AF9" i="57" s="1"/>
  <c r="AG9" i="57"/>
  <c r="AH9" i="57" s="1"/>
  <c r="AG35" i="57"/>
  <c r="AH35" i="57" s="1"/>
  <c r="AE35" i="57"/>
  <c r="AF35" i="57" s="1"/>
  <c r="AM23" i="46" l="1"/>
  <c r="AM19" i="46"/>
  <c r="V32" i="56"/>
  <c r="V31" i="56"/>
  <c r="V30" i="56"/>
  <c r="V29" i="56"/>
  <c r="V28" i="56"/>
  <c r="V27" i="56"/>
  <c r="V26" i="56"/>
  <c r="V25" i="56"/>
  <c r="V24" i="56"/>
  <c r="V23" i="56"/>
  <c r="V22" i="56"/>
  <c r="V21" i="56"/>
  <c r="V20" i="56"/>
  <c r="V19" i="56"/>
  <c r="V18" i="56"/>
  <c r="V17" i="56"/>
  <c r="V16" i="56"/>
  <c r="V15" i="56"/>
  <c r="V14" i="56"/>
  <c r="V13" i="56"/>
  <c r="V12" i="56"/>
  <c r="V11" i="56"/>
  <c r="V10" i="56"/>
  <c r="V9" i="56"/>
  <c r="V8" i="56"/>
  <c r="V7" i="56"/>
  <c r="V6" i="56"/>
  <c r="V5" i="56"/>
  <c r="AD39" i="56"/>
  <c r="AC39" i="56"/>
  <c r="AB39" i="56"/>
  <c r="AA39" i="56"/>
  <c r="Y39" i="56"/>
  <c r="X39" i="56"/>
  <c r="W39" i="56"/>
  <c r="U39" i="56"/>
  <c r="S39" i="56" a="1"/>
  <c r="S39" i="56" s="1"/>
  <c r="Z39" i="56" s="1"/>
  <c r="AD38" i="56"/>
  <c r="AC38" i="56"/>
  <c r="AB38" i="56"/>
  <c r="AA38" i="56"/>
  <c r="Y38" i="56"/>
  <c r="X38" i="56"/>
  <c r="W38" i="56"/>
  <c r="U38" i="56"/>
  <c r="S38" i="56" a="1"/>
  <c r="S38" i="56" s="1"/>
  <c r="Z38" i="56" s="1"/>
  <c r="AD37" i="56"/>
  <c r="AC37" i="56"/>
  <c r="AB37" i="56"/>
  <c r="AA37" i="56"/>
  <c r="Y37" i="56"/>
  <c r="X37" i="56"/>
  <c r="W37" i="56"/>
  <c r="U37" i="56"/>
  <c r="S37" i="56"/>
  <c r="Z37" i="56" s="1"/>
  <c r="S37" i="56" a="1"/>
  <c r="AD36" i="56"/>
  <c r="AC36" i="56"/>
  <c r="AB36" i="56"/>
  <c r="AA36" i="56"/>
  <c r="Y36" i="56"/>
  <c r="X36" i="56"/>
  <c r="W36" i="56"/>
  <c r="U36" i="56"/>
  <c r="S36" i="56" a="1"/>
  <c r="S36" i="56" s="1"/>
  <c r="Z36" i="56" s="1"/>
  <c r="AD35" i="56"/>
  <c r="AC35" i="56"/>
  <c r="AB35" i="56"/>
  <c r="AA35" i="56"/>
  <c r="Y35" i="56"/>
  <c r="X35" i="56"/>
  <c r="W35" i="56"/>
  <c r="U35" i="56"/>
  <c r="S35" i="56" a="1"/>
  <c r="S35" i="56" s="1"/>
  <c r="Z35" i="56" s="1"/>
  <c r="AD34" i="56"/>
  <c r="AC34" i="56"/>
  <c r="AB34" i="56"/>
  <c r="AA34" i="56"/>
  <c r="Y34" i="56"/>
  <c r="X34" i="56"/>
  <c r="W34" i="56"/>
  <c r="U34" i="56"/>
  <c r="S34" i="56" a="1"/>
  <c r="S34" i="56" s="1"/>
  <c r="Z34" i="56" s="1"/>
  <c r="AD33" i="56"/>
  <c r="AC33" i="56"/>
  <c r="AB33" i="56"/>
  <c r="AA33" i="56"/>
  <c r="Y33" i="56"/>
  <c r="X33" i="56"/>
  <c r="W33" i="56"/>
  <c r="U33" i="56"/>
  <c r="S33" i="56"/>
  <c r="Z33" i="56" s="1"/>
  <c r="S33" i="56" a="1"/>
  <c r="U32" i="56"/>
  <c r="S32" i="56"/>
  <c r="Z32" i="56" s="1"/>
  <c r="S32" i="56" a="1"/>
  <c r="AD31" i="56"/>
  <c r="AC31" i="56"/>
  <c r="Y31" i="56"/>
  <c r="U31" i="56"/>
  <c r="S31" i="56"/>
  <c r="W31" i="56" s="1"/>
  <c r="S31" i="56" a="1"/>
  <c r="AD30" i="56"/>
  <c r="AC30" i="56"/>
  <c r="AB30" i="56"/>
  <c r="AA30" i="56"/>
  <c r="Y30" i="56"/>
  <c r="X30" i="56"/>
  <c r="W30" i="56"/>
  <c r="U30" i="56"/>
  <c r="S30" i="56"/>
  <c r="S30" i="56" a="1"/>
  <c r="AD29" i="56"/>
  <c r="AC29" i="56"/>
  <c r="Y29" i="56"/>
  <c r="X29" i="56"/>
  <c r="U29" i="56"/>
  <c r="S29" i="56"/>
  <c r="W29" i="56" s="1"/>
  <c r="S29" i="56" a="1"/>
  <c r="AD28" i="56"/>
  <c r="AC28" i="56"/>
  <c r="Y28" i="56"/>
  <c r="U28" i="56"/>
  <c r="S28" i="56"/>
  <c r="W28" i="56" s="1"/>
  <c r="S28" i="56" a="1"/>
  <c r="AD27" i="56"/>
  <c r="AC27" i="56"/>
  <c r="Y27" i="56"/>
  <c r="U27" i="56"/>
  <c r="S27" i="56"/>
  <c r="W27" i="56" s="1"/>
  <c r="S27" i="56" a="1"/>
  <c r="AD26" i="56"/>
  <c r="AC26" i="56"/>
  <c r="Y26" i="56"/>
  <c r="U26" i="56"/>
  <c r="S26" i="56"/>
  <c r="W26" i="56" s="1"/>
  <c r="S26" i="56" a="1"/>
  <c r="AD25" i="56"/>
  <c r="AC25" i="56"/>
  <c r="Y25" i="56"/>
  <c r="U25" i="56"/>
  <c r="S25" i="56" a="1"/>
  <c r="S25" i="56" s="1"/>
  <c r="AD24" i="56"/>
  <c r="AC24" i="56"/>
  <c r="Y24" i="56"/>
  <c r="W24" i="56"/>
  <c r="S24" i="56" a="1"/>
  <c r="S24" i="56" s="1"/>
  <c r="X24" i="56" s="1"/>
  <c r="R24" i="56"/>
  <c r="AD23" i="56"/>
  <c r="AB23" i="56"/>
  <c r="Y23" i="56"/>
  <c r="X23" i="56"/>
  <c r="W23" i="56"/>
  <c r="S23" i="56" a="1"/>
  <c r="S23" i="56" s="1"/>
  <c r="R23" i="56"/>
  <c r="AD22" i="56"/>
  <c r="AB22" i="56"/>
  <c r="Y22" i="56"/>
  <c r="X22" i="56"/>
  <c r="W22" i="56"/>
  <c r="S22" i="56" a="1"/>
  <c r="S22" i="56" s="1"/>
  <c r="R22" i="56"/>
  <c r="AD21" i="56"/>
  <c r="AC21" i="56"/>
  <c r="Y21" i="56"/>
  <c r="X21" i="56"/>
  <c r="S21" i="56"/>
  <c r="W21" i="56" s="1"/>
  <c r="S21" i="56" a="1"/>
  <c r="R21" i="56"/>
  <c r="AD20" i="56"/>
  <c r="AC20" i="56"/>
  <c r="Y20" i="56"/>
  <c r="U20" i="56"/>
  <c r="S20" i="56"/>
  <c r="X20" i="56" s="1"/>
  <c r="S20" i="56" a="1"/>
  <c r="R20" i="56"/>
  <c r="AD19" i="56"/>
  <c r="AC19" i="56"/>
  <c r="AB19" i="56"/>
  <c r="AA19" i="56"/>
  <c r="Y19" i="56"/>
  <c r="X19" i="56"/>
  <c r="W19" i="56"/>
  <c r="R19" i="56"/>
  <c r="AD18" i="56"/>
  <c r="AC18" i="56"/>
  <c r="AB18" i="56"/>
  <c r="AA18" i="56"/>
  <c r="Y18" i="56"/>
  <c r="X18" i="56"/>
  <c r="W18" i="56"/>
  <c r="S18" i="56" a="1"/>
  <c r="S18" i="56" s="1"/>
  <c r="R18" i="56"/>
  <c r="AD17" i="56"/>
  <c r="AC17" i="56"/>
  <c r="AB17" i="56"/>
  <c r="AA17" i="56"/>
  <c r="Y17" i="56"/>
  <c r="X17" i="56"/>
  <c r="W17" i="56"/>
  <c r="S17" i="56"/>
  <c r="S17" i="56" a="1"/>
  <c r="R17" i="56"/>
  <c r="AD16" i="56"/>
  <c r="AC16" i="56"/>
  <c r="Y16" i="56"/>
  <c r="U16" i="56"/>
  <c r="S16" i="56"/>
  <c r="X16" i="56" s="1"/>
  <c r="S16" i="56" a="1"/>
  <c r="R16" i="56"/>
  <c r="AD15" i="56"/>
  <c r="AC15" i="56"/>
  <c r="AB15" i="56"/>
  <c r="AA15" i="56"/>
  <c r="Y15" i="56"/>
  <c r="X15" i="56"/>
  <c r="W15" i="56"/>
  <c r="R15" i="56"/>
  <c r="AD14" i="56"/>
  <c r="AC14" i="56"/>
  <c r="AB14" i="56"/>
  <c r="AA14" i="56"/>
  <c r="Y14" i="56"/>
  <c r="X14" i="56"/>
  <c r="W14" i="56"/>
  <c r="S14" i="56" a="1"/>
  <c r="S14" i="56" s="1"/>
  <c r="R14" i="56"/>
  <c r="AD13" i="56"/>
  <c r="AC13" i="56"/>
  <c r="AB13" i="56"/>
  <c r="AA13" i="56"/>
  <c r="Y13" i="56"/>
  <c r="X13" i="56"/>
  <c r="W13" i="56"/>
  <c r="S13" i="56"/>
  <c r="S13" i="56" a="1"/>
  <c r="R13" i="56"/>
  <c r="AD12" i="56"/>
  <c r="AC12" i="56"/>
  <c r="AB12" i="56"/>
  <c r="AA12" i="56"/>
  <c r="Y12" i="56"/>
  <c r="X12" i="56"/>
  <c r="W12" i="56"/>
  <c r="U12" i="56"/>
  <c r="S12" i="56"/>
  <c r="S12" i="56" a="1"/>
  <c r="R12" i="56"/>
  <c r="AD11" i="56"/>
  <c r="AC11" i="56"/>
  <c r="AB11" i="56"/>
  <c r="AA11" i="56"/>
  <c r="Y11" i="56"/>
  <c r="X11" i="56"/>
  <c r="W11" i="56"/>
  <c r="R11" i="56"/>
  <c r="AD10" i="56"/>
  <c r="AC10" i="56"/>
  <c r="AB10" i="56"/>
  <c r="AA10" i="56"/>
  <c r="Y10" i="56"/>
  <c r="X10" i="56"/>
  <c r="W10" i="56"/>
  <c r="S10" i="56" a="1"/>
  <c r="S10" i="56" s="1"/>
  <c r="R10" i="56"/>
  <c r="AD9" i="56"/>
  <c r="AC9" i="56"/>
  <c r="AB9" i="56"/>
  <c r="AA9" i="56"/>
  <c r="Y9" i="56"/>
  <c r="X9" i="56"/>
  <c r="W9" i="56"/>
  <c r="S9" i="56"/>
  <c r="S9" i="56" a="1"/>
  <c r="R9" i="56"/>
  <c r="AD8" i="56"/>
  <c r="AC8" i="56"/>
  <c r="Y8" i="56"/>
  <c r="U8" i="56"/>
  <c r="S8" i="56"/>
  <c r="X8" i="56" s="1"/>
  <c r="S8" i="56" a="1"/>
  <c r="R8" i="56"/>
  <c r="AD7" i="56"/>
  <c r="AC7" i="56"/>
  <c r="AB7" i="56"/>
  <c r="Y7" i="56"/>
  <c r="X7" i="56"/>
  <c r="W7" i="56"/>
  <c r="R7" i="56"/>
  <c r="AD6" i="56"/>
  <c r="AC6" i="56"/>
  <c r="AB6" i="56"/>
  <c r="Y6" i="56"/>
  <c r="X6" i="56"/>
  <c r="S6" i="56" a="1"/>
  <c r="S6" i="56" s="1"/>
  <c r="R6" i="56"/>
  <c r="Y5" i="56"/>
  <c r="X5" i="56"/>
  <c r="S5" i="56"/>
  <c r="S5" i="56" a="1"/>
  <c r="R5" i="56"/>
  <c r="G5" i="45"/>
  <c r="Z30" i="56" l="1"/>
  <c r="AG30" i="56" s="1"/>
  <c r="AH30" i="56" s="1"/>
  <c r="U19" i="56"/>
  <c r="S19" i="56" a="1"/>
  <c r="S19" i="56" s="1"/>
  <c r="Z19" i="56" s="1"/>
  <c r="Z21" i="56"/>
  <c r="Z12" i="56"/>
  <c r="U15" i="56"/>
  <c r="S15" i="56" a="1"/>
  <c r="S15" i="56" s="1"/>
  <c r="Z15" i="56" s="1"/>
  <c r="AE32" i="56"/>
  <c r="AA32" i="56"/>
  <c r="AD32" i="56"/>
  <c r="AG32" i="56"/>
  <c r="AH32" i="56" s="1"/>
  <c r="AC32" i="56"/>
  <c r="AB32" i="56"/>
  <c r="AG34" i="56"/>
  <c r="AH34" i="56" s="1"/>
  <c r="AE34" i="56"/>
  <c r="AF34" i="56" s="1"/>
  <c r="AF37" i="56"/>
  <c r="AE37" i="56"/>
  <c r="AG37" i="56"/>
  <c r="AH37" i="56" s="1"/>
  <c r="U11" i="56"/>
  <c r="S11" i="56" a="1"/>
  <c r="S11" i="56" s="1"/>
  <c r="Z11" i="56" s="1"/>
  <c r="Z14" i="56"/>
  <c r="AG35" i="56"/>
  <c r="AH35" i="56" s="1"/>
  <c r="AE35" i="56"/>
  <c r="AF35" i="56"/>
  <c r="AG38" i="56"/>
  <c r="AH38" i="56" s="1"/>
  <c r="AE38" i="56"/>
  <c r="AF38" i="56" s="1"/>
  <c r="Z5" i="56"/>
  <c r="Z6" i="56"/>
  <c r="AE33" i="56"/>
  <c r="AF33" i="56" s="1"/>
  <c r="AG33" i="56"/>
  <c r="AH33" i="56" s="1"/>
  <c r="U7" i="56"/>
  <c r="S7" i="56" a="1"/>
  <c r="S7" i="56" s="1"/>
  <c r="Z10" i="56"/>
  <c r="W25" i="56"/>
  <c r="X25" i="56"/>
  <c r="AE30" i="56"/>
  <c r="AF30" i="56" s="1"/>
  <c r="AE36" i="56"/>
  <c r="AF36" i="56"/>
  <c r="AG36" i="56"/>
  <c r="AH36" i="56" s="1"/>
  <c r="AG39" i="56"/>
  <c r="AH39" i="56" s="1"/>
  <c r="AE39" i="56"/>
  <c r="AF39" i="56"/>
  <c r="U5" i="56"/>
  <c r="U9" i="56"/>
  <c r="Z9" i="56" s="1"/>
  <c r="U13" i="56"/>
  <c r="Z13" i="56" s="1"/>
  <c r="U17" i="56"/>
  <c r="Z17" i="56" s="1"/>
  <c r="U21" i="56"/>
  <c r="X27" i="56"/>
  <c r="U6" i="56"/>
  <c r="W8" i="56"/>
  <c r="U10" i="56"/>
  <c r="U14" i="56"/>
  <c r="W16" i="56"/>
  <c r="U18" i="56"/>
  <c r="Z18" i="56" s="1"/>
  <c r="W20" i="56"/>
  <c r="U22" i="56"/>
  <c r="U23" i="56"/>
  <c r="Z23" i="56" s="1"/>
  <c r="U24" i="56"/>
  <c r="Z24" i="56" s="1"/>
  <c r="Z27" i="56"/>
  <c r="Z29" i="56"/>
  <c r="X26" i="56"/>
  <c r="X28" i="56"/>
  <c r="X31" i="56"/>
  <c r="AE5" i="56" l="1"/>
  <c r="AF5" i="56" s="1"/>
  <c r="Z8" i="56"/>
  <c r="Z28" i="56"/>
  <c r="Z26" i="56"/>
  <c r="Z16" i="56"/>
  <c r="Z20" i="56"/>
  <c r="Z31" i="56"/>
  <c r="Z25" i="56"/>
  <c r="AE25" i="56" s="1"/>
  <c r="AF32" i="56"/>
  <c r="AE28" i="56"/>
  <c r="AA28" i="56"/>
  <c r="AB28" i="56"/>
  <c r="AG28" i="56"/>
  <c r="AH28" i="56" s="1"/>
  <c r="AG24" i="56"/>
  <c r="AH24" i="56" s="1"/>
  <c r="AB24" i="56"/>
  <c r="AA24" i="56"/>
  <c r="AE24" i="56"/>
  <c r="AG18" i="56"/>
  <c r="AH18" i="56" s="1"/>
  <c r="AE18" i="56"/>
  <c r="AF18" i="56" s="1"/>
  <c r="AB8" i="56"/>
  <c r="AE8" i="56"/>
  <c r="AA8" i="56"/>
  <c r="AG8" i="56"/>
  <c r="AH8" i="56" s="1"/>
  <c r="AE17" i="56"/>
  <c r="AF17" i="56" s="1"/>
  <c r="AG17" i="56"/>
  <c r="AH17" i="56" s="1"/>
  <c r="AG25" i="56"/>
  <c r="AH25" i="56" s="1"/>
  <c r="AE31" i="56"/>
  <c r="AA31" i="56"/>
  <c r="AB31" i="56"/>
  <c r="AG31" i="56"/>
  <c r="AH31" i="56" s="1"/>
  <c r="AE26" i="56"/>
  <c r="AA26" i="56"/>
  <c r="AG26" i="56"/>
  <c r="AH26" i="56" s="1"/>
  <c r="AB26" i="56"/>
  <c r="AF26" i="56" s="1"/>
  <c r="AE23" i="56"/>
  <c r="AA23" i="56"/>
  <c r="AG23" i="56"/>
  <c r="AH23" i="56" s="1"/>
  <c r="AC23" i="56"/>
  <c r="AB16" i="56"/>
  <c r="AE16" i="56"/>
  <c r="AF16" i="56" s="1"/>
  <c r="AA16" i="56"/>
  <c r="AG16" i="56"/>
  <c r="AH16" i="56" s="1"/>
  <c r="AE13" i="56"/>
  <c r="AF13" i="56" s="1"/>
  <c r="AG13" i="56"/>
  <c r="AH13" i="56" s="1"/>
  <c r="AG15" i="56"/>
  <c r="AH15" i="56" s="1"/>
  <c r="AE15" i="56"/>
  <c r="AF15" i="56" s="1"/>
  <c r="AG19" i="56"/>
  <c r="AH19" i="56" s="1"/>
  <c r="AE19" i="56"/>
  <c r="AF19" i="56" s="1"/>
  <c r="AE22" i="56"/>
  <c r="AG22" i="56"/>
  <c r="AH22" i="56" s="1"/>
  <c r="AE9" i="56"/>
  <c r="AF9" i="56" s="1"/>
  <c r="AG9" i="56"/>
  <c r="AH9" i="56" s="1"/>
  <c r="AE29" i="56"/>
  <c r="AA29" i="56"/>
  <c r="AB29" i="56"/>
  <c r="AG29" i="56"/>
  <c r="AH29" i="56" s="1"/>
  <c r="AG14" i="56"/>
  <c r="AH14" i="56" s="1"/>
  <c r="AE14" i="56"/>
  <c r="AF14" i="56" s="1"/>
  <c r="AB20" i="56"/>
  <c r="AE20" i="56"/>
  <c r="AA20" i="56"/>
  <c r="AG20" i="56"/>
  <c r="AH20" i="56" s="1"/>
  <c r="AG6" i="56"/>
  <c r="AH6" i="56" s="1"/>
  <c r="AE6" i="56"/>
  <c r="AF6" i="56" s="1"/>
  <c r="AE12" i="56"/>
  <c r="AF12" i="56" s="1"/>
  <c r="AG12" i="56"/>
  <c r="AH12" i="56" s="1"/>
  <c r="AG11" i="56"/>
  <c r="AH11" i="56" s="1"/>
  <c r="AE11" i="56"/>
  <c r="AF11" i="56" s="1"/>
  <c r="AG10" i="56"/>
  <c r="AH10" i="56" s="1"/>
  <c r="AE10" i="56"/>
  <c r="AF10" i="56" s="1"/>
  <c r="AG5" i="56"/>
  <c r="AH5" i="56" s="1"/>
  <c r="AE21" i="56"/>
  <c r="AA21" i="56"/>
  <c r="AG21" i="56"/>
  <c r="AH21" i="56" s="1"/>
  <c r="AB21" i="56"/>
  <c r="AF21" i="56" s="1"/>
  <c r="AE27" i="56"/>
  <c r="AA27" i="56"/>
  <c r="AF27" i="56" s="1"/>
  <c r="AB27" i="56"/>
  <c r="AG27" i="56"/>
  <c r="AH27" i="56" s="1"/>
  <c r="Z7" i="56"/>
  <c r="AF22" i="56" l="1"/>
  <c r="AB25" i="56"/>
  <c r="AF24" i="56"/>
  <c r="AF23" i="56"/>
  <c r="AA25" i="56"/>
  <c r="AF20" i="56"/>
  <c r="AF31" i="56"/>
  <c r="AF29" i="56"/>
  <c r="AF28" i="56"/>
  <c r="AF8" i="56"/>
  <c r="AG7" i="56"/>
  <c r="AH7" i="56" s="1"/>
  <c r="AE7" i="56"/>
  <c r="AF7" i="56" s="1"/>
  <c r="AF25" i="56" l="1"/>
  <c r="AF21" i="49" l="1"/>
  <c r="V24" i="49"/>
  <c r="V21" i="49"/>
  <c r="B31" i="41" a="1"/>
  <c r="B31" i="41" s="1"/>
  <c r="B32" i="41" a="1"/>
  <c r="B32" i="41" s="1"/>
  <c r="B33" i="41" a="1"/>
  <c r="B33" i="41" s="1"/>
  <c r="B34" i="41" a="1"/>
  <c r="B34" i="41" s="1"/>
  <c r="B35" i="41" a="1"/>
  <c r="B35" i="41" s="1"/>
  <c r="B36" i="41" a="1"/>
  <c r="B36" i="41" s="1"/>
  <c r="B37" i="41" a="1"/>
  <c r="B37" i="41" s="1"/>
  <c r="B38" i="41" a="1"/>
  <c r="B38" i="41" s="1"/>
  <c r="B39" i="41" a="1"/>
  <c r="B39" i="41" s="1"/>
  <c r="J5" i="45" l="1"/>
  <c r="Z33" i="49"/>
  <c r="AA33" i="49"/>
  <c r="AB33" i="49"/>
  <c r="AC33" i="49"/>
  <c r="AF33" i="49" s="1"/>
  <c r="AD33" i="49"/>
  <c r="AE33" i="49"/>
  <c r="AG33" i="49"/>
  <c r="AH33" i="49" s="1"/>
  <c r="Z34" i="49"/>
  <c r="AA34" i="49"/>
  <c r="AB34" i="49"/>
  <c r="AF34" i="49" s="1"/>
  <c r="AC34" i="49"/>
  <c r="AD34" i="49"/>
  <c r="AE34" i="49"/>
  <c r="AG34" i="49"/>
  <c r="AH34" i="49" s="1"/>
  <c r="Z35" i="49"/>
  <c r="AG35" i="49" s="1"/>
  <c r="AH35" i="49" s="1"/>
  <c r="AA35" i="49"/>
  <c r="AF35" i="49" s="1"/>
  <c r="AB35" i="49"/>
  <c r="AC35" i="49"/>
  <c r="AD35" i="49"/>
  <c r="AE35" i="49"/>
  <c r="Z36" i="49"/>
  <c r="AE36" i="49" s="1"/>
  <c r="AA36" i="49"/>
  <c r="AB36" i="49"/>
  <c r="AC36" i="49"/>
  <c r="AD36" i="49"/>
  <c r="Y36" i="49"/>
  <c r="Y35" i="49"/>
  <c r="Y34" i="49"/>
  <c r="Y33" i="49"/>
  <c r="U36" i="49"/>
  <c r="S36" i="49" a="1"/>
  <c r="S36" i="49" s="1"/>
  <c r="S34" i="49" a="1"/>
  <c r="S34" i="49" s="1"/>
  <c r="S33" i="49" a="1"/>
  <c r="S33" i="49" s="1"/>
  <c r="U34" i="49"/>
  <c r="U33" i="49"/>
  <c r="AJ32" i="41"/>
  <c r="AF5" i="41"/>
  <c r="B5" i="41" a="1"/>
  <c r="B5" i="41" s="1"/>
  <c r="B6" i="55" a="1"/>
  <c r="B6" i="55" s="1"/>
  <c r="AB6" i="55"/>
  <c r="AC6" i="55"/>
  <c r="B7" i="55" a="1"/>
  <c r="B7" i="55" s="1"/>
  <c r="AB7" i="55"/>
  <c r="AC7" i="55"/>
  <c r="B8" i="55" a="1"/>
  <c r="B8" i="55" s="1"/>
  <c r="D8" i="55"/>
  <c r="H8" i="55" s="1"/>
  <c r="AB8" i="55"/>
  <c r="AC8" i="55"/>
  <c r="B9" i="55" a="1"/>
  <c r="B9" i="55" s="1"/>
  <c r="D9" i="55"/>
  <c r="H9" i="55" s="1"/>
  <c r="AB9" i="55"/>
  <c r="AC9" i="55"/>
  <c r="AE9" i="55"/>
  <c r="B10" i="55" a="1"/>
  <c r="B10" i="55" s="1"/>
  <c r="D10" i="55" s="1"/>
  <c r="H10" i="55" s="1"/>
  <c r="N10" i="55" s="1"/>
  <c r="AB10" i="55"/>
  <c r="AC10" i="55"/>
  <c r="B11" i="55" a="1"/>
  <c r="B11" i="55" s="1"/>
  <c r="AB11" i="55"/>
  <c r="AC11" i="55"/>
  <c r="B12" i="55" a="1"/>
  <c r="B12" i="55" s="1"/>
  <c r="D12" i="55" s="1"/>
  <c r="H12" i="55" s="1"/>
  <c r="AB12" i="55"/>
  <c r="AC12" i="55"/>
  <c r="B13" i="55" a="1"/>
  <c r="B13" i="55" s="1"/>
  <c r="AB13" i="55"/>
  <c r="AC13" i="55"/>
  <c r="B14" i="55" a="1"/>
  <c r="B14" i="55" s="1"/>
  <c r="AE14" i="55" s="1"/>
  <c r="D14" i="55"/>
  <c r="H14" i="55" s="1"/>
  <c r="K14" i="55"/>
  <c r="W14" i="55" s="1"/>
  <c r="X14" i="55" s="1"/>
  <c r="AB14" i="55"/>
  <c r="AC14" i="55"/>
  <c r="B15" i="55" a="1"/>
  <c r="B15" i="55" s="1"/>
  <c r="AB15" i="55"/>
  <c r="AC15" i="55"/>
  <c r="B16" i="55" a="1"/>
  <c r="B16" i="55" s="1"/>
  <c r="D16" i="55"/>
  <c r="H16" i="55" s="1"/>
  <c r="AB16" i="55"/>
  <c r="AC16" i="55"/>
  <c r="B17" i="55" a="1"/>
  <c r="B17" i="55" s="1"/>
  <c r="D17" i="55"/>
  <c r="H17" i="55" s="1"/>
  <c r="AB17" i="55"/>
  <c r="AC17" i="55"/>
  <c r="AE17" i="55"/>
  <c r="B18" i="55" a="1"/>
  <c r="B18" i="55" s="1"/>
  <c r="D18" i="55" s="1"/>
  <c r="H18" i="55" s="1"/>
  <c r="P18" i="55" s="1"/>
  <c r="K18" i="55"/>
  <c r="W18" i="55" s="1"/>
  <c r="X18" i="55" s="1"/>
  <c r="AB18" i="55"/>
  <c r="AC18" i="55"/>
  <c r="B19" i="55" a="1"/>
  <c r="B19" i="55" s="1"/>
  <c r="K19" i="55"/>
  <c r="W19" i="55" s="1"/>
  <c r="AB19" i="55"/>
  <c r="AC19" i="55"/>
  <c r="B20" i="55" a="1"/>
  <c r="B20" i="55" s="1"/>
  <c r="AB20" i="55"/>
  <c r="AC20" i="55"/>
  <c r="B21" i="55" a="1"/>
  <c r="B21" i="55" s="1"/>
  <c r="D21" i="55"/>
  <c r="H21" i="55" s="1"/>
  <c r="AB21" i="55"/>
  <c r="AC21" i="55"/>
  <c r="AE21" i="55"/>
  <c r="B22" i="55" a="1"/>
  <c r="B22" i="55" s="1"/>
  <c r="D22" i="55" s="1"/>
  <c r="H22" i="55" s="1"/>
  <c r="R22" i="55" s="1"/>
  <c r="K22" i="55"/>
  <c r="AB22" i="55"/>
  <c r="AC22" i="55"/>
  <c r="B23" i="55" a="1"/>
  <c r="B23" i="55" s="1"/>
  <c r="AB23" i="55"/>
  <c r="AC23" i="55"/>
  <c r="B24" i="55" a="1"/>
  <c r="B24" i="55" s="1"/>
  <c r="D24" i="55" s="1"/>
  <c r="H24" i="55" s="1"/>
  <c r="AB24" i="55"/>
  <c r="AC24" i="55"/>
  <c r="B25" i="55" a="1"/>
  <c r="B25" i="55" s="1"/>
  <c r="AB25" i="55"/>
  <c r="AC25" i="55"/>
  <c r="B26" i="55" a="1"/>
  <c r="B26" i="55" s="1"/>
  <c r="D26" i="55"/>
  <c r="H26" i="55" s="1"/>
  <c r="AB26" i="55"/>
  <c r="AC26" i="55"/>
  <c r="B27" i="55" a="1"/>
  <c r="B27" i="55" s="1"/>
  <c r="K27" i="55" s="1"/>
  <c r="D27" i="55"/>
  <c r="H27" i="55" s="1"/>
  <c r="P27" i="55" s="1"/>
  <c r="AB27" i="55"/>
  <c r="AC27" i="55"/>
  <c r="AE27" i="55"/>
  <c r="B28" i="55" a="1"/>
  <c r="B28" i="55" s="1"/>
  <c r="AE28" i="55" s="1"/>
  <c r="AB28" i="55"/>
  <c r="AC28" i="55"/>
  <c r="B29" i="55" a="1"/>
  <c r="B29" i="55" s="1"/>
  <c r="AE29" i="55" s="1"/>
  <c r="AB29" i="55"/>
  <c r="AC29" i="55"/>
  <c r="B30" i="55" a="1"/>
  <c r="B30" i="55" s="1"/>
  <c r="AE30" i="55" s="1"/>
  <c r="AB30" i="55"/>
  <c r="AC30" i="55"/>
  <c r="B31" i="55" a="1"/>
  <c r="B31" i="55" s="1"/>
  <c r="AE31" i="55" s="1"/>
  <c r="AB31" i="55"/>
  <c r="AC31" i="55"/>
  <c r="B32" i="55" a="1"/>
  <c r="B32" i="55" s="1"/>
  <c r="AE32" i="55" s="1"/>
  <c r="AB32" i="55"/>
  <c r="AC32" i="55"/>
  <c r="B33" i="55" a="1"/>
  <c r="B33" i="55" s="1"/>
  <c r="O33" i="55"/>
  <c r="S33" i="55"/>
  <c r="AB33" i="55"/>
  <c r="AC33" i="55"/>
  <c r="AE33" i="55"/>
  <c r="B34" i="55" a="1"/>
  <c r="B34" i="55" s="1"/>
  <c r="O34" i="55" s="1"/>
  <c r="AB34" i="55"/>
  <c r="AC34" i="55"/>
  <c r="B35" i="55" a="1"/>
  <c r="B35" i="55" s="1"/>
  <c r="AE35" i="55" s="1"/>
  <c r="AB35" i="55"/>
  <c r="AC35" i="55"/>
  <c r="B36" i="55" a="1"/>
  <c r="B36" i="55" s="1"/>
  <c r="S36" i="55" s="1"/>
  <c r="AB36" i="55"/>
  <c r="AC36" i="55"/>
  <c r="B37" i="55" a="1"/>
  <c r="B37" i="55" s="1"/>
  <c r="AB37" i="55"/>
  <c r="AC37" i="55"/>
  <c r="B38" i="55" a="1"/>
  <c r="B38" i="55" s="1"/>
  <c r="D38" i="55"/>
  <c r="H38" i="55"/>
  <c r="O38" i="55"/>
  <c r="R38" i="55"/>
  <c r="S38" i="55"/>
  <c r="AB38" i="55"/>
  <c r="AC38" i="55"/>
  <c r="AE38" i="55"/>
  <c r="B39" i="55" a="1"/>
  <c r="B39" i="55" s="1"/>
  <c r="N39" i="55" s="1"/>
  <c r="D39" i="55"/>
  <c r="H39" i="55" s="1"/>
  <c r="O39" i="55"/>
  <c r="S39" i="55"/>
  <c r="AB39" i="55"/>
  <c r="AC39" i="55"/>
  <c r="B5" i="55" a="1"/>
  <c r="B5" i="55" s="1"/>
  <c r="AC5" i="55"/>
  <c r="AB5" i="55"/>
  <c r="K5" i="55"/>
  <c r="W5" i="55" s="1"/>
  <c r="AB6" i="54"/>
  <c r="AC6" i="54"/>
  <c r="AB7" i="54"/>
  <c r="AC7" i="54"/>
  <c r="AB8" i="54"/>
  <c r="AC8" i="54"/>
  <c r="AB9" i="54"/>
  <c r="AC9" i="54"/>
  <c r="AB10" i="54"/>
  <c r="AC10" i="54"/>
  <c r="AB11" i="54"/>
  <c r="AC11" i="54"/>
  <c r="AB12" i="54"/>
  <c r="AC12" i="54"/>
  <c r="AB13" i="54"/>
  <c r="AC13" i="54"/>
  <c r="AB14" i="54"/>
  <c r="AC14" i="54"/>
  <c r="AB15" i="54"/>
  <c r="AC15" i="54"/>
  <c r="AB16" i="54"/>
  <c r="AC16" i="54"/>
  <c r="AE16" i="54"/>
  <c r="AB17" i="54"/>
  <c r="AC17" i="54"/>
  <c r="AB18" i="54"/>
  <c r="AC18" i="54"/>
  <c r="AB19" i="54"/>
  <c r="AC19" i="54"/>
  <c r="AB20" i="54"/>
  <c r="AC20" i="54"/>
  <c r="AB21" i="54"/>
  <c r="AC21" i="54"/>
  <c r="AB22" i="54"/>
  <c r="AC22" i="54"/>
  <c r="AB23" i="54"/>
  <c r="AC23" i="54"/>
  <c r="D24" i="54"/>
  <c r="H24" i="54" s="1"/>
  <c r="N24" i="54" s="1"/>
  <c r="AB24" i="54"/>
  <c r="AC24" i="54"/>
  <c r="AB25" i="54"/>
  <c r="AC25" i="54"/>
  <c r="AB26" i="54"/>
  <c r="AC26" i="54"/>
  <c r="AB27" i="54"/>
  <c r="AC27" i="54"/>
  <c r="AB28" i="54"/>
  <c r="AC28" i="54"/>
  <c r="AB29" i="54"/>
  <c r="AC29" i="54"/>
  <c r="AB30" i="54"/>
  <c r="AC30" i="54"/>
  <c r="AB31" i="54"/>
  <c r="AC31" i="54"/>
  <c r="AB32" i="54"/>
  <c r="AC32" i="54"/>
  <c r="AB33" i="54"/>
  <c r="AC33" i="54"/>
  <c r="AB34" i="54"/>
  <c r="AC34" i="54"/>
  <c r="AE34" i="54"/>
  <c r="AB35" i="54"/>
  <c r="AC35" i="54"/>
  <c r="AB36" i="54"/>
  <c r="AC36" i="54"/>
  <c r="AB37" i="54"/>
  <c r="AC37" i="54"/>
  <c r="AB38" i="54"/>
  <c r="AC38" i="54"/>
  <c r="AB39" i="54"/>
  <c r="AC39" i="54"/>
  <c r="B6" i="54" a="1"/>
  <c r="B6" i="54" s="1"/>
  <c r="B7" i="54" a="1"/>
  <c r="B7" i="54" s="1"/>
  <c r="B8" i="54" a="1"/>
  <c r="B8" i="54" s="1"/>
  <c r="B9" i="54" a="1"/>
  <c r="B9" i="54" s="1"/>
  <c r="B10" i="54" a="1"/>
  <c r="B10" i="54" s="1"/>
  <c r="B11" i="54" a="1"/>
  <c r="B11" i="54" s="1"/>
  <c r="B12" i="54" a="1"/>
  <c r="B12" i="54" s="1"/>
  <c r="D12" i="54" s="1"/>
  <c r="H12" i="54" s="1"/>
  <c r="B13" i="54" a="1"/>
  <c r="B13" i="54"/>
  <c r="B14" i="54" a="1"/>
  <c r="B14" i="54" s="1"/>
  <c r="B15" i="54" a="1"/>
  <c r="B15" i="54" s="1"/>
  <c r="B16" i="54" a="1"/>
  <c r="B16" i="54" s="1"/>
  <c r="B17" i="54" a="1"/>
  <c r="B17" i="54" s="1"/>
  <c r="B18" i="54" a="1"/>
  <c r="B18" i="54" s="1"/>
  <c r="B19" i="54" a="1"/>
  <c r="B19" i="54"/>
  <c r="B20" i="54" a="1"/>
  <c r="B20" i="54" s="1"/>
  <c r="D20" i="54" s="1"/>
  <c r="H20" i="54" s="1"/>
  <c r="B21" i="54" a="1"/>
  <c r="B21" i="54"/>
  <c r="B22" i="54" a="1"/>
  <c r="B22" i="54" s="1"/>
  <c r="B23" i="54" a="1"/>
  <c r="B23" i="54" s="1"/>
  <c r="K23" i="54" s="1"/>
  <c r="B24" i="54" a="1"/>
  <c r="B24" i="54" s="1"/>
  <c r="B25" i="54" a="1"/>
  <c r="B25" i="54" s="1"/>
  <c r="B26" i="54" a="1"/>
  <c r="B26" i="54" s="1"/>
  <c r="B27" i="54" a="1"/>
  <c r="B27" i="54" s="1"/>
  <c r="B28" i="54" a="1"/>
  <c r="B28" i="54" s="1"/>
  <c r="B29" i="54" a="1"/>
  <c r="B29" i="54"/>
  <c r="AE29" i="54" s="1"/>
  <c r="B30" i="54" a="1"/>
  <c r="B30" i="54" s="1"/>
  <c r="B31" i="54" a="1"/>
  <c r="B31" i="54" s="1"/>
  <c r="B32" i="54" a="1"/>
  <c r="B32" i="54" s="1"/>
  <c r="B33" i="54" a="1"/>
  <c r="B33" i="54" s="1"/>
  <c r="O33" i="54" s="1"/>
  <c r="B34" i="54" a="1"/>
  <c r="B34" i="54" s="1"/>
  <c r="T34" i="54" s="1"/>
  <c r="B35" i="54" a="1"/>
  <c r="B35" i="54"/>
  <c r="B36" i="54" a="1"/>
  <c r="B36" i="54" s="1"/>
  <c r="N36" i="54" s="1"/>
  <c r="B37" i="54" a="1"/>
  <c r="B37" i="54" s="1"/>
  <c r="B38" i="54" a="1"/>
  <c r="B38" i="54" s="1"/>
  <c r="B39" i="54" a="1"/>
  <c r="B39" i="54" s="1"/>
  <c r="N39" i="54" s="1"/>
  <c r="B5" i="54" a="1"/>
  <c r="B5" i="54" s="1"/>
  <c r="AC5" i="54"/>
  <c r="AB5" i="54"/>
  <c r="AB6" i="53"/>
  <c r="AC6" i="53"/>
  <c r="AB7" i="53"/>
  <c r="AC7" i="53"/>
  <c r="AB8" i="53"/>
  <c r="AC8" i="53"/>
  <c r="AB9" i="53"/>
  <c r="AC9" i="53"/>
  <c r="AB10" i="53"/>
  <c r="AC10" i="53"/>
  <c r="AB11" i="53"/>
  <c r="AC11" i="53"/>
  <c r="AB12" i="53"/>
  <c r="AC12" i="53"/>
  <c r="AB13" i="53"/>
  <c r="AC13" i="53"/>
  <c r="AB14" i="53"/>
  <c r="AC14" i="53"/>
  <c r="AB15" i="53"/>
  <c r="AC15" i="53"/>
  <c r="D16" i="53"/>
  <c r="H16" i="53" s="1"/>
  <c r="AB16" i="53"/>
  <c r="AC16" i="53"/>
  <c r="AB17" i="53"/>
  <c r="AC17" i="53"/>
  <c r="AB18" i="53"/>
  <c r="AC18" i="53"/>
  <c r="D19" i="53"/>
  <c r="H19" i="53" s="1"/>
  <c r="AB19" i="53"/>
  <c r="AC19" i="53"/>
  <c r="AB20" i="53"/>
  <c r="AC20" i="53"/>
  <c r="AB21" i="53"/>
  <c r="AC21" i="53"/>
  <c r="AB22" i="53"/>
  <c r="AC22" i="53"/>
  <c r="AB23" i="53"/>
  <c r="AC23" i="53"/>
  <c r="AB24" i="53"/>
  <c r="AC24" i="53"/>
  <c r="L25" i="53"/>
  <c r="Y25" i="53" s="1"/>
  <c r="AB25" i="53"/>
  <c r="AC25" i="53"/>
  <c r="K26" i="53"/>
  <c r="AB26" i="53"/>
  <c r="AC26" i="53"/>
  <c r="AB27" i="53"/>
  <c r="AC27" i="53"/>
  <c r="AB28" i="53"/>
  <c r="AC28" i="53"/>
  <c r="D29" i="53"/>
  <c r="H29" i="53" s="1"/>
  <c r="AB29" i="53"/>
  <c r="AC29" i="53"/>
  <c r="AB30" i="53"/>
  <c r="AC30" i="53"/>
  <c r="AB31" i="53"/>
  <c r="AC31" i="53"/>
  <c r="AB32" i="53"/>
  <c r="AC32" i="53"/>
  <c r="AB33" i="53"/>
  <c r="AC33" i="53"/>
  <c r="AB34" i="53"/>
  <c r="AC34" i="53"/>
  <c r="L35" i="53"/>
  <c r="Y35" i="53" s="1"/>
  <c r="Q35" i="53"/>
  <c r="U35" i="53"/>
  <c r="AB35" i="53"/>
  <c r="AC35" i="53"/>
  <c r="L36" i="53"/>
  <c r="Y36" i="53" s="1"/>
  <c r="Q36" i="53"/>
  <c r="AB36" i="53"/>
  <c r="AC36" i="53"/>
  <c r="K37" i="53"/>
  <c r="W37" i="53" s="1"/>
  <c r="X37" i="53" s="1"/>
  <c r="AB37" i="53"/>
  <c r="AC37" i="53"/>
  <c r="K38" i="53"/>
  <c r="W38" i="53" s="1"/>
  <c r="AB38" i="53"/>
  <c r="AC38" i="53"/>
  <c r="AB39" i="53"/>
  <c r="AC39" i="53"/>
  <c r="AC5" i="53"/>
  <c r="AB5" i="53"/>
  <c r="K5" i="53"/>
  <c r="W5" i="53" s="1"/>
  <c r="B6" i="53" a="1"/>
  <c r="B6" i="53" s="1"/>
  <c r="B7" i="53" a="1"/>
  <c r="B7" i="53" s="1"/>
  <c r="B8" i="53" a="1"/>
  <c r="B8" i="53" s="1"/>
  <c r="L8" i="53" s="1"/>
  <c r="Z8" i="53" s="1"/>
  <c r="B9" i="53" a="1"/>
  <c r="B9" i="53" s="1"/>
  <c r="B10" i="53" a="1"/>
  <c r="B10" i="53" s="1"/>
  <c r="B11" i="53" a="1"/>
  <c r="B11" i="53" s="1"/>
  <c r="B12" i="53" a="1"/>
  <c r="B12" i="53" s="1"/>
  <c r="B13" i="53" a="1"/>
  <c r="B13" i="53" s="1"/>
  <c r="B14" i="53" a="1"/>
  <c r="B14" i="53" s="1"/>
  <c r="B15" i="53" a="1"/>
  <c r="B15" i="53"/>
  <c r="L15" i="53" s="1"/>
  <c r="Y15" i="53" s="1"/>
  <c r="B16" i="53" a="1"/>
  <c r="B16" i="53" s="1"/>
  <c r="B17" i="53" a="1"/>
  <c r="B17" i="53" s="1"/>
  <c r="B18" i="53" a="1"/>
  <c r="B18" i="53" s="1"/>
  <c r="L18" i="53" s="1"/>
  <c r="Z18" i="53" s="1"/>
  <c r="B19" i="53" a="1"/>
  <c r="B19" i="53" s="1"/>
  <c r="B20" i="53" a="1"/>
  <c r="B20" i="53" s="1"/>
  <c r="B21" i="53" a="1"/>
  <c r="B21" i="53" s="1"/>
  <c r="B22" i="53" a="1"/>
  <c r="B22" i="53" s="1"/>
  <c r="L22" i="53" s="1"/>
  <c r="B23" i="53" a="1"/>
  <c r="B23" i="53"/>
  <c r="B24" i="53" a="1"/>
  <c r="B24" i="53" s="1"/>
  <c r="L24" i="53" s="1"/>
  <c r="B25" i="53" a="1"/>
  <c r="B25" i="53" s="1"/>
  <c r="D25" i="53" s="1"/>
  <c r="H25" i="53" s="1"/>
  <c r="B26" i="53" a="1"/>
  <c r="B26" i="53" s="1"/>
  <c r="D26" i="53" s="1"/>
  <c r="H26" i="53" s="1"/>
  <c r="B27" i="53" a="1"/>
  <c r="B27" i="53" s="1"/>
  <c r="L27" i="53" s="1"/>
  <c r="Y27" i="53" s="1"/>
  <c r="B28" i="53" a="1"/>
  <c r="B28" i="53" s="1"/>
  <c r="K28" i="53" s="1"/>
  <c r="B29" i="53" a="1"/>
  <c r="B29" i="53" s="1"/>
  <c r="R29" i="53" s="1"/>
  <c r="B30" i="53" a="1"/>
  <c r="B30" i="53" s="1"/>
  <c r="B31" i="53" a="1"/>
  <c r="B31" i="53" s="1"/>
  <c r="B32" i="53" a="1"/>
  <c r="B32" i="53" s="1"/>
  <c r="D32" i="53" s="1"/>
  <c r="H32" i="53" s="1"/>
  <c r="B33" i="53" a="1"/>
  <c r="B33" i="53" s="1"/>
  <c r="N33" i="53" s="1"/>
  <c r="B34" i="53" a="1"/>
  <c r="B34" i="53" s="1"/>
  <c r="D34" i="53" s="1"/>
  <c r="H34" i="53" s="1"/>
  <c r="B35" i="53" a="1"/>
  <c r="B35" i="53" s="1"/>
  <c r="N35" i="53" s="1"/>
  <c r="B36" i="53" a="1"/>
  <c r="B36" i="53" s="1"/>
  <c r="N36" i="53" s="1"/>
  <c r="B37" i="53" a="1"/>
  <c r="B37" i="53" s="1"/>
  <c r="T37" i="53" s="1"/>
  <c r="B38" i="53" a="1"/>
  <c r="B38" i="53" s="1"/>
  <c r="L38" i="53" s="1"/>
  <c r="Y38" i="53" s="1"/>
  <c r="B39" i="53" a="1"/>
  <c r="B39" i="53" s="1"/>
  <c r="B5" i="53" a="1"/>
  <c r="B5" i="53" s="1"/>
  <c r="D5" i="53" s="1"/>
  <c r="H5" i="53" s="1"/>
  <c r="B6" i="52" a="1"/>
  <c r="B6" i="52" s="1"/>
  <c r="B7" i="52" a="1"/>
  <c r="B7" i="52" s="1"/>
  <c r="AE7" i="52" s="1"/>
  <c r="B8" i="52" a="1"/>
  <c r="B8" i="52" s="1"/>
  <c r="B9" i="52" a="1"/>
  <c r="B9" i="52" s="1"/>
  <c r="AE9" i="52" s="1"/>
  <c r="B10" i="52" a="1"/>
  <c r="B10" i="52" s="1"/>
  <c r="B11" i="52" a="1"/>
  <c r="B11" i="52" s="1"/>
  <c r="AE11" i="52" s="1"/>
  <c r="B12" i="52" a="1"/>
  <c r="B12" i="52" s="1"/>
  <c r="B13" i="52" a="1"/>
  <c r="B13" i="52" s="1"/>
  <c r="AE13" i="52" s="1"/>
  <c r="B14" i="52" a="1"/>
  <c r="B14" i="52" s="1"/>
  <c r="B15" i="52" a="1"/>
  <c r="B15" i="52" s="1"/>
  <c r="B16" i="52" a="1"/>
  <c r="B16" i="52" s="1"/>
  <c r="B17" i="52" a="1"/>
  <c r="B17" i="52" s="1"/>
  <c r="B18" i="52" a="1"/>
  <c r="B18" i="52" s="1"/>
  <c r="B19" i="52" a="1"/>
  <c r="B19" i="52"/>
  <c r="AE19" i="52" s="1"/>
  <c r="B20" i="52" a="1"/>
  <c r="B20" i="52" s="1"/>
  <c r="K20" i="52" s="1"/>
  <c r="B21" i="52" a="1"/>
  <c r="B21" i="52" s="1"/>
  <c r="B22" i="52" a="1"/>
  <c r="B22" i="52" s="1"/>
  <c r="B23" i="52" a="1"/>
  <c r="B23" i="52" s="1"/>
  <c r="B24" i="52" a="1"/>
  <c r="B24" i="52" s="1"/>
  <c r="B25" i="52" a="1"/>
  <c r="B25" i="52" s="1"/>
  <c r="B26" i="52" a="1"/>
  <c r="B26" i="52" s="1"/>
  <c r="B27" i="52" a="1"/>
  <c r="B27" i="52"/>
  <c r="AE27" i="52" s="1"/>
  <c r="B28" i="52" a="1"/>
  <c r="B28" i="52" s="1"/>
  <c r="B29" i="52" a="1"/>
  <c r="B29" i="52" s="1"/>
  <c r="AE29" i="52" s="1"/>
  <c r="B30" i="52" a="1"/>
  <c r="B30" i="52" s="1"/>
  <c r="B31" i="52" a="1"/>
  <c r="B31" i="52" s="1"/>
  <c r="B32" i="52" a="1"/>
  <c r="B32" i="52" s="1"/>
  <c r="B33" i="52" a="1"/>
  <c r="B33" i="52" s="1"/>
  <c r="B34" i="52" a="1"/>
  <c r="B34" i="52" s="1"/>
  <c r="B35" i="52" a="1"/>
  <c r="B35" i="52"/>
  <c r="K35" i="52" s="1"/>
  <c r="W35" i="52" s="1"/>
  <c r="B36" i="52" a="1"/>
  <c r="B36" i="52" s="1"/>
  <c r="B37" i="52" a="1"/>
  <c r="B37" i="52" s="1"/>
  <c r="B38" i="52" a="1"/>
  <c r="B38" i="52" s="1"/>
  <c r="B39" i="52" a="1"/>
  <c r="B39" i="52" s="1"/>
  <c r="B5" i="52" a="1"/>
  <c r="B5" i="52" s="1"/>
  <c r="AB6" i="52"/>
  <c r="AC6" i="52"/>
  <c r="AB7" i="52"/>
  <c r="AC7" i="52"/>
  <c r="AB8" i="52"/>
  <c r="AC8" i="52"/>
  <c r="AB9" i="52"/>
  <c r="AC9" i="52"/>
  <c r="AB10" i="52"/>
  <c r="AC10" i="52"/>
  <c r="AB11" i="52"/>
  <c r="AC11" i="52"/>
  <c r="AB12" i="52"/>
  <c r="AC12" i="52"/>
  <c r="AB13" i="52"/>
  <c r="AC13" i="52"/>
  <c r="AB14" i="52"/>
  <c r="AC14" i="52"/>
  <c r="AB15" i="52"/>
  <c r="AC15" i="52"/>
  <c r="AB16" i="52"/>
  <c r="AC16" i="52"/>
  <c r="AB17" i="52"/>
  <c r="AC17" i="52"/>
  <c r="AB18" i="52"/>
  <c r="AC18" i="52"/>
  <c r="AB19" i="52"/>
  <c r="AC19" i="52"/>
  <c r="AB20" i="52"/>
  <c r="AC20" i="52"/>
  <c r="AB21" i="52"/>
  <c r="AC21" i="52"/>
  <c r="AB22" i="52"/>
  <c r="AC22" i="52"/>
  <c r="AB23" i="52"/>
  <c r="AC23" i="52"/>
  <c r="AB24" i="52"/>
  <c r="AC24" i="52"/>
  <c r="AB25" i="52"/>
  <c r="AC25" i="52"/>
  <c r="AB26" i="52"/>
  <c r="AC26" i="52"/>
  <c r="AB27" i="52"/>
  <c r="AC27" i="52"/>
  <c r="AB28" i="52"/>
  <c r="AC28" i="52"/>
  <c r="AB29" i="52"/>
  <c r="AC29" i="52"/>
  <c r="AB30" i="52"/>
  <c r="AC30" i="52"/>
  <c r="AB31" i="52"/>
  <c r="AC31" i="52"/>
  <c r="AB32" i="52"/>
  <c r="AC32" i="52"/>
  <c r="P33" i="52"/>
  <c r="AB33" i="52"/>
  <c r="AC33" i="52"/>
  <c r="AB34" i="52"/>
  <c r="AC34" i="52"/>
  <c r="AB35" i="52"/>
  <c r="AC35" i="52"/>
  <c r="AB36" i="52"/>
  <c r="AC36" i="52"/>
  <c r="AB37" i="52"/>
  <c r="AC37" i="52"/>
  <c r="AB38" i="52"/>
  <c r="AC38" i="52"/>
  <c r="AB39" i="52"/>
  <c r="AC39" i="52"/>
  <c r="AC5" i="52"/>
  <c r="AB5" i="52"/>
  <c r="B6" i="51" a="1"/>
  <c r="B6" i="51" s="1"/>
  <c r="K6" i="51"/>
  <c r="W6" i="51" s="1"/>
  <c r="X6" i="51" s="1"/>
  <c r="AB6" i="51"/>
  <c r="AC6" i="51"/>
  <c r="AE6" i="51"/>
  <c r="B7" i="51" a="1"/>
  <c r="B7" i="51" s="1"/>
  <c r="K7" i="51" s="1"/>
  <c r="W7" i="51" s="1"/>
  <c r="X7" i="51" s="1"/>
  <c r="AB7" i="51"/>
  <c r="AC7" i="51"/>
  <c r="B8" i="51" a="1"/>
  <c r="B8" i="51" s="1"/>
  <c r="AE8" i="51" s="1"/>
  <c r="AB8" i="51"/>
  <c r="AC8" i="51"/>
  <c r="B9" i="51" a="1"/>
  <c r="B9" i="51" s="1"/>
  <c r="AB9" i="51"/>
  <c r="AC9" i="51"/>
  <c r="B10" i="51" a="1"/>
  <c r="B10" i="51" s="1"/>
  <c r="K10" i="51" s="1"/>
  <c r="W10" i="51" s="1"/>
  <c r="X10" i="51" s="1"/>
  <c r="AB10" i="51"/>
  <c r="AC10" i="51"/>
  <c r="B11" i="51" a="1"/>
  <c r="B11" i="51" s="1"/>
  <c r="K11" i="51"/>
  <c r="W11" i="51" s="1"/>
  <c r="X11" i="51" s="1"/>
  <c r="AB11" i="51"/>
  <c r="AC11" i="51"/>
  <c r="AE11" i="51"/>
  <c r="B12" i="51" a="1"/>
  <c r="B12" i="51" s="1"/>
  <c r="AE12" i="51" s="1"/>
  <c r="AB12" i="51"/>
  <c r="AC12" i="51"/>
  <c r="B13" i="51" a="1"/>
  <c r="B13" i="51" s="1"/>
  <c r="AE13" i="51" s="1"/>
  <c r="AB13" i="51"/>
  <c r="AC13" i="51"/>
  <c r="B14" i="51" a="1"/>
  <c r="B14" i="51" s="1"/>
  <c r="AB14" i="51"/>
  <c r="AC14" i="51"/>
  <c r="B15" i="51" a="1"/>
  <c r="B15" i="51" s="1"/>
  <c r="K15" i="51" s="1"/>
  <c r="W15" i="51" s="1"/>
  <c r="AB15" i="51"/>
  <c r="AC15" i="51"/>
  <c r="AE15" i="51"/>
  <c r="B16" i="51" a="1"/>
  <c r="B16" i="51"/>
  <c r="K16" i="51" s="1"/>
  <c r="AB16" i="51"/>
  <c r="AC16" i="51"/>
  <c r="B17" i="51" a="1"/>
  <c r="B17" i="51"/>
  <c r="AB17" i="51"/>
  <c r="AC17" i="51"/>
  <c r="B18" i="51" a="1"/>
  <c r="B18" i="51" s="1"/>
  <c r="AB18" i="51"/>
  <c r="AC18" i="51"/>
  <c r="B19" i="51" a="1"/>
  <c r="B19" i="51"/>
  <c r="AB19" i="51"/>
  <c r="AC19" i="51"/>
  <c r="B20" i="51" a="1"/>
  <c r="B20" i="51"/>
  <c r="K20" i="51" s="1"/>
  <c r="AB20" i="51"/>
  <c r="AC20" i="51"/>
  <c r="B21" i="51" a="1"/>
  <c r="B21" i="51" s="1"/>
  <c r="AB21" i="51"/>
  <c r="AC21" i="51"/>
  <c r="B22" i="51" a="1"/>
  <c r="B22" i="51" s="1"/>
  <c r="AB22" i="51"/>
  <c r="AC22" i="51"/>
  <c r="B23" i="51" a="1"/>
  <c r="B23" i="51" s="1"/>
  <c r="D23" i="51" s="1"/>
  <c r="H23" i="51" s="1"/>
  <c r="P23" i="51" s="1"/>
  <c r="AB23" i="51"/>
  <c r="AC23" i="51"/>
  <c r="B24" i="51" a="1"/>
  <c r="B24" i="51" s="1"/>
  <c r="D24" i="51" s="1"/>
  <c r="H24" i="51" s="1"/>
  <c r="AB24" i="51"/>
  <c r="AC24" i="51"/>
  <c r="B25" i="51" a="1"/>
  <c r="B25" i="51" s="1"/>
  <c r="D25" i="51"/>
  <c r="H25" i="51" s="1"/>
  <c r="K25" i="51"/>
  <c r="AB25" i="51"/>
  <c r="AC25" i="51"/>
  <c r="B26" i="51" a="1"/>
  <c r="B26" i="51" s="1"/>
  <c r="AB26" i="51"/>
  <c r="AC26" i="51"/>
  <c r="B27" i="51" a="1"/>
  <c r="B27" i="51" s="1"/>
  <c r="D27" i="51" s="1"/>
  <c r="H27" i="51" s="1"/>
  <c r="P27" i="51" s="1"/>
  <c r="AB27" i="51"/>
  <c r="AC27" i="51"/>
  <c r="B28" i="51" a="1"/>
  <c r="B28" i="51" s="1"/>
  <c r="D28" i="51" s="1"/>
  <c r="H28" i="51" s="1"/>
  <c r="AB28" i="51"/>
  <c r="AC28" i="51"/>
  <c r="B29" i="51" a="1"/>
  <c r="B29" i="51" s="1"/>
  <c r="D29" i="51" s="1"/>
  <c r="H29" i="51" s="1"/>
  <c r="K29" i="51"/>
  <c r="AB29" i="51"/>
  <c r="AC29" i="51"/>
  <c r="B30" i="51" a="1"/>
  <c r="B30" i="51" s="1"/>
  <c r="K30" i="51" s="1"/>
  <c r="W30" i="51" s="1"/>
  <c r="X30" i="51" s="1"/>
  <c r="AB30" i="51"/>
  <c r="AC30" i="51"/>
  <c r="B31" i="51" a="1"/>
  <c r="B31" i="51" s="1"/>
  <c r="K31" i="51" s="1"/>
  <c r="AB31" i="51"/>
  <c r="AC31" i="51"/>
  <c r="B32" i="51" a="1"/>
  <c r="B32" i="51" s="1"/>
  <c r="AB32" i="51"/>
  <c r="AC32" i="51"/>
  <c r="B33" i="51" a="1"/>
  <c r="B33" i="51" s="1"/>
  <c r="K33" i="51" s="1"/>
  <c r="W33" i="51" s="1"/>
  <c r="T33" i="51"/>
  <c r="U33" i="51"/>
  <c r="AB33" i="51"/>
  <c r="AC33" i="51"/>
  <c r="B34" i="51" a="1"/>
  <c r="B34" i="51" s="1"/>
  <c r="AB34" i="51"/>
  <c r="AC34" i="51"/>
  <c r="B35" i="51" a="1"/>
  <c r="B35" i="51" s="1"/>
  <c r="AB35" i="51"/>
  <c r="AC35" i="51"/>
  <c r="B36" i="51" a="1"/>
  <c r="B36" i="51" s="1"/>
  <c r="AB36" i="51"/>
  <c r="AC36" i="51"/>
  <c r="B37" i="51" a="1"/>
  <c r="B37" i="51" s="1"/>
  <c r="AB37" i="51"/>
  <c r="AC37" i="51"/>
  <c r="B38" i="51" a="1"/>
  <c r="B38" i="51" s="1"/>
  <c r="AB38" i="51"/>
  <c r="AC38" i="51"/>
  <c r="B39" i="51" a="1"/>
  <c r="B39" i="51" s="1"/>
  <c r="AB39" i="51"/>
  <c r="AC39" i="51"/>
  <c r="B5" i="51" a="1"/>
  <c r="B5" i="51" s="1"/>
  <c r="AC5" i="51"/>
  <c r="AB5" i="51"/>
  <c r="B6" i="50" a="1"/>
  <c r="B6" i="50" s="1"/>
  <c r="D6" i="50"/>
  <c r="H6" i="50" s="1"/>
  <c r="AB6" i="50"/>
  <c r="AC6" i="50"/>
  <c r="B7" i="50" a="1"/>
  <c r="B7" i="50" s="1"/>
  <c r="K7" i="50"/>
  <c r="W7" i="50" s="1"/>
  <c r="AB7" i="50"/>
  <c r="AC7" i="50"/>
  <c r="B8" i="50" a="1"/>
  <c r="B8" i="50" s="1"/>
  <c r="AB8" i="50"/>
  <c r="AC8" i="50"/>
  <c r="B9" i="50" a="1"/>
  <c r="B9" i="50" s="1"/>
  <c r="D9" i="50"/>
  <c r="H9" i="50" s="1"/>
  <c r="AB9" i="50"/>
  <c r="AC9" i="50"/>
  <c r="AE9" i="50"/>
  <c r="B10" i="50" a="1"/>
  <c r="B10" i="50" s="1"/>
  <c r="D10" i="50" s="1"/>
  <c r="H10" i="50" s="1"/>
  <c r="K10" i="50"/>
  <c r="W10" i="50" s="1"/>
  <c r="AB10" i="50"/>
  <c r="AC10" i="50"/>
  <c r="B11" i="50" a="1"/>
  <c r="B11" i="50" s="1"/>
  <c r="AB11" i="50"/>
  <c r="AC11" i="50"/>
  <c r="B12" i="50" a="1"/>
  <c r="B12" i="50" s="1"/>
  <c r="D12" i="50" s="1"/>
  <c r="H12" i="50" s="1"/>
  <c r="AB12" i="50"/>
  <c r="AC12" i="50"/>
  <c r="B13" i="50" a="1"/>
  <c r="B13" i="50" s="1"/>
  <c r="AB13" i="50"/>
  <c r="AC13" i="50"/>
  <c r="B14" i="50" a="1"/>
  <c r="B14" i="50" s="1"/>
  <c r="K14" i="50" s="1"/>
  <c r="W14" i="50" s="1"/>
  <c r="X14" i="50" s="1"/>
  <c r="AB14" i="50"/>
  <c r="AC14" i="50"/>
  <c r="B15" i="50" a="1"/>
  <c r="B15" i="50" s="1"/>
  <c r="K15" i="50" s="1"/>
  <c r="W15" i="50" s="1"/>
  <c r="AB15" i="50"/>
  <c r="AC15" i="50"/>
  <c r="B16" i="50" a="1"/>
  <c r="B16" i="50" s="1"/>
  <c r="AB16" i="50"/>
  <c r="AC16" i="50"/>
  <c r="B17" i="50" a="1"/>
  <c r="B17" i="50" s="1"/>
  <c r="D17" i="50" s="1"/>
  <c r="H17" i="50" s="1"/>
  <c r="AB17" i="50"/>
  <c r="AC17" i="50"/>
  <c r="B18" i="50" a="1"/>
  <c r="B18" i="50" s="1"/>
  <c r="AE18" i="50" s="1"/>
  <c r="D18" i="50"/>
  <c r="H18" i="50" s="1"/>
  <c r="K18" i="50"/>
  <c r="W18" i="50" s="1"/>
  <c r="X18" i="50" s="1"/>
  <c r="AB18" i="50"/>
  <c r="AC18" i="50"/>
  <c r="B19" i="50" a="1"/>
  <c r="B19" i="50" s="1"/>
  <c r="K19" i="50"/>
  <c r="W19" i="50" s="1"/>
  <c r="AB19" i="50"/>
  <c r="AC19" i="50"/>
  <c r="B20" i="50" a="1"/>
  <c r="B20" i="50" s="1"/>
  <c r="D20" i="50"/>
  <c r="H20" i="50" s="1"/>
  <c r="AB20" i="50"/>
  <c r="AC20" i="50"/>
  <c r="B21" i="50" a="1"/>
  <c r="B21" i="50" s="1"/>
  <c r="D21" i="50" s="1"/>
  <c r="H21" i="50" s="1"/>
  <c r="AB21" i="50"/>
  <c r="AC21" i="50"/>
  <c r="B22" i="50" a="1"/>
  <c r="B22" i="50" s="1"/>
  <c r="K22" i="50" s="1"/>
  <c r="AB22" i="50"/>
  <c r="AC22" i="50"/>
  <c r="AE22" i="50"/>
  <c r="B23" i="50" a="1"/>
  <c r="B23" i="50" s="1"/>
  <c r="D23" i="50"/>
  <c r="H23" i="50" s="1"/>
  <c r="AB23" i="50"/>
  <c r="AC23" i="50"/>
  <c r="B24" i="50" a="1"/>
  <c r="B24" i="50" s="1"/>
  <c r="K24" i="50" s="1"/>
  <c r="AB24" i="50"/>
  <c r="AC24" i="50"/>
  <c r="B25" i="50" a="1"/>
  <c r="B25" i="50" s="1"/>
  <c r="AB25" i="50"/>
  <c r="AC25" i="50"/>
  <c r="B26" i="50" a="1"/>
  <c r="B26" i="50" s="1"/>
  <c r="D26" i="50" s="1"/>
  <c r="H26" i="50" s="1"/>
  <c r="AB26" i="50"/>
  <c r="AC26" i="50"/>
  <c r="B27" i="50" a="1"/>
  <c r="B27" i="50" s="1"/>
  <c r="K27" i="50" s="1"/>
  <c r="AB27" i="50"/>
  <c r="AC27" i="50"/>
  <c r="B28" i="50" a="1"/>
  <c r="B28" i="50" s="1"/>
  <c r="K28" i="50" s="1"/>
  <c r="AB28" i="50"/>
  <c r="AC28" i="50"/>
  <c r="B29" i="50" a="1"/>
  <c r="B29" i="50" s="1"/>
  <c r="AB29" i="50"/>
  <c r="AC29" i="50"/>
  <c r="B30" i="50" a="1"/>
  <c r="B30" i="50" s="1"/>
  <c r="K30" i="50"/>
  <c r="W30" i="50" s="1"/>
  <c r="AB30" i="50"/>
  <c r="AC30" i="50"/>
  <c r="B31" i="50" a="1"/>
  <c r="B31" i="50" s="1"/>
  <c r="K31" i="50"/>
  <c r="AB31" i="50"/>
  <c r="AC31" i="50"/>
  <c r="B32" i="50" a="1"/>
  <c r="B32" i="50" s="1"/>
  <c r="K32" i="50"/>
  <c r="AB32" i="50"/>
  <c r="AC32" i="50"/>
  <c r="B33" i="50" a="1"/>
  <c r="B33" i="50" s="1"/>
  <c r="AB33" i="50"/>
  <c r="AC33" i="50"/>
  <c r="B34" i="50" a="1"/>
  <c r="B34" i="50" s="1"/>
  <c r="T34" i="50" s="1"/>
  <c r="AB34" i="50"/>
  <c r="AC34" i="50"/>
  <c r="B35" i="50" a="1"/>
  <c r="B35" i="50" s="1"/>
  <c r="K35" i="50" s="1"/>
  <c r="W35" i="50" s="1"/>
  <c r="X35" i="50" s="1"/>
  <c r="AB35" i="50"/>
  <c r="AC35" i="50"/>
  <c r="B36" i="50" a="1"/>
  <c r="B36" i="50" s="1"/>
  <c r="P36" i="50" s="1"/>
  <c r="K36" i="50"/>
  <c r="W36" i="50" s="1"/>
  <c r="X36" i="50" s="1"/>
  <c r="T36" i="50"/>
  <c r="AB36" i="50"/>
  <c r="AC36" i="50"/>
  <c r="B37" i="50" a="1"/>
  <c r="B37" i="50" s="1"/>
  <c r="AB37" i="50"/>
  <c r="AC37" i="50"/>
  <c r="B38" i="50" a="1"/>
  <c r="B38" i="50" s="1"/>
  <c r="T38" i="50" s="1"/>
  <c r="AB38" i="50"/>
  <c r="AC38" i="50"/>
  <c r="B39" i="50" a="1"/>
  <c r="B39" i="50" s="1"/>
  <c r="K39" i="50" s="1"/>
  <c r="W39" i="50" s="1"/>
  <c r="X39" i="50" s="1"/>
  <c r="P39" i="50"/>
  <c r="AB39" i="50"/>
  <c r="AC39" i="50"/>
  <c r="B5" i="50" a="1"/>
  <c r="B5" i="50" s="1"/>
  <c r="AC5" i="50"/>
  <c r="AB5" i="50"/>
  <c r="AB6" i="48"/>
  <c r="AC6" i="48"/>
  <c r="AB7" i="48"/>
  <c r="AC7" i="48"/>
  <c r="AB8" i="48"/>
  <c r="AC8" i="48"/>
  <c r="AB9" i="48"/>
  <c r="AC9" i="48"/>
  <c r="AB10" i="48"/>
  <c r="AC10" i="48"/>
  <c r="AB11" i="48"/>
  <c r="AC11" i="48"/>
  <c r="AB12" i="48"/>
  <c r="AC12" i="48"/>
  <c r="AB13" i="48"/>
  <c r="AC13" i="48"/>
  <c r="AB14" i="48"/>
  <c r="AC14" i="48"/>
  <c r="AB15" i="48"/>
  <c r="AC15" i="48"/>
  <c r="AB16" i="48"/>
  <c r="AC16" i="48"/>
  <c r="AB17" i="48"/>
  <c r="AC17" i="48"/>
  <c r="AB18" i="48"/>
  <c r="AC18" i="48"/>
  <c r="AB19" i="48"/>
  <c r="AC19" i="48"/>
  <c r="AB20" i="48"/>
  <c r="AC20" i="48"/>
  <c r="AB21" i="48"/>
  <c r="AC21" i="48"/>
  <c r="D22" i="48"/>
  <c r="H22" i="48" s="1"/>
  <c r="AB22" i="48"/>
  <c r="AC22" i="48"/>
  <c r="AB23" i="48"/>
  <c r="AC23" i="48"/>
  <c r="D24" i="48"/>
  <c r="H24" i="48" s="1"/>
  <c r="AB24" i="48"/>
  <c r="AC24" i="48"/>
  <c r="AB25" i="48"/>
  <c r="AC25" i="48"/>
  <c r="AB26" i="48"/>
  <c r="AC26" i="48"/>
  <c r="AB27" i="48"/>
  <c r="AC27" i="48"/>
  <c r="AB28" i="48"/>
  <c r="AC28" i="48"/>
  <c r="AB29" i="48"/>
  <c r="AC29" i="48"/>
  <c r="AB30" i="48"/>
  <c r="AC30" i="48"/>
  <c r="AB31" i="48"/>
  <c r="AC31" i="48"/>
  <c r="AB32" i="48"/>
  <c r="AC32" i="48"/>
  <c r="AB33" i="48"/>
  <c r="AC33" i="48"/>
  <c r="AB34" i="48"/>
  <c r="AC34" i="48"/>
  <c r="AB35" i="48"/>
  <c r="AC35" i="48"/>
  <c r="AB36" i="48"/>
  <c r="AC36" i="48"/>
  <c r="D37" i="48"/>
  <c r="H37" i="48" s="1"/>
  <c r="AB37" i="48"/>
  <c r="AC37" i="48"/>
  <c r="AB38" i="48"/>
  <c r="AC38" i="48"/>
  <c r="AB39" i="48"/>
  <c r="AC39" i="48"/>
  <c r="AC5" i="48"/>
  <c r="AB5" i="48"/>
  <c r="AB6" i="47"/>
  <c r="AC6" i="47"/>
  <c r="AB7" i="47"/>
  <c r="AC7" i="47"/>
  <c r="AB8" i="47"/>
  <c r="AC8" i="47"/>
  <c r="AB9" i="47"/>
  <c r="AC9" i="47"/>
  <c r="AB10" i="47"/>
  <c r="AC10" i="47"/>
  <c r="AB11" i="47"/>
  <c r="AC11" i="47"/>
  <c r="AB12" i="47"/>
  <c r="AC12" i="47"/>
  <c r="AB13" i="47"/>
  <c r="AC13" i="47"/>
  <c r="AB14" i="47"/>
  <c r="AC14" i="47"/>
  <c r="AB15" i="47"/>
  <c r="AC15" i="47"/>
  <c r="AB16" i="47"/>
  <c r="AC16" i="47"/>
  <c r="AB17" i="47"/>
  <c r="AC17" i="47"/>
  <c r="AB18" i="47"/>
  <c r="AC18" i="47"/>
  <c r="AB19" i="47"/>
  <c r="AC19" i="47"/>
  <c r="AB20" i="47"/>
  <c r="AC20" i="47"/>
  <c r="AB21" i="47"/>
  <c r="AC21" i="47"/>
  <c r="D22" i="47"/>
  <c r="H22" i="47" s="1"/>
  <c r="AB22" i="47"/>
  <c r="AC22" i="47"/>
  <c r="D23" i="47"/>
  <c r="H23" i="47" s="1"/>
  <c r="AB23" i="47"/>
  <c r="AC23" i="47"/>
  <c r="D24" i="47"/>
  <c r="H24" i="47" s="1"/>
  <c r="AB24" i="47"/>
  <c r="AC24" i="47"/>
  <c r="AB25" i="47"/>
  <c r="AC25" i="47"/>
  <c r="D26" i="47"/>
  <c r="H26" i="47" s="1"/>
  <c r="AB26" i="47"/>
  <c r="AC26" i="47"/>
  <c r="AB27" i="47"/>
  <c r="AC27" i="47"/>
  <c r="D28" i="47"/>
  <c r="H28" i="47" s="1"/>
  <c r="AB28" i="47"/>
  <c r="AC28" i="47"/>
  <c r="AB29" i="47"/>
  <c r="AC29" i="47"/>
  <c r="D30" i="47"/>
  <c r="H30" i="47" s="1"/>
  <c r="AB30" i="47"/>
  <c r="AC30" i="47"/>
  <c r="D31" i="47"/>
  <c r="H31" i="47" s="1"/>
  <c r="AB31" i="47"/>
  <c r="AC31" i="47"/>
  <c r="AB32" i="47"/>
  <c r="AC32" i="47"/>
  <c r="AB33" i="47"/>
  <c r="AC33" i="47"/>
  <c r="AB34" i="47"/>
  <c r="AC34" i="47"/>
  <c r="AB35" i="47"/>
  <c r="AC35" i="47"/>
  <c r="AB36" i="47"/>
  <c r="AC36" i="47"/>
  <c r="AB37" i="47"/>
  <c r="AC37" i="47"/>
  <c r="AB38" i="47"/>
  <c r="AC38" i="47"/>
  <c r="AB39" i="47"/>
  <c r="AC39" i="47"/>
  <c r="AC5" i="47"/>
  <c r="AB5" i="47"/>
  <c r="AE6" i="44"/>
  <c r="AE7" i="44"/>
  <c r="AE9" i="44"/>
  <c r="AE10" i="44"/>
  <c r="AE11" i="44"/>
  <c r="AE14" i="44"/>
  <c r="AE17" i="44"/>
  <c r="AE18" i="44"/>
  <c r="AE19" i="44"/>
  <c r="D23" i="44"/>
  <c r="H23" i="44" s="1"/>
  <c r="D24" i="44"/>
  <c r="H24" i="44" s="1"/>
  <c r="Y31" i="44"/>
  <c r="AB6" i="46"/>
  <c r="AC6" i="46"/>
  <c r="AB7" i="46"/>
  <c r="AC7" i="46"/>
  <c r="AB8" i="46"/>
  <c r="AC8" i="46"/>
  <c r="AB9" i="46"/>
  <c r="AC9" i="46"/>
  <c r="AB10" i="46"/>
  <c r="AC10" i="46"/>
  <c r="AB11" i="46"/>
  <c r="AC11" i="46"/>
  <c r="AB12" i="46"/>
  <c r="AC12" i="46"/>
  <c r="AB13" i="46"/>
  <c r="AC13" i="46"/>
  <c r="AB14" i="46"/>
  <c r="AC14" i="46"/>
  <c r="AB15" i="46"/>
  <c r="AC15" i="46"/>
  <c r="AB16" i="46"/>
  <c r="AC16" i="46"/>
  <c r="AB17" i="46"/>
  <c r="AC17" i="46"/>
  <c r="AB18" i="46"/>
  <c r="AC18" i="46"/>
  <c r="AB19" i="46"/>
  <c r="AC19" i="46"/>
  <c r="AB20" i="46"/>
  <c r="AC20" i="46"/>
  <c r="AB21" i="46"/>
  <c r="AC21" i="46"/>
  <c r="AB22" i="46"/>
  <c r="AC22" i="46"/>
  <c r="AB23" i="46"/>
  <c r="AC23" i="46"/>
  <c r="AB24" i="46"/>
  <c r="AC24" i="46"/>
  <c r="AB25" i="46"/>
  <c r="AC25" i="46"/>
  <c r="AB26" i="46"/>
  <c r="AC26" i="46"/>
  <c r="AB27" i="46"/>
  <c r="AC27" i="46"/>
  <c r="AB28" i="46"/>
  <c r="AC28" i="46"/>
  <c r="AB29" i="46"/>
  <c r="AC29" i="46"/>
  <c r="AB30" i="46"/>
  <c r="AC30" i="46"/>
  <c r="AB31" i="46"/>
  <c r="AC31" i="46"/>
  <c r="AB32" i="46"/>
  <c r="AC32" i="46"/>
  <c r="AB33" i="46"/>
  <c r="AC33" i="46"/>
  <c r="AB34" i="46"/>
  <c r="AC34" i="46"/>
  <c r="AB35" i="46"/>
  <c r="AC35" i="46"/>
  <c r="AB36" i="46"/>
  <c r="AC36" i="46"/>
  <c r="AB37" i="46"/>
  <c r="AC37" i="46"/>
  <c r="AB38" i="46"/>
  <c r="AC38" i="46"/>
  <c r="AB39" i="46"/>
  <c r="AC39" i="46"/>
  <c r="AC5" i="46"/>
  <c r="AB5" i="46"/>
  <c r="AB6" i="44"/>
  <c r="AC6" i="44"/>
  <c r="AB7" i="44"/>
  <c r="AC7" i="44"/>
  <c r="AB8" i="44"/>
  <c r="AC8" i="44"/>
  <c r="AB9" i="44"/>
  <c r="AC9" i="44"/>
  <c r="AB10" i="44"/>
  <c r="AC10" i="44"/>
  <c r="AB11" i="44"/>
  <c r="AC11" i="44"/>
  <c r="AB12" i="44"/>
  <c r="AC12" i="44"/>
  <c r="AB13" i="44"/>
  <c r="AC13" i="44"/>
  <c r="AB14" i="44"/>
  <c r="AC14" i="44"/>
  <c r="AB15" i="44"/>
  <c r="AC15" i="44"/>
  <c r="AB16" i="44"/>
  <c r="AC16" i="44"/>
  <c r="AB17" i="44"/>
  <c r="AC17" i="44"/>
  <c r="AB18" i="44"/>
  <c r="AC18" i="44"/>
  <c r="AB19" i="44"/>
  <c r="AC19" i="44"/>
  <c r="AB20" i="44"/>
  <c r="AC20" i="44"/>
  <c r="AB21" i="44"/>
  <c r="AC21" i="44"/>
  <c r="AB22" i="44"/>
  <c r="AC22" i="44"/>
  <c r="AB23" i="44"/>
  <c r="AC23" i="44"/>
  <c r="AB24" i="44"/>
  <c r="AC24" i="44"/>
  <c r="AB25" i="44"/>
  <c r="AC25" i="44"/>
  <c r="AB26" i="44"/>
  <c r="AC26" i="44"/>
  <c r="AB27" i="44"/>
  <c r="AC27" i="44"/>
  <c r="AB28" i="44"/>
  <c r="AC28" i="44"/>
  <c r="AB29" i="44"/>
  <c r="AC29" i="44"/>
  <c r="AB30" i="44"/>
  <c r="AC30" i="44"/>
  <c r="AB31" i="44"/>
  <c r="AC31" i="44"/>
  <c r="AB32" i="44"/>
  <c r="AC32" i="44"/>
  <c r="AB33" i="44"/>
  <c r="AC33" i="44"/>
  <c r="AB34" i="44"/>
  <c r="AC34" i="44"/>
  <c r="AB35" i="44"/>
  <c r="AC35" i="44"/>
  <c r="AB36" i="44"/>
  <c r="AC36" i="44"/>
  <c r="AB37" i="44"/>
  <c r="AC37" i="44"/>
  <c r="AB38" i="44"/>
  <c r="AC38" i="44"/>
  <c r="AB39" i="44"/>
  <c r="AC39" i="44"/>
  <c r="AC5" i="44"/>
  <c r="AB5" i="44"/>
  <c r="B6" i="43" a="1"/>
  <c r="B6" i="43" s="1"/>
  <c r="B7" i="43" a="1"/>
  <c r="B7" i="43" s="1"/>
  <c r="AE7" i="43" s="1"/>
  <c r="B8" i="43" a="1"/>
  <c r="B8" i="43" s="1"/>
  <c r="B9" i="43" a="1"/>
  <c r="B9" i="43" s="1"/>
  <c r="AE9" i="43" s="1"/>
  <c r="B10" i="43" a="1"/>
  <c r="B10" i="43" s="1"/>
  <c r="AE10" i="43" s="1"/>
  <c r="B11" i="43" a="1"/>
  <c r="B11" i="43" s="1"/>
  <c r="AE11" i="43" s="1"/>
  <c r="B12" i="43" a="1"/>
  <c r="B12" i="43" s="1"/>
  <c r="B13" i="43" a="1"/>
  <c r="B13" i="43" s="1"/>
  <c r="AE13" i="43" s="1"/>
  <c r="B14" i="43" a="1"/>
  <c r="B14" i="43" s="1"/>
  <c r="AE14" i="43" s="1"/>
  <c r="B15" i="43" a="1"/>
  <c r="B15" i="43" s="1"/>
  <c r="AE15" i="43" s="1"/>
  <c r="B16" i="43" a="1"/>
  <c r="B16" i="43" s="1"/>
  <c r="B17" i="43" a="1"/>
  <c r="B17" i="43" s="1"/>
  <c r="B18" i="43" a="1"/>
  <c r="B18" i="43" s="1"/>
  <c r="AE18" i="43" s="1"/>
  <c r="B19" i="43" a="1"/>
  <c r="B19" i="43" s="1"/>
  <c r="AE19" i="43" s="1"/>
  <c r="B20" i="43" a="1"/>
  <c r="B20" i="43" s="1"/>
  <c r="B21" i="43" a="1"/>
  <c r="B21" i="43" s="1"/>
  <c r="AE21" i="43" s="1"/>
  <c r="B22" i="43" a="1"/>
  <c r="B22" i="43" s="1"/>
  <c r="AE22" i="43" s="1"/>
  <c r="B23" i="43" a="1"/>
  <c r="B23" i="43" s="1"/>
  <c r="AE23" i="43" s="1"/>
  <c r="B24" i="43" a="1"/>
  <c r="B24" i="43" s="1"/>
  <c r="B25" i="43" a="1"/>
  <c r="B25" i="43" s="1"/>
  <c r="AE25" i="43" s="1"/>
  <c r="B26" i="43" a="1"/>
  <c r="B26" i="43" s="1"/>
  <c r="K26" i="43" s="1"/>
  <c r="B27" i="43" a="1"/>
  <c r="B27" i="43" s="1"/>
  <c r="AE27" i="43" s="1"/>
  <c r="B28" i="43" a="1"/>
  <c r="B28" i="43" s="1"/>
  <c r="B29" i="43" a="1"/>
  <c r="B29" i="43" s="1"/>
  <c r="B30" i="43" a="1"/>
  <c r="B30" i="43" s="1"/>
  <c r="B31" i="43" a="1"/>
  <c r="B31" i="43" s="1"/>
  <c r="B32" i="43" a="1"/>
  <c r="B32" i="43" s="1"/>
  <c r="B33" i="43" a="1"/>
  <c r="B33" i="43" s="1"/>
  <c r="B34" i="43" a="1"/>
  <c r="B34" i="43" s="1"/>
  <c r="B35" i="43" a="1"/>
  <c r="B35" i="43" s="1"/>
  <c r="B36" i="43" a="1"/>
  <c r="B36" i="43" s="1"/>
  <c r="B37" i="43" a="1"/>
  <c r="B37" i="43" s="1"/>
  <c r="B38" i="43" a="1"/>
  <c r="B38" i="43" s="1"/>
  <c r="B39" i="43" a="1"/>
  <c r="B39" i="43" s="1"/>
  <c r="B5" i="43" a="1"/>
  <c r="B5" i="43" s="1"/>
  <c r="AB6" i="43"/>
  <c r="AC6" i="43"/>
  <c r="AB7" i="43"/>
  <c r="AC7" i="43"/>
  <c r="AB8" i="43"/>
  <c r="AC8" i="43"/>
  <c r="AB9" i="43"/>
  <c r="AC9" i="43"/>
  <c r="AB10" i="43"/>
  <c r="AC10" i="43"/>
  <c r="AB11" i="43"/>
  <c r="AC11" i="43"/>
  <c r="AB12" i="43"/>
  <c r="AC12" i="43"/>
  <c r="AB13" i="43"/>
  <c r="AC13" i="43"/>
  <c r="AB14" i="43"/>
  <c r="AC14" i="43"/>
  <c r="AB15" i="43"/>
  <c r="AC15" i="43"/>
  <c r="AB16" i="43"/>
  <c r="AC16" i="43"/>
  <c r="AB17" i="43"/>
  <c r="AC17" i="43"/>
  <c r="AB18" i="43"/>
  <c r="AC18" i="43"/>
  <c r="AB19" i="43"/>
  <c r="AC19" i="43"/>
  <c r="AB20" i="43"/>
  <c r="AC20" i="43"/>
  <c r="AB21" i="43"/>
  <c r="AC21" i="43"/>
  <c r="AB22" i="43"/>
  <c r="AC22" i="43"/>
  <c r="AB23" i="43"/>
  <c r="AC23" i="43"/>
  <c r="AB24" i="43"/>
  <c r="AC24" i="43"/>
  <c r="AB25" i="43"/>
  <c r="AC25" i="43"/>
  <c r="AB26" i="43"/>
  <c r="AC26" i="43"/>
  <c r="AB27" i="43"/>
  <c r="AC27" i="43"/>
  <c r="AB28" i="43"/>
  <c r="AC28" i="43"/>
  <c r="AB29" i="43"/>
  <c r="AC29" i="43"/>
  <c r="AB30" i="43"/>
  <c r="AC30" i="43"/>
  <c r="AB31" i="43"/>
  <c r="AC31" i="43"/>
  <c r="AB32" i="43"/>
  <c r="AC32" i="43"/>
  <c r="AB33" i="43"/>
  <c r="AC33" i="43"/>
  <c r="AB34" i="43"/>
  <c r="AC34" i="43"/>
  <c r="AB35" i="43"/>
  <c r="AC35" i="43"/>
  <c r="AB36" i="43"/>
  <c r="AC36" i="43"/>
  <c r="AB37" i="43"/>
  <c r="AC37" i="43"/>
  <c r="AB38" i="43"/>
  <c r="AC38" i="43"/>
  <c r="AB39" i="43"/>
  <c r="AC39" i="43"/>
  <c r="AC5" i="43"/>
  <c r="AB5" i="43"/>
  <c r="V31" i="49"/>
  <c r="V30" i="49"/>
  <c r="V29" i="49"/>
  <c r="V28" i="49"/>
  <c r="V27" i="49"/>
  <c r="V26" i="49"/>
  <c r="W6" i="49"/>
  <c r="X6" i="49"/>
  <c r="W7" i="49"/>
  <c r="X7" i="49"/>
  <c r="W9" i="49"/>
  <c r="X9" i="49"/>
  <c r="T9" i="50" s="1"/>
  <c r="W10" i="49"/>
  <c r="S10" i="55" s="1"/>
  <c r="X10" i="49"/>
  <c r="W11" i="49"/>
  <c r="X11" i="49"/>
  <c r="W12" i="49"/>
  <c r="X12" i="49"/>
  <c r="W13" i="49"/>
  <c r="X13" i="49"/>
  <c r="W14" i="49"/>
  <c r="X14" i="49"/>
  <c r="W15" i="49"/>
  <c r="X15" i="49"/>
  <c r="W17" i="49"/>
  <c r="X17" i="49"/>
  <c r="W18" i="49"/>
  <c r="X18" i="49"/>
  <c r="W19" i="49"/>
  <c r="X19" i="49"/>
  <c r="W22" i="49"/>
  <c r="X22" i="49"/>
  <c r="W23" i="49"/>
  <c r="X23" i="49"/>
  <c r="W30" i="49"/>
  <c r="X30" i="49"/>
  <c r="W33" i="49"/>
  <c r="X33" i="49"/>
  <c r="W34" i="49"/>
  <c r="X34" i="49"/>
  <c r="W35" i="49"/>
  <c r="X35" i="49"/>
  <c r="W36" i="49"/>
  <c r="X36" i="49"/>
  <c r="W37" i="49"/>
  <c r="X37" i="49"/>
  <c r="W38" i="49"/>
  <c r="X38" i="49"/>
  <c r="W39" i="49"/>
  <c r="X39" i="49"/>
  <c r="X5" i="49"/>
  <c r="W5" i="49"/>
  <c r="AB5" i="49"/>
  <c r="AC5" i="49"/>
  <c r="U32" i="49"/>
  <c r="U31" i="49"/>
  <c r="U30" i="49"/>
  <c r="U29" i="49"/>
  <c r="U28" i="49"/>
  <c r="U27" i="49"/>
  <c r="U26" i="49"/>
  <c r="U25" i="49"/>
  <c r="U24" i="49"/>
  <c r="U23" i="49"/>
  <c r="U22" i="49"/>
  <c r="U21" i="49"/>
  <c r="U20" i="49"/>
  <c r="U19" i="49"/>
  <c r="U18" i="49"/>
  <c r="U17" i="49"/>
  <c r="U16" i="49"/>
  <c r="U15" i="49"/>
  <c r="U14" i="49"/>
  <c r="U13" i="49"/>
  <c r="U12" i="49"/>
  <c r="U11" i="49"/>
  <c r="U10" i="49"/>
  <c r="U9" i="49"/>
  <c r="U8" i="49"/>
  <c r="U7" i="49"/>
  <c r="U6" i="49"/>
  <c r="U5" i="49"/>
  <c r="Y5" i="49"/>
  <c r="Y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V7" i="49"/>
  <c r="V6" i="49"/>
  <c r="V5" i="49"/>
  <c r="N24" i="48" l="1"/>
  <c r="Q24" i="48"/>
  <c r="O24" i="48"/>
  <c r="R24" i="48"/>
  <c r="P24" i="48"/>
  <c r="Q22" i="48"/>
  <c r="N22" i="48"/>
  <c r="R22" i="48"/>
  <c r="O22" i="48"/>
  <c r="P22" i="48"/>
  <c r="O24" i="47"/>
  <c r="N24" i="47"/>
  <c r="P24" i="47"/>
  <c r="Q24" i="47"/>
  <c r="R24" i="47"/>
  <c r="N30" i="47"/>
  <c r="Q30" i="47"/>
  <c r="O30" i="47"/>
  <c r="P30" i="47"/>
  <c r="R30" i="47"/>
  <c r="N31" i="47"/>
  <c r="R31" i="47"/>
  <c r="Q31" i="47"/>
  <c r="O31" i="47"/>
  <c r="P31" i="47"/>
  <c r="N28" i="47"/>
  <c r="Q28" i="47"/>
  <c r="R28" i="47"/>
  <c r="O28" i="47"/>
  <c r="P28" i="47"/>
  <c r="Q22" i="47"/>
  <c r="R22" i="47"/>
  <c r="N22" i="47"/>
  <c r="P22" i="47"/>
  <c r="O22" i="47"/>
  <c r="O26" i="47"/>
  <c r="N26" i="47"/>
  <c r="P26" i="47"/>
  <c r="Q26" i="47"/>
  <c r="R26" i="47"/>
  <c r="R23" i="47"/>
  <c r="Q23" i="47"/>
  <c r="O23" i="47"/>
  <c r="P23" i="47"/>
  <c r="N23" i="47"/>
  <c r="P23" i="44"/>
  <c r="N23" i="44"/>
  <c r="Q23" i="44"/>
  <c r="O23" i="44"/>
  <c r="R23" i="44"/>
  <c r="S23" i="44"/>
  <c r="T23" i="44"/>
  <c r="U23" i="44"/>
  <c r="O24" i="44"/>
  <c r="R24" i="44"/>
  <c r="N24" i="44"/>
  <c r="Q24" i="44"/>
  <c r="P24" i="44"/>
  <c r="S24" i="44"/>
  <c r="T24" i="44"/>
  <c r="U24" i="44"/>
  <c r="D27" i="47"/>
  <c r="H27" i="47" s="1"/>
  <c r="AE15" i="44"/>
  <c r="W15" i="44"/>
  <c r="X15" i="44" s="1"/>
  <c r="K19" i="43"/>
  <c r="W19" i="43" s="1"/>
  <c r="X19" i="43" s="1"/>
  <c r="AG36" i="49"/>
  <c r="AH36" i="49" s="1"/>
  <c r="AF36" i="49"/>
  <c r="AE39" i="55"/>
  <c r="R39" i="55"/>
  <c r="AE10" i="55"/>
  <c r="D37" i="54"/>
  <c r="H37" i="54" s="1"/>
  <c r="O37" i="54"/>
  <c r="S37" i="54"/>
  <c r="Q36" i="54"/>
  <c r="R39" i="54"/>
  <c r="AE36" i="54"/>
  <c r="D31" i="53"/>
  <c r="H31" i="53" s="1"/>
  <c r="AE31" i="53"/>
  <c r="P38" i="53"/>
  <c r="X38" i="53"/>
  <c r="R34" i="53"/>
  <c r="X5" i="53"/>
  <c r="Z38" i="53"/>
  <c r="N34" i="53"/>
  <c r="R33" i="53"/>
  <c r="Z22" i="53"/>
  <c r="AE5" i="53"/>
  <c r="P29" i="53"/>
  <c r="T38" i="53"/>
  <c r="U36" i="53"/>
  <c r="AE33" i="53"/>
  <c r="AE32" i="53"/>
  <c r="AE7" i="51"/>
  <c r="AE10" i="50"/>
  <c r="AE24" i="50"/>
  <c r="AE23" i="50"/>
  <c r="P23" i="50"/>
  <c r="X19" i="50"/>
  <c r="X10" i="50"/>
  <c r="D35" i="47"/>
  <c r="H35" i="47" s="1"/>
  <c r="D36" i="47"/>
  <c r="H36" i="47" s="1"/>
  <c r="Y33" i="44"/>
  <c r="D32" i="47"/>
  <c r="H32" i="47" s="1"/>
  <c r="D37" i="47"/>
  <c r="H37" i="47" s="1"/>
  <c r="D33" i="47"/>
  <c r="H33" i="47" s="1"/>
  <c r="D21" i="48"/>
  <c r="H21" i="48" s="1"/>
  <c r="Y25" i="44"/>
  <c r="D25" i="44"/>
  <c r="H25" i="44" s="1"/>
  <c r="D38" i="47"/>
  <c r="H38" i="47" s="1"/>
  <c r="D34" i="47"/>
  <c r="H34" i="47" s="1"/>
  <c r="D39" i="48"/>
  <c r="H39" i="48" s="1"/>
  <c r="D23" i="48"/>
  <c r="H23" i="48" s="1"/>
  <c r="D39" i="47"/>
  <c r="H39" i="47" s="1"/>
  <c r="D25" i="48"/>
  <c r="H25" i="48" s="1"/>
  <c r="S12" i="50"/>
  <c r="AE13" i="50"/>
  <c r="D37" i="52"/>
  <c r="H37" i="52" s="1"/>
  <c r="S37" i="52"/>
  <c r="K39" i="53"/>
  <c r="W39" i="53" s="1"/>
  <c r="X39" i="53" s="1"/>
  <c r="P39" i="53"/>
  <c r="T39" i="53"/>
  <c r="L39" i="53"/>
  <c r="Y39" i="53" s="1"/>
  <c r="Q39" i="53"/>
  <c r="U39" i="53"/>
  <c r="N39" i="53"/>
  <c r="R39" i="53"/>
  <c r="AE39" i="53"/>
  <c r="O39" i="53"/>
  <c r="Q16" i="53"/>
  <c r="K11" i="43"/>
  <c r="W11" i="43" s="1"/>
  <c r="X11" i="43" s="1"/>
  <c r="K38" i="50"/>
  <c r="W38" i="50" s="1"/>
  <c r="X38" i="50" s="1"/>
  <c r="D24" i="50"/>
  <c r="H24" i="50" s="1"/>
  <c r="R24" i="50" s="1"/>
  <c r="D22" i="50"/>
  <c r="H22" i="50" s="1"/>
  <c r="P22" i="50" s="1"/>
  <c r="D16" i="50"/>
  <c r="H16" i="50" s="1"/>
  <c r="X15" i="50"/>
  <c r="AE14" i="50"/>
  <c r="D14" i="50"/>
  <c r="H14" i="50" s="1"/>
  <c r="P10" i="50"/>
  <c r="AE6" i="50"/>
  <c r="N6" i="50"/>
  <c r="T33" i="52"/>
  <c r="AE33" i="52"/>
  <c r="AE17" i="52"/>
  <c r="K17" i="52"/>
  <c r="W17" i="52" s="1"/>
  <c r="X17" i="52" s="1"/>
  <c r="K11" i="53"/>
  <c r="W11" i="53" s="1"/>
  <c r="X11" i="53" s="1"/>
  <c r="AE11" i="53"/>
  <c r="L11" i="53"/>
  <c r="Y11" i="53" s="1"/>
  <c r="D11" i="53"/>
  <c r="H11" i="53" s="1"/>
  <c r="S11" i="53" s="1"/>
  <c r="D7" i="53"/>
  <c r="H7" i="53" s="1"/>
  <c r="S7" i="53" s="1"/>
  <c r="K7" i="53"/>
  <c r="W7" i="53" s="1"/>
  <c r="X7" i="53" s="1"/>
  <c r="L7" i="53"/>
  <c r="Y7" i="53" s="1"/>
  <c r="AE7" i="53"/>
  <c r="D39" i="53"/>
  <c r="H39" i="53" s="1"/>
  <c r="P35" i="50"/>
  <c r="AE17" i="50"/>
  <c r="N12" i="50"/>
  <c r="L38" i="51"/>
  <c r="Y38" i="51" s="1"/>
  <c r="N38" i="51"/>
  <c r="T38" i="51"/>
  <c r="AE18" i="51"/>
  <c r="K18" i="51"/>
  <c r="W18" i="51" s="1"/>
  <c r="X18" i="51" s="1"/>
  <c r="K14" i="51"/>
  <c r="W14" i="51" s="1"/>
  <c r="X14" i="51" s="1"/>
  <c r="AE14" i="51"/>
  <c r="L21" i="53"/>
  <c r="AE21" i="53"/>
  <c r="D21" i="53"/>
  <c r="H21" i="53" s="1"/>
  <c r="K21" i="53"/>
  <c r="L17" i="53"/>
  <c r="Y17" i="53" s="1"/>
  <c r="D17" i="53"/>
  <c r="H17" i="53" s="1"/>
  <c r="S17" i="53"/>
  <c r="K17" i="53"/>
  <c r="W17" i="53" s="1"/>
  <c r="X17" i="53" s="1"/>
  <c r="AE17" i="53"/>
  <c r="L14" i="53"/>
  <c r="Z14" i="53" s="1"/>
  <c r="AE14" i="53"/>
  <c r="D14" i="53"/>
  <c r="H14" i="53" s="1"/>
  <c r="Q14" i="53" s="1"/>
  <c r="AE30" i="53"/>
  <c r="K14" i="53"/>
  <c r="W14" i="53" s="1"/>
  <c r="X14" i="53" s="1"/>
  <c r="K34" i="50"/>
  <c r="W34" i="50" s="1"/>
  <c r="X34" i="50" s="1"/>
  <c r="AE21" i="50"/>
  <c r="D13" i="50"/>
  <c r="H13" i="50" s="1"/>
  <c r="P13" i="50" s="1"/>
  <c r="T12" i="50"/>
  <c r="D21" i="51"/>
  <c r="H21" i="51" s="1"/>
  <c r="K21" i="51"/>
  <c r="AE16" i="51"/>
  <c r="AE15" i="52"/>
  <c r="K15" i="52"/>
  <c r="W15" i="52" s="1"/>
  <c r="X15" i="52" s="1"/>
  <c r="L37" i="53"/>
  <c r="Y37" i="53" s="1"/>
  <c r="Q37" i="53"/>
  <c r="U37" i="53"/>
  <c r="N37" i="53"/>
  <c r="R37" i="53"/>
  <c r="AE37" i="53"/>
  <c r="D37" i="53"/>
  <c r="H37" i="53" s="1"/>
  <c r="O37" i="53"/>
  <c r="S37" i="53"/>
  <c r="D33" i="53"/>
  <c r="H33" i="53" s="1"/>
  <c r="O33" i="53"/>
  <c r="S33" i="53"/>
  <c r="K33" i="53"/>
  <c r="W33" i="53" s="1"/>
  <c r="X33" i="53" s="1"/>
  <c r="P33" i="53"/>
  <c r="T33" i="53"/>
  <c r="L33" i="53"/>
  <c r="Y33" i="53" s="1"/>
  <c r="Q33" i="53"/>
  <c r="U33" i="53"/>
  <c r="K30" i="53"/>
  <c r="W30" i="53" s="1"/>
  <c r="X30" i="53" s="1"/>
  <c r="L30" i="53"/>
  <c r="Y30" i="53" s="1"/>
  <c r="AE27" i="53"/>
  <c r="D27" i="53"/>
  <c r="H27" i="53" s="1"/>
  <c r="Z27" i="53"/>
  <c r="K27" i="53"/>
  <c r="K23" i="53"/>
  <c r="L23" i="53"/>
  <c r="Z23" i="53" s="1"/>
  <c r="S23" i="53"/>
  <c r="AE23" i="53"/>
  <c r="D23" i="53"/>
  <c r="H23" i="53" s="1"/>
  <c r="K13" i="53"/>
  <c r="W13" i="53" s="1"/>
  <c r="X13" i="53" s="1"/>
  <c r="AE13" i="53"/>
  <c r="D13" i="53"/>
  <c r="H13" i="53" s="1"/>
  <c r="L13" i="53"/>
  <c r="Y13" i="53" s="1"/>
  <c r="S13" i="53"/>
  <c r="S39" i="53"/>
  <c r="P37" i="53"/>
  <c r="D30" i="53"/>
  <c r="H30" i="53" s="1"/>
  <c r="R30" i="53" s="1"/>
  <c r="K38" i="54"/>
  <c r="W38" i="54" s="1"/>
  <c r="X38" i="54" s="1"/>
  <c r="P38" i="54"/>
  <c r="T38" i="54"/>
  <c r="L38" i="54"/>
  <c r="Y38" i="54" s="1"/>
  <c r="Q38" i="54"/>
  <c r="U38" i="54"/>
  <c r="D38" i="54"/>
  <c r="H38" i="54" s="1"/>
  <c r="N38" i="54"/>
  <c r="R38" i="54"/>
  <c r="O38" i="54"/>
  <c r="S38" i="54"/>
  <c r="AE38" i="54"/>
  <c r="K35" i="54"/>
  <c r="W35" i="54" s="1"/>
  <c r="X35" i="54" s="1"/>
  <c r="P35" i="54"/>
  <c r="T35" i="54"/>
  <c r="L35" i="54"/>
  <c r="Q35" i="54"/>
  <c r="D35" i="54"/>
  <c r="H35" i="54" s="1"/>
  <c r="S35" i="54"/>
  <c r="N35" i="54"/>
  <c r="U35" i="54"/>
  <c r="AE35" i="54"/>
  <c r="O35" i="54"/>
  <c r="R35" i="54"/>
  <c r="D22" i="54"/>
  <c r="H22" i="54" s="1"/>
  <c r="N22" i="54" s="1"/>
  <c r="AE22" i="54"/>
  <c r="K22" i="54"/>
  <c r="L22" i="54"/>
  <c r="Z22" i="54" s="1"/>
  <c r="D19" i="54"/>
  <c r="H19" i="54" s="1"/>
  <c r="S19" i="54"/>
  <c r="K19" i="54"/>
  <c r="W19" i="54" s="1"/>
  <c r="X19" i="54" s="1"/>
  <c r="AE19" i="54"/>
  <c r="L19" i="54"/>
  <c r="Y19" i="54" s="1"/>
  <c r="D6" i="54"/>
  <c r="H6" i="54" s="1"/>
  <c r="Q6" i="54" s="1"/>
  <c r="K6" i="54"/>
  <c r="W6" i="54" s="1"/>
  <c r="X6" i="54" s="1"/>
  <c r="AE6" i="54"/>
  <c r="L6" i="54"/>
  <c r="AE29" i="51"/>
  <c r="L20" i="53"/>
  <c r="Z20" i="53" s="1"/>
  <c r="AE20" i="53"/>
  <c r="L16" i="53"/>
  <c r="Z16" i="53" s="1"/>
  <c r="AE16" i="53"/>
  <c r="K10" i="53"/>
  <c r="W10" i="53" s="1"/>
  <c r="X10" i="53" s="1"/>
  <c r="P10" i="53"/>
  <c r="L10" i="53"/>
  <c r="Z10" i="53" s="1"/>
  <c r="Q10" i="53"/>
  <c r="D10" i="53"/>
  <c r="H10" i="53" s="1"/>
  <c r="T10" i="53" s="1"/>
  <c r="N10" i="53"/>
  <c r="R10" i="53"/>
  <c r="AE10" i="53"/>
  <c r="L5" i="53"/>
  <c r="Z5" i="53" s="1"/>
  <c r="AE38" i="53"/>
  <c r="S38" i="53"/>
  <c r="O38" i="53"/>
  <c r="D38" i="53"/>
  <c r="H38" i="53" s="1"/>
  <c r="Z36" i="53"/>
  <c r="T36" i="53"/>
  <c r="P36" i="53"/>
  <c r="K36" i="53"/>
  <c r="W36" i="53" s="1"/>
  <c r="X36" i="53" s="1"/>
  <c r="T35" i="53"/>
  <c r="P35" i="53"/>
  <c r="K35" i="53"/>
  <c r="W35" i="53" s="1"/>
  <c r="X35" i="53" s="1"/>
  <c r="U34" i="53"/>
  <c r="Q34" i="53"/>
  <c r="L34" i="53"/>
  <c r="Y34" i="53" s="1"/>
  <c r="L32" i="53"/>
  <c r="Y32" i="53" s="1"/>
  <c r="L31" i="53"/>
  <c r="Y31" i="53" s="1"/>
  <c r="AE29" i="53"/>
  <c r="L29" i="53"/>
  <c r="AE28" i="53"/>
  <c r="L28" i="53"/>
  <c r="K20" i="53"/>
  <c r="AE18" i="53"/>
  <c r="D31" i="54"/>
  <c r="H31" i="54" s="1"/>
  <c r="N31" i="54" s="1"/>
  <c r="P31" i="54"/>
  <c r="K31" i="54"/>
  <c r="Q31" i="54"/>
  <c r="AE31" i="54"/>
  <c r="L31" i="54"/>
  <c r="R31" i="54"/>
  <c r="D25" i="54"/>
  <c r="H25" i="54" s="1"/>
  <c r="K25" i="54"/>
  <c r="AE25" i="54"/>
  <c r="L25" i="54"/>
  <c r="Y25" i="54" s="1"/>
  <c r="D15" i="54"/>
  <c r="H15" i="54" s="1"/>
  <c r="S15" i="54" s="1"/>
  <c r="K15" i="54"/>
  <c r="W15" i="54" s="1"/>
  <c r="X15" i="54" s="1"/>
  <c r="Q12" i="54"/>
  <c r="L9" i="54"/>
  <c r="D9" i="54"/>
  <c r="H9" i="54" s="1"/>
  <c r="S9" i="54"/>
  <c r="AE9" i="54"/>
  <c r="K9" i="54"/>
  <c r="W9" i="54" s="1"/>
  <c r="X9" i="54" s="1"/>
  <c r="K28" i="51"/>
  <c r="K24" i="51"/>
  <c r="AE10" i="51"/>
  <c r="AE25" i="53"/>
  <c r="K25" i="53"/>
  <c r="Z25" i="53"/>
  <c r="D22" i="53"/>
  <c r="H22" i="53" s="1"/>
  <c r="Q22" i="53" s="1"/>
  <c r="AE22" i="53"/>
  <c r="K19" i="53"/>
  <c r="W19" i="53" s="1"/>
  <c r="X19" i="53" s="1"/>
  <c r="AE19" i="53"/>
  <c r="K15" i="53"/>
  <c r="W15" i="53" s="1"/>
  <c r="X15" i="53" s="1"/>
  <c r="AE15" i="53"/>
  <c r="K9" i="53"/>
  <c r="W9" i="53" s="1"/>
  <c r="X9" i="53" s="1"/>
  <c r="L9" i="53"/>
  <c r="Y9" i="53" s="1"/>
  <c r="AE9" i="53"/>
  <c r="D9" i="53"/>
  <c r="H9" i="53" s="1"/>
  <c r="S9" i="53" s="1"/>
  <c r="Q6" i="53"/>
  <c r="D6" i="53"/>
  <c r="H6" i="53" s="1"/>
  <c r="K6" i="53"/>
  <c r="W6" i="53" s="1"/>
  <c r="X6" i="53" s="1"/>
  <c r="R38" i="53"/>
  <c r="N38" i="53"/>
  <c r="AE36" i="53"/>
  <c r="S36" i="53"/>
  <c r="O36" i="53"/>
  <c r="D36" i="53"/>
  <c r="H36" i="53" s="1"/>
  <c r="Z35" i="53"/>
  <c r="S35" i="53"/>
  <c r="O35" i="53"/>
  <c r="D35" i="53"/>
  <c r="H35" i="53" s="1"/>
  <c r="T34" i="53"/>
  <c r="P34" i="53"/>
  <c r="K34" i="53"/>
  <c r="W34" i="53" s="1"/>
  <c r="X34" i="53" s="1"/>
  <c r="K32" i="53"/>
  <c r="K31" i="53"/>
  <c r="K29" i="53"/>
  <c r="AE24" i="53"/>
  <c r="K22" i="53"/>
  <c r="D20" i="53"/>
  <c r="H20" i="53" s="1"/>
  <c r="S19" i="53"/>
  <c r="D15" i="53"/>
  <c r="H15" i="53" s="1"/>
  <c r="D30" i="54"/>
  <c r="H30" i="54" s="1"/>
  <c r="P30" i="54" s="1"/>
  <c r="K30" i="54"/>
  <c r="W30" i="54" s="1"/>
  <c r="X30" i="54" s="1"/>
  <c r="L30" i="54"/>
  <c r="Y30" i="54" s="1"/>
  <c r="AE30" i="54"/>
  <c r="D27" i="54"/>
  <c r="H27" i="54" s="1"/>
  <c r="Q27" i="54"/>
  <c r="AE27" i="54"/>
  <c r="K27" i="54"/>
  <c r="K14" i="54"/>
  <c r="W14" i="54" s="1"/>
  <c r="X14" i="54" s="1"/>
  <c r="L14" i="54"/>
  <c r="D14" i="54"/>
  <c r="H14" i="54" s="1"/>
  <c r="AE14" i="54"/>
  <c r="D11" i="54"/>
  <c r="H11" i="54" s="1"/>
  <c r="S11" i="54" s="1"/>
  <c r="K11" i="54"/>
  <c r="W11" i="54" s="1"/>
  <c r="X11" i="54" s="1"/>
  <c r="AE11" i="54"/>
  <c r="L11" i="54"/>
  <c r="L15" i="54"/>
  <c r="Y15" i="54" s="1"/>
  <c r="D23" i="55"/>
  <c r="H23" i="55" s="1"/>
  <c r="K23" i="55"/>
  <c r="D13" i="55"/>
  <c r="H13" i="55" s="1"/>
  <c r="S13" i="55" s="1"/>
  <c r="AE13" i="55"/>
  <c r="D24" i="53"/>
  <c r="H24" i="53" s="1"/>
  <c r="Q24" i="53" s="1"/>
  <c r="K24" i="53"/>
  <c r="D18" i="53"/>
  <c r="H18" i="53" s="1"/>
  <c r="K18" i="53"/>
  <c r="W18" i="53" s="1"/>
  <c r="X18" i="53" s="1"/>
  <c r="L12" i="53"/>
  <c r="Z12" i="53" s="1"/>
  <c r="D12" i="53"/>
  <c r="H12" i="53" s="1"/>
  <c r="Q12" i="53" s="1"/>
  <c r="AE12" i="53"/>
  <c r="D8" i="53"/>
  <c r="H8" i="53" s="1"/>
  <c r="AE8" i="53"/>
  <c r="K8" i="53"/>
  <c r="U38" i="53"/>
  <c r="Q38" i="53"/>
  <c r="R36" i="53"/>
  <c r="AE35" i="53"/>
  <c r="R35" i="53"/>
  <c r="AE34" i="53"/>
  <c r="S34" i="53"/>
  <c r="O34" i="53"/>
  <c r="D28" i="53"/>
  <c r="H28" i="53" s="1"/>
  <c r="Q28" i="53" s="1"/>
  <c r="AE26" i="53"/>
  <c r="L26" i="53"/>
  <c r="Z26" i="53" s="1"/>
  <c r="L19" i="53"/>
  <c r="Y19" i="53" s="1"/>
  <c r="K16" i="53"/>
  <c r="Z15" i="53"/>
  <c r="K12" i="53"/>
  <c r="W12" i="53" s="1"/>
  <c r="X12" i="53" s="1"/>
  <c r="S10" i="53"/>
  <c r="AE6" i="53"/>
  <c r="L6" i="53"/>
  <c r="D39" i="54"/>
  <c r="H39" i="54" s="1"/>
  <c r="O39" i="54"/>
  <c r="S39" i="54"/>
  <c r="K39" i="54"/>
  <c r="W39" i="54" s="1"/>
  <c r="X39" i="54" s="1"/>
  <c r="P39" i="54"/>
  <c r="T39" i="54"/>
  <c r="L39" i="54"/>
  <c r="Q39" i="54"/>
  <c r="U39" i="54"/>
  <c r="AE39" i="54"/>
  <c r="K33" i="54"/>
  <c r="W33" i="54" s="1"/>
  <c r="X33" i="54" s="1"/>
  <c r="P33" i="54"/>
  <c r="T33" i="54"/>
  <c r="L33" i="54"/>
  <c r="Q33" i="54"/>
  <c r="U33" i="54"/>
  <c r="AE33" i="54"/>
  <c r="D33" i="54"/>
  <c r="H33" i="54" s="1"/>
  <c r="N33" i="54"/>
  <c r="R33" i="54"/>
  <c r="S33" i="54"/>
  <c r="L23" i="54"/>
  <c r="D23" i="54"/>
  <c r="H23" i="54" s="1"/>
  <c r="S23" i="54"/>
  <c r="AE23" i="54"/>
  <c r="Z23" i="54"/>
  <c r="D17" i="54"/>
  <c r="H17" i="54" s="1"/>
  <c r="S17" i="54"/>
  <c r="K17" i="54"/>
  <c r="W17" i="54" s="1"/>
  <c r="X17" i="54" s="1"/>
  <c r="AE17" i="54"/>
  <c r="L17" i="54"/>
  <c r="Y17" i="54" s="1"/>
  <c r="K7" i="54"/>
  <c r="W7" i="54" s="1"/>
  <c r="X7" i="54" s="1"/>
  <c r="L7" i="54"/>
  <c r="Y7" i="54" s="1"/>
  <c r="D7" i="54"/>
  <c r="H7" i="54" s="1"/>
  <c r="L27" i="54"/>
  <c r="Y27" i="54" s="1"/>
  <c r="AE15" i="54"/>
  <c r="AE7" i="54"/>
  <c r="AE23" i="55"/>
  <c r="K32" i="54"/>
  <c r="AE32" i="54"/>
  <c r="L32" i="54"/>
  <c r="Y32" i="54" s="1"/>
  <c r="L29" i="54"/>
  <c r="R29" i="54"/>
  <c r="D29" i="54"/>
  <c r="H29" i="54" s="1"/>
  <c r="N29" i="54" s="1"/>
  <c r="P29" i="54"/>
  <c r="P24" i="54"/>
  <c r="K24" i="54"/>
  <c r="Q24" i="54"/>
  <c r="L24" i="54"/>
  <c r="K21" i="54"/>
  <c r="L21" i="54"/>
  <c r="D16" i="54"/>
  <c r="H16" i="54" s="1"/>
  <c r="K16" i="54"/>
  <c r="L16" i="54"/>
  <c r="Z16" i="54" s="1"/>
  <c r="D13" i="54"/>
  <c r="H13" i="54" s="1"/>
  <c r="S13" i="54"/>
  <c r="K13" i="54"/>
  <c r="W13" i="54" s="1"/>
  <c r="X13" i="54" s="1"/>
  <c r="AE13" i="54"/>
  <c r="D8" i="54"/>
  <c r="H8" i="54" s="1"/>
  <c r="N8" i="54" s="1"/>
  <c r="AE8" i="54"/>
  <c r="Q8" i="54"/>
  <c r="K8" i="54"/>
  <c r="R8" i="54"/>
  <c r="R37" i="54"/>
  <c r="N37" i="54"/>
  <c r="U36" i="54"/>
  <c r="O36" i="54"/>
  <c r="D36" i="54"/>
  <c r="H36" i="54" s="1"/>
  <c r="D32" i="54"/>
  <c r="H32" i="54" s="1"/>
  <c r="P32" i="54" s="1"/>
  <c r="K29" i="54"/>
  <c r="AE26" i="54"/>
  <c r="L13" i="54"/>
  <c r="K34" i="54"/>
  <c r="W34" i="54" s="1"/>
  <c r="X34" i="54" s="1"/>
  <c r="P34" i="54"/>
  <c r="L34" i="54"/>
  <c r="Y34" i="54" s="1"/>
  <c r="Q34" i="54"/>
  <c r="U34" i="54"/>
  <c r="D34" i="54"/>
  <c r="H34" i="54" s="1"/>
  <c r="N34" i="54"/>
  <c r="R34" i="54"/>
  <c r="K26" i="54"/>
  <c r="L26" i="54"/>
  <c r="Z26" i="54" s="1"/>
  <c r="K18" i="54"/>
  <c r="W18" i="54" s="1"/>
  <c r="X18" i="54" s="1"/>
  <c r="L18" i="54"/>
  <c r="K10" i="54"/>
  <c r="W10" i="54" s="1"/>
  <c r="X10" i="54" s="1"/>
  <c r="L10" i="54"/>
  <c r="Z10" i="54" s="1"/>
  <c r="AE37" i="54"/>
  <c r="U37" i="54"/>
  <c r="Q37" i="54"/>
  <c r="L37" i="54"/>
  <c r="S36" i="54"/>
  <c r="S34" i="54"/>
  <c r="D26" i="54"/>
  <c r="H26" i="54" s="1"/>
  <c r="N26" i="54" s="1"/>
  <c r="AE21" i="54"/>
  <c r="D21" i="54"/>
  <c r="H21" i="54" s="1"/>
  <c r="AE12" i="54"/>
  <c r="D37" i="55"/>
  <c r="H37" i="55" s="1"/>
  <c r="O37" i="55"/>
  <c r="R37" i="55"/>
  <c r="AE34" i="55"/>
  <c r="K36" i="54"/>
  <c r="W36" i="54" s="1"/>
  <c r="X36" i="54" s="1"/>
  <c r="P36" i="54"/>
  <c r="T36" i="54"/>
  <c r="K28" i="54"/>
  <c r="AE28" i="54"/>
  <c r="L28" i="54"/>
  <c r="Y28" i="54" s="1"/>
  <c r="D28" i="54"/>
  <c r="H28" i="54" s="1"/>
  <c r="P28" i="54" s="1"/>
  <c r="K20" i="54"/>
  <c r="L20" i="54"/>
  <c r="AE20" i="54"/>
  <c r="K12" i="54"/>
  <c r="W12" i="54" s="1"/>
  <c r="X12" i="54" s="1"/>
  <c r="L12" i="54"/>
  <c r="T37" i="54"/>
  <c r="P37" i="54"/>
  <c r="K37" i="54"/>
  <c r="W37" i="54" s="1"/>
  <c r="X37" i="54" s="1"/>
  <c r="R36" i="54"/>
  <c r="L36" i="54"/>
  <c r="Y36" i="54" s="1"/>
  <c r="O34" i="54"/>
  <c r="AE24" i="54"/>
  <c r="AE18" i="54"/>
  <c r="D18" i="54"/>
  <c r="H18" i="54" s="1"/>
  <c r="Q18" i="54" s="1"/>
  <c r="Q16" i="54"/>
  <c r="AE10" i="54"/>
  <c r="D10" i="54"/>
  <c r="H10" i="54" s="1"/>
  <c r="Q10" i="54" s="1"/>
  <c r="L8" i="54"/>
  <c r="Z8" i="54" s="1"/>
  <c r="D5" i="55"/>
  <c r="H5" i="55" s="1"/>
  <c r="L5" i="55"/>
  <c r="Y5" i="55" s="1"/>
  <c r="N14" i="55"/>
  <c r="P14" i="55"/>
  <c r="R14" i="55"/>
  <c r="D6" i="55"/>
  <c r="H6" i="55" s="1"/>
  <c r="S6" i="55" s="1"/>
  <c r="AE6" i="55"/>
  <c r="R24" i="55"/>
  <c r="AE22" i="55"/>
  <c r="AE24" i="55"/>
  <c r="K24" i="55"/>
  <c r="T22" i="55"/>
  <c r="AE18" i="55"/>
  <c r="R18" i="55"/>
  <c r="K37" i="55"/>
  <c r="W37" i="55" s="1"/>
  <c r="X37" i="55" s="1"/>
  <c r="P37" i="55"/>
  <c r="T37" i="55"/>
  <c r="L37" i="55"/>
  <c r="Q37" i="55"/>
  <c r="U37" i="55"/>
  <c r="K35" i="55"/>
  <c r="W35" i="55" s="1"/>
  <c r="X35" i="55" s="1"/>
  <c r="P35" i="55"/>
  <c r="T35" i="55"/>
  <c r="L35" i="55"/>
  <c r="Y35" i="55" s="1"/>
  <c r="Q35" i="55"/>
  <c r="U35" i="55"/>
  <c r="D35" i="55"/>
  <c r="H35" i="55" s="1"/>
  <c r="N35" i="55"/>
  <c r="R35" i="55"/>
  <c r="K31" i="55"/>
  <c r="L31" i="55"/>
  <c r="Y31" i="55" s="1"/>
  <c r="D31" i="55"/>
  <c r="H31" i="55" s="1"/>
  <c r="P31" i="55" s="1"/>
  <c r="N31" i="55"/>
  <c r="N26" i="55"/>
  <c r="R23" i="55"/>
  <c r="N23" i="55"/>
  <c r="S23" i="55"/>
  <c r="T23" i="55"/>
  <c r="N21" i="55"/>
  <c r="P21" i="55"/>
  <c r="R9" i="55"/>
  <c r="S9" i="55"/>
  <c r="K36" i="55"/>
  <c r="W36" i="55" s="1"/>
  <c r="X36" i="55" s="1"/>
  <c r="P36" i="55"/>
  <c r="T36" i="55"/>
  <c r="L36" i="55"/>
  <c r="Y36" i="55" s="1"/>
  <c r="Q36" i="55"/>
  <c r="U36" i="55"/>
  <c r="D36" i="55"/>
  <c r="H36" i="55" s="1"/>
  <c r="N36" i="55"/>
  <c r="R36" i="55"/>
  <c r="L25" i="55"/>
  <c r="Y25" i="55" s="1"/>
  <c r="Q25" i="55"/>
  <c r="D25" i="55"/>
  <c r="H25" i="55" s="1"/>
  <c r="P25" i="55"/>
  <c r="AE25" i="55"/>
  <c r="K25" i="55"/>
  <c r="R25" i="55"/>
  <c r="K38" i="55"/>
  <c r="W38" i="55" s="1"/>
  <c r="X38" i="55" s="1"/>
  <c r="P38" i="55"/>
  <c r="T38" i="55"/>
  <c r="L38" i="55"/>
  <c r="Q38" i="55"/>
  <c r="U38" i="55"/>
  <c r="N37" i="55"/>
  <c r="AE36" i="55"/>
  <c r="O36" i="55"/>
  <c r="S35" i="55"/>
  <c r="K34" i="55"/>
  <c r="W34" i="55" s="1"/>
  <c r="X34" i="55" s="1"/>
  <c r="P34" i="55"/>
  <c r="T34" i="55"/>
  <c r="L34" i="55"/>
  <c r="Y34" i="55" s="1"/>
  <c r="Q34" i="55"/>
  <c r="U34" i="55"/>
  <c r="D34" i="55"/>
  <c r="H34" i="55" s="1"/>
  <c r="N34" i="55"/>
  <c r="R34" i="55"/>
  <c r="K30" i="55"/>
  <c r="W30" i="55" s="1"/>
  <c r="X30" i="55" s="1"/>
  <c r="L30" i="55"/>
  <c r="Y30" i="55" s="1"/>
  <c r="D30" i="55"/>
  <c r="H30" i="55" s="1"/>
  <c r="N30" i="55" s="1"/>
  <c r="L20" i="55"/>
  <c r="Y20" i="55" s="1"/>
  <c r="Q20" i="55"/>
  <c r="AE20" i="55"/>
  <c r="K20" i="55"/>
  <c r="R20" i="55"/>
  <c r="D20" i="55"/>
  <c r="H20" i="55" s="1"/>
  <c r="N20" i="55"/>
  <c r="N17" i="55"/>
  <c r="S17" i="55"/>
  <c r="P17" i="55"/>
  <c r="T17" i="55"/>
  <c r="R8" i="55"/>
  <c r="K32" i="55"/>
  <c r="P32" i="55"/>
  <c r="L32" i="55"/>
  <c r="Y32" i="55" s="1"/>
  <c r="Q32" i="55"/>
  <c r="D32" i="55"/>
  <c r="H32" i="55" s="1"/>
  <c r="R32" i="55"/>
  <c r="K28" i="55"/>
  <c r="L28" i="55"/>
  <c r="Y28" i="55" s="1"/>
  <c r="D28" i="55"/>
  <c r="H28" i="55" s="1"/>
  <c r="N28" i="55"/>
  <c r="R27" i="55"/>
  <c r="N27" i="55"/>
  <c r="K39" i="55"/>
  <c r="W39" i="55" s="1"/>
  <c r="X39" i="55" s="1"/>
  <c r="P39" i="55"/>
  <c r="T39" i="55"/>
  <c r="L39" i="55"/>
  <c r="Q39" i="55"/>
  <c r="U39" i="55"/>
  <c r="N38" i="55"/>
  <c r="AE37" i="55"/>
  <c r="S37" i="55"/>
  <c r="O35" i="55"/>
  <c r="S34" i="55"/>
  <c r="K33" i="55"/>
  <c r="W33" i="55" s="1"/>
  <c r="X33" i="55" s="1"/>
  <c r="P33" i="55"/>
  <c r="T33" i="55"/>
  <c r="L33" i="55"/>
  <c r="Y33" i="55" s="1"/>
  <c r="Q33" i="55"/>
  <c r="U33" i="55"/>
  <c r="D33" i="55"/>
  <c r="H33" i="55" s="1"/>
  <c r="N33" i="55"/>
  <c r="R33" i="55"/>
  <c r="S30" i="55"/>
  <c r="K29" i="55"/>
  <c r="L29" i="55"/>
  <c r="Y29" i="55" s="1"/>
  <c r="D29" i="55"/>
  <c r="H29" i="55" s="1"/>
  <c r="N25" i="55"/>
  <c r="N24" i="55"/>
  <c r="P24" i="55"/>
  <c r="P23" i="55"/>
  <c r="L26" i="55"/>
  <c r="Q26" i="55"/>
  <c r="N22" i="55"/>
  <c r="S22" i="55"/>
  <c r="L19" i="55"/>
  <c r="Y19" i="55" s="1"/>
  <c r="D19" i="55"/>
  <c r="H19" i="55" s="1"/>
  <c r="S19" i="55" s="1"/>
  <c r="AE19" i="55"/>
  <c r="L16" i="55"/>
  <c r="Y16" i="55" s="1"/>
  <c r="Q16" i="55"/>
  <c r="P16" i="55"/>
  <c r="AE16" i="55"/>
  <c r="K16" i="55"/>
  <c r="R16" i="55"/>
  <c r="K11" i="55"/>
  <c r="W11" i="55" s="1"/>
  <c r="X11" i="55" s="1"/>
  <c r="L11" i="55"/>
  <c r="Y11" i="55" s="1"/>
  <c r="D11" i="55"/>
  <c r="H11" i="55" s="1"/>
  <c r="AE11" i="55"/>
  <c r="L27" i="55"/>
  <c r="Q27" i="55"/>
  <c r="R26" i="55"/>
  <c r="K26" i="55"/>
  <c r="L23" i="55"/>
  <c r="Z23" i="55" s="1"/>
  <c r="Q23" i="55"/>
  <c r="P22" i="55"/>
  <c r="R12" i="55"/>
  <c r="K7" i="55"/>
  <c r="W7" i="55" s="1"/>
  <c r="X7" i="55" s="1"/>
  <c r="L7" i="55"/>
  <c r="Y7" i="55" s="1"/>
  <c r="D7" i="55"/>
  <c r="H7" i="55" s="1"/>
  <c r="P7" i="55" s="1"/>
  <c r="AE7" i="55"/>
  <c r="AE26" i="55"/>
  <c r="P26" i="55"/>
  <c r="L24" i="55"/>
  <c r="Q24" i="55"/>
  <c r="X19" i="55"/>
  <c r="N18" i="55"/>
  <c r="S18" i="55"/>
  <c r="T18" i="55"/>
  <c r="N16" i="55"/>
  <c r="L15" i="55"/>
  <c r="Y15" i="55" s="1"/>
  <c r="D15" i="55"/>
  <c r="H15" i="55" s="1"/>
  <c r="S15" i="55" s="1"/>
  <c r="P15" i="55"/>
  <c r="AE15" i="55"/>
  <c r="K15" i="55"/>
  <c r="W15" i="55" s="1"/>
  <c r="X15" i="55" s="1"/>
  <c r="R15" i="55"/>
  <c r="R13" i="55"/>
  <c r="K12" i="55"/>
  <c r="W12" i="55" s="1"/>
  <c r="X12" i="55" s="1"/>
  <c r="P12" i="55"/>
  <c r="T12" i="55"/>
  <c r="L12" i="55"/>
  <c r="Q12" i="55"/>
  <c r="K8" i="55"/>
  <c r="P8" i="55"/>
  <c r="L8" i="55"/>
  <c r="Q8" i="55"/>
  <c r="L21" i="55"/>
  <c r="Q21" i="55"/>
  <c r="U21" i="55"/>
  <c r="L17" i="55"/>
  <c r="Q17" i="55"/>
  <c r="T14" i="55"/>
  <c r="K13" i="55"/>
  <c r="W13" i="55" s="1"/>
  <c r="X13" i="55" s="1"/>
  <c r="P13" i="55"/>
  <c r="T13" i="55"/>
  <c r="L13" i="55"/>
  <c r="Q13" i="55"/>
  <c r="N12" i="55"/>
  <c r="R10" i="55"/>
  <c r="K9" i="55"/>
  <c r="W9" i="55" s="1"/>
  <c r="X9" i="55" s="1"/>
  <c r="P9" i="55"/>
  <c r="T9" i="55"/>
  <c r="L9" i="55"/>
  <c r="Q9" i="55"/>
  <c r="N8" i="55"/>
  <c r="R6" i="55"/>
  <c r="L22" i="55"/>
  <c r="Z22" i="55" s="1"/>
  <c r="Q22" i="55"/>
  <c r="R21" i="55"/>
  <c r="K21" i="55"/>
  <c r="L18" i="55"/>
  <c r="Q18" i="55"/>
  <c r="R17" i="55"/>
  <c r="K17" i="55"/>
  <c r="W17" i="55" s="1"/>
  <c r="X17" i="55" s="1"/>
  <c r="S14" i="55"/>
  <c r="L14" i="55"/>
  <c r="Q14" i="55"/>
  <c r="N13" i="55"/>
  <c r="AE12" i="55"/>
  <c r="S12" i="55"/>
  <c r="K10" i="55"/>
  <c r="W10" i="55" s="1"/>
  <c r="X10" i="55" s="1"/>
  <c r="P10" i="55"/>
  <c r="T10" i="55"/>
  <c r="L10" i="55"/>
  <c r="Q10" i="55"/>
  <c r="N9" i="55"/>
  <c r="AE8" i="55"/>
  <c r="K6" i="55"/>
  <c r="W6" i="55" s="1"/>
  <c r="X6" i="55" s="1"/>
  <c r="P6" i="55"/>
  <c r="T6" i="55"/>
  <c r="L6" i="55"/>
  <c r="Q6" i="55"/>
  <c r="AE5" i="55"/>
  <c r="S5" i="55"/>
  <c r="X5" i="55"/>
  <c r="P5" i="55"/>
  <c r="R5" i="55"/>
  <c r="N5" i="55"/>
  <c r="T5" i="55"/>
  <c r="U5" i="55"/>
  <c r="Q5" i="55"/>
  <c r="S7" i="54"/>
  <c r="R32" i="54"/>
  <c r="N32" i="54"/>
  <c r="R30" i="54"/>
  <c r="N30" i="54"/>
  <c r="N20" i="54"/>
  <c r="R20" i="54"/>
  <c r="P20" i="54"/>
  <c r="P19" i="54"/>
  <c r="T19" i="54"/>
  <c r="Q19" i="54"/>
  <c r="N19" i="54"/>
  <c r="R19" i="54"/>
  <c r="N14" i="54"/>
  <c r="R14" i="54"/>
  <c r="S14" i="54"/>
  <c r="P14" i="54"/>
  <c r="T14" i="54"/>
  <c r="P13" i="54"/>
  <c r="T13" i="54"/>
  <c r="Q13" i="54"/>
  <c r="N13" i="54"/>
  <c r="R13" i="54"/>
  <c r="P9" i="54"/>
  <c r="T9" i="54"/>
  <c r="Q9" i="54"/>
  <c r="N9" i="54"/>
  <c r="R9" i="54"/>
  <c r="P27" i="54"/>
  <c r="N27" i="54"/>
  <c r="N18" i="54"/>
  <c r="R18" i="54"/>
  <c r="S18" i="54"/>
  <c r="P18" i="54"/>
  <c r="T18" i="54"/>
  <c r="P17" i="54"/>
  <c r="T17" i="54"/>
  <c r="Q17" i="54"/>
  <c r="N17" i="54"/>
  <c r="R17" i="54"/>
  <c r="Q32" i="54"/>
  <c r="Q30" i="54"/>
  <c r="N28" i="54"/>
  <c r="R28" i="54"/>
  <c r="P23" i="54"/>
  <c r="T23" i="54"/>
  <c r="Q23" i="54"/>
  <c r="N23" i="54"/>
  <c r="R23" i="54"/>
  <c r="Q20" i="54"/>
  <c r="N16" i="54"/>
  <c r="R16" i="54"/>
  <c r="P16" i="54"/>
  <c r="P15" i="54"/>
  <c r="T15" i="54"/>
  <c r="Q15" i="54"/>
  <c r="N15" i="54"/>
  <c r="R15" i="54"/>
  <c r="Q14" i="54"/>
  <c r="N10" i="54"/>
  <c r="R10" i="54"/>
  <c r="S10" i="54"/>
  <c r="P10" i="54"/>
  <c r="T10" i="54"/>
  <c r="N12" i="54"/>
  <c r="R12" i="54"/>
  <c r="S12" i="54"/>
  <c r="P12" i="54"/>
  <c r="T12" i="54"/>
  <c r="P7" i="54"/>
  <c r="T7" i="54"/>
  <c r="Q7" i="54"/>
  <c r="N7" i="54"/>
  <c r="R7" i="54"/>
  <c r="T30" i="54"/>
  <c r="R27" i="54"/>
  <c r="P25" i="54"/>
  <c r="Q25" i="54"/>
  <c r="N25" i="54"/>
  <c r="R25" i="54"/>
  <c r="P21" i="54"/>
  <c r="Q21" i="54"/>
  <c r="U21" i="54"/>
  <c r="N21" i="54"/>
  <c r="R21" i="54"/>
  <c r="P11" i="54"/>
  <c r="T11" i="54"/>
  <c r="Q11" i="54"/>
  <c r="N11" i="54"/>
  <c r="R11" i="54"/>
  <c r="N6" i="54"/>
  <c r="R6" i="54"/>
  <c r="S6" i="54"/>
  <c r="P6" i="54"/>
  <c r="T6" i="54"/>
  <c r="P8" i="54"/>
  <c r="R26" i="54"/>
  <c r="R24" i="54"/>
  <c r="AE5" i="54"/>
  <c r="U5" i="54"/>
  <c r="L5" i="54"/>
  <c r="Y5" i="54" s="1"/>
  <c r="D5" i="54"/>
  <c r="H5" i="54" s="1"/>
  <c r="Q5" i="54" s="1"/>
  <c r="K5" i="54"/>
  <c r="W5" i="54" s="1"/>
  <c r="X5" i="54" s="1"/>
  <c r="R32" i="53"/>
  <c r="P32" i="53"/>
  <c r="Q32" i="53"/>
  <c r="N32" i="53"/>
  <c r="Q31" i="53"/>
  <c r="N31" i="53"/>
  <c r="R31" i="53"/>
  <c r="P31" i="53"/>
  <c r="N20" i="53"/>
  <c r="R20" i="53"/>
  <c r="P20" i="53"/>
  <c r="P13" i="53"/>
  <c r="T13" i="53"/>
  <c r="Q13" i="53"/>
  <c r="N13" i="53"/>
  <c r="R13" i="53"/>
  <c r="Q20" i="53"/>
  <c r="Y18" i="53"/>
  <c r="P27" i="53"/>
  <c r="Q27" i="53"/>
  <c r="N27" i="53"/>
  <c r="R27" i="53"/>
  <c r="N22" i="53"/>
  <c r="R22" i="53"/>
  <c r="S22" i="53"/>
  <c r="P22" i="53"/>
  <c r="T22" i="53"/>
  <c r="N12" i="53"/>
  <c r="R12" i="53"/>
  <c r="S12" i="53"/>
  <c r="P12" i="53"/>
  <c r="T12" i="53"/>
  <c r="Q29" i="53"/>
  <c r="N26" i="53"/>
  <c r="R26" i="53"/>
  <c r="P26" i="53"/>
  <c r="P25" i="53"/>
  <c r="Q25" i="53"/>
  <c r="N25" i="53"/>
  <c r="R25" i="53"/>
  <c r="P21" i="53"/>
  <c r="Q21" i="53"/>
  <c r="U21" i="53"/>
  <c r="N21" i="53"/>
  <c r="R21" i="53"/>
  <c r="N18" i="53"/>
  <c r="R18" i="53"/>
  <c r="S18" i="53"/>
  <c r="P18" i="53"/>
  <c r="T18" i="53"/>
  <c r="P17" i="53"/>
  <c r="T17" i="53"/>
  <c r="Q17" i="53"/>
  <c r="N17" i="53"/>
  <c r="R17" i="53"/>
  <c r="N28" i="53"/>
  <c r="R28" i="53"/>
  <c r="P28" i="53"/>
  <c r="N24" i="53"/>
  <c r="R24" i="53"/>
  <c r="P24" i="53"/>
  <c r="P23" i="53"/>
  <c r="T23" i="53"/>
  <c r="Q23" i="53"/>
  <c r="N23" i="53"/>
  <c r="R23" i="53"/>
  <c r="P19" i="53"/>
  <c r="T19" i="53"/>
  <c r="Q19" i="53"/>
  <c r="N19" i="53"/>
  <c r="R19" i="53"/>
  <c r="N16" i="53"/>
  <c r="R16" i="53"/>
  <c r="P16" i="53"/>
  <c r="P15" i="53"/>
  <c r="T15" i="53"/>
  <c r="Q15" i="53"/>
  <c r="N15" i="53"/>
  <c r="R15" i="53"/>
  <c r="N14" i="53"/>
  <c r="R14" i="53"/>
  <c r="S14" i="53"/>
  <c r="P14" i="53"/>
  <c r="T14" i="53"/>
  <c r="P11" i="53"/>
  <c r="T11" i="53"/>
  <c r="Q11" i="53"/>
  <c r="N11" i="53"/>
  <c r="R11" i="53"/>
  <c r="Y8" i="53"/>
  <c r="S30" i="53"/>
  <c r="N29" i="53"/>
  <c r="Q26" i="53"/>
  <c r="Q18" i="53"/>
  <c r="P9" i="53"/>
  <c r="T9" i="53"/>
  <c r="Q9" i="53"/>
  <c r="N9" i="53"/>
  <c r="R9" i="53"/>
  <c r="P7" i="53"/>
  <c r="T7" i="53"/>
  <c r="Q7" i="53"/>
  <c r="N7" i="53"/>
  <c r="R7" i="53"/>
  <c r="N6" i="53"/>
  <c r="R6" i="53"/>
  <c r="S6" i="53"/>
  <c r="P6" i="53"/>
  <c r="T6" i="53"/>
  <c r="S5" i="53"/>
  <c r="Q5" i="53"/>
  <c r="T5" i="53"/>
  <c r="R5" i="53"/>
  <c r="N5" i="53"/>
  <c r="U5" i="53"/>
  <c r="P5" i="53"/>
  <c r="AE32" i="52"/>
  <c r="K32" i="52"/>
  <c r="K16" i="52"/>
  <c r="AE16" i="52"/>
  <c r="K34" i="52"/>
  <c r="W34" i="52" s="1"/>
  <c r="X34" i="52" s="1"/>
  <c r="T34" i="52"/>
  <c r="AE34" i="52"/>
  <c r="O34" i="52"/>
  <c r="P34" i="52"/>
  <c r="S34" i="52"/>
  <c r="D26" i="52"/>
  <c r="H26" i="52" s="1"/>
  <c r="P26" i="52" s="1"/>
  <c r="AE10" i="52"/>
  <c r="K10" i="52"/>
  <c r="W10" i="52" s="1"/>
  <c r="X10" i="52" s="1"/>
  <c r="K36" i="52"/>
  <c r="W36" i="52" s="1"/>
  <c r="X36" i="52" s="1"/>
  <c r="T36" i="52"/>
  <c r="O36" i="52"/>
  <c r="AE36" i="52"/>
  <c r="P36" i="52"/>
  <c r="R36" i="52"/>
  <c r="AE28" i="52"/>
  <c r="K28" i="52"/>
  <c r="K12" i="52"/>
  <c r="W12" i="52" s="1"/>
  <c r="X12" i="52" s="1"/>
  <c r="AE12" i="52"/>
  <c r="R24" i="52"/>
  <c r="K24" i="52"/>
  <c r="D24" i="52"/>
  <c r="H24" i="52" s="1"/>
  <c r="P24" i="52" s="1"/>
  <c r="AE8" i="52"/>
  <c r="K8" i="52"/>
  <c r="K38" i="52"/>
  <c r="W38" i="52" s="1"/>
  <c r="X38" i="52" s="1"/>
  <c r="R38" i="52"/>
  <c r="N38" i="52"/>
  <c r="S38" i="52"/>
  <c r="AE38" i="52"/>
  <c r="D38" i="52"/>
  <c r="H38" i="52" s="1"/>
  <c r="P38" i="52"/>
  <c r="O38" i="52"/>
  <c r="T38" i="52"/>
  <c r="K30" i="52"/>
  <c r="W30" i="52" s="1"/>
  <c r="X30" i="52" s="1"/>
  <c r="AE30" i="52"/>
  <c r="D22" i="52"/>
  <c r="H22" i="52" s="1"/>
  <c r="P22" i="52" s="1"/>
  <c r="K14" i="52"/>
  <c r="W14" i="52" s="1"/>
  <c r="X14" i="52" s="1"/>
  <c r="AE14" i="52"/>
  <c r="K6" i="52"/>
  <c r="W6" i="52" s="1"/>
  <c r="X6" i="52" s="1"/>
  <c r="AE6" i="52"/>
  <c r="AE37" i="52"/>
  <c r="P37" i="52"/>
  <c r="K33" i="52"/>
  <c r="W33" i="52" s="1"/>
  <c r="X33" i="52" s="1"/>
  <c r="K29" i="52"/>
  <c r="K25" i="52"/>
  <c r="K21" i="52"/>
  <c r="K19" i="52"/>
  <c r="W19" i="52" s="1"/>
  <c r="X19" i="52" s="1"/>
  <c r="N37" i="52"/>
  <c r="S33" i="52"/>
  <c r="D25" i="52"/>
  <c r="H25" i="52" s="1"/>
  <c r="D21" i="52"/>
  <c r="H21" i="52" s="1"/>
  <c r="L39" i="52"/>
  <c r="Y39" i="52" s="1"/>
  <c r="Q39" i="52"/>
  <c r="U39" i="52"/>
  <c r="X35" i="52"/>
  <c r="P35" i="52"/>
  <c r="L31" i="52"/>
  <c r="Y31" i="52" s="1"/>
  <c r="D31" i="52"/>
  <c r="H31" i="52" s="1"/>
  <c r="Q31" i="52" s="1"/>
  <c r="L23" i="52"/>
  <c r="Z23" i="52" s="1"/>
  <c r="AE23" i="52"/>
  <c r="D23" i="52"/>
  <c r="H23" i="52" s="1"/>
  <c r="S23" i="52" s="1"/>
  <c r="R23" i="52"/>
  <c r="K23" i="52"/>
  <c r="T23" i="52"/>
  <c r="N23" i="52"/>
  <c r="R39" i="52"/>
  <c r="K39" i="52"/>
  <c r="W39" i="52" s="1"/>
  <c r="X39" i="52" s="1"/>
  <c r="T37" i="52"/>
  <c r="O37" i="52"/>
  <c r="S36" i="52"/>
  <c r="O35" i="52"/>
  <c r="L34" i="52"/>
  <c r="Y34" i="52" s="1"/>
  <c r="Q34" i="52"/>
  <c r="U34" i="52"/>
  <c r="D34" i="52"/>
  <c r="H34" i="52" s="1"/>
  <c r="N34" i="52"/>
  <c r="R34" i="52"/>
  <c r="L30" i="52"/>
  <c r="Y30" i="52" s="1"/>
  <c r="D30" i="52"/>
  <c r="H30" i="52" s="1"/>
  <c r="N30" i="52"/>
  <c r="AE35" i="52"/>
  <c r="AE31" i="52"/>
  <c r="D18" i="52"/>
  <c r="H18" i="52" s="1"/>
  <c r="N18" i="52" s="1"/>
  <c r="L18" i="52"/>
  <c r="Y18" i="52" s="1"/>
  <c r="K18" i="52"/>
  <c r="W18" i="52" s="1"/>
  <c r="X18" i="52" s="1"/>
  <c r="AE18" i="52"/>
  <c r="Q18" i="52"/>
  <c r="AE39" i="52"/>
  <c r="P39" i="52"/>
  <c r="L37" i="52"/>
  <c r="Y37" i="52" s="1"/>
  <c r="Q37" i="52"/>
  <c r="U37" i="52"/>
  <c r="T35" i="52"/>
  <c r="L33" i="52"/>
  <c r="Y33" i="52" s="1"/>
  <c r="Q33" i="52"/>
  <c r="U33" i="52"/>
  <c r="D33" i="52"/>
  <c r="H33" i="52" s="1"/>
  <c r="N33" i="52"/>
  <c r="R33" i="52"/>
  <c r="K31" i="52"/>
  <c r="L29" i="52"/>
  <c r="Y29" i="52" s="1"/>
  <c r="D29" i="52"/>
  <c r="H29" i="52" s="1"/>
  <c r="L27" i="52"/>
  <c r="Y27" i="52" s="1"/>
  <c r="D27" i="52"/>
  <c r="H27" i="52" s="1"/>
  <c r="N27" i="52" s="1"/>
  <c r="Q27" i="52"/>
  <c r="K27" i="52"/>
  <c r="R27" i="52"/>
  <c r="S39" i="52"/>
  <c r="N39" i="52"/>
  <c r="L35" i="52"/>
  <c r="Y35" i="52" s="1"/>
  <c r="Q35" i="52"/>
  <c r="U35" i="52"/>
  <c r="D35" i="52"/>
  <c r="H35" i="52" s="1"/>
  <c r="N35" i="52"/>
  <c r="R35" i="52"/>
  <c r="T39" i="52"/>
  <c r="O39" i="52"/>
  <c r="D39" i="52"/>
  <c r="H39" i="52" s="1"/>
  <c r="L38" i="52"/>
  <c r="Q38" i="52"/>
  <c r="U38" i="52"/>
  <c r="R37" i="52"/>
  <c r="K37" i="52"/>
  <c r="W37" i="52" s="1"/>
  <c r="X37" i="52" s="1"/>
  <c r="L36" i="52"/>
  <c r="Q36" i="52"/>
  <c r="U36" i="52"/>
  <c r="D36" i="52"/>
  <c r="H36" i="52" s="1"/>
  <c r="N36" i="52"/>
  <c r="S35" i="52"/>
  <c r="O33" i="52"/>
  <c r="L32" i="52"/>
  <c r="Y32" i="52" s="1"/>
  <c r="D32" i="52"/>
  <c r="H32" i="52" s="1"/>
  <c r="Q32" i="52" s="1"/>
  <c r="N32" i="52"/>
  <c r="L28" i="52"/>
  <c r="Y28" i="52" s="1"/>
  <c r="D28" i="52"/>
  <c r="H28" i="52" s="1"/>
  <c r="N28" i="52" s="1"/>
  <c r="P23" i="52"/>
  <c r="L26" i="52"/>
  <c r="Q26" i="52"/>
  <c r="AE26" i="52"/>
  <c r="L22" i="52"/>
  <c r="Z22" i="52" s="1"/>
  <c r="Q22" i="52"/>
  <c r="S22" i="52"/>
  <c r="AE22" i="52"/>
  <c r="D19" i="52"/>
  <c r="H19" i="52" s="1"/>
  <c r="T19" i="52" s="1"/>
  <c r="L19" i="52"/>
  <c r="Y19" i="52" s="1"/>
  <c r="D15" i="52"/>
  <c r="H15" i="52" s="1"/>
  <c r="T15" i="52" s="1"/>
  <c r="L15" i="52"/>
  <c r="Y15" i="52" s="1"/>
  <c r="N26" i="52"/>
  <c r="L25" i="52"/>
  <c r="Q25" i="52"/>
  <c r="AE25" i="52"/>
  <c r="N22" i="52"/>
  <c r="L21" i="52"/>
  <c r="Q21" i="52"/>
  <c r="U21" i="52"/>
  <c r="AE21" i="52"/>
  <c r="D20" i="52"/>
  <c r="H20" i="52" s="1"/>
  <c r="L20" i="52"/>
  <c r="AE20" i="52"/>
  <c r="Q19" i="52"/>
  <c r="D16" i="52"/>
  <c r="H16" i="52" s="1"/>
  <c r="N16" i="52" s="1"/>
  <c r="L16" i="52"/>
  <c r="Y16" i="52" s="1"/>
  <c r="Q15" i="52"/>
  <c r="D13" i="52"/>
  <c r="H13" i="52" s="1"/>
  <c r="Q13" i="52" s="1"/>
  <c r="K13" i="52"/>
  <c r="W13" i="52" s="1"/>
  <c r="X13" i="52" s="1"/>
  <c r="L13" i="52"/>
  <c r="Y13" i="52" s="1"/>
  <c r="D11" i="52"/>
  <c r="H11" i="52" s="1"/>
  <c r="P11" i="52"/>
  <c r="K11" i="52"/>
  <c r="W11" i="52" s="1"/>
  <c r="X11" i="52" s="1"/>
  <c r="L11" i="52"/>
  <c r="Y11" i="52" s="1"/>
  <c r="D9" i="52"/>
  <c r="H9" i="52" s="1"/>
  <c r="Q9" i="52" s="1"/>
  <c r="P9" i="52"/>
  <c r="K9" i="52"/>
  <c r="W9" i="52" s="1"/>
  <c r="X9" i="52" s="1"/>
  <c r="L9" i="52"/>
  <c r="Y9" i="52" s="1"/>
  <c r="D7" i="52"/>
  <c r="H7" i="52" s="1"/>
  <c r="R7" i="52" s="1"/>
  <c r="K7" i="52"/>
  <c r="W7" i="52" s="1"/>
  <c r="X7" i="52" s="1"/>
  <c r="L7" i="52"/>
  <c r="Y7" i="52" s="1"/>
  <c r="K26" i="52"/>
  <c r="N25" i="52"/>
  <c r="L24" i="52"/>
  <c r="Q24" i="52"/>
  <c r="AE24" i="52"/>
  <c r="T22" i="52"/>
  <c r="K22" i="52"/>
  <c r="N21" i="52"/>
  <c r="D17" i="52"/>
  <c r="H17" i="52" s="1"/>
  <c r="N17" i="52"/>
  <c r="P17" i="52"/>
  <c r="L17" i="52"/>
  <c r="Y17" i="52" s="1"/>
  <c r="Q16" i="52"/>
  <c r="D14" i="52"/>
  <c r="H14" i="52" s="1"/>
  <c r="P14" i="52" s="1"/>
  <c r="D12" i="52"/>
  <c r="H12" i="52" s="1"/>
  <c r="S12" i="52" s="1"/>
  <c r="D10" i="52"/>
  <c r="H10" i="52" s="1"/>
  <c r="P10" i="52" s="1"/>
  <c r="D8" i="52"/>
  <c r="H8" i="52" s="1"/>
  <c r="D6" i="52"/>
  <c r="H6" i="52" s="1"/>
  <c r="L14" i="52"/>
  <c r="Y14" i="52" s="1"/>
  <c r="L12" i="52"/>
  <c r="Y12" i="52" s="1"/>
  <c r="L10" i="52"/>
  <c r="Y10" i="52" s="1"/>
  <c r="L8" i="52"/>
  <c r="Y8" i="52" s="1"/>
  <c r="L6" i="52"/>
  <c r="Y6" i="52" s="1"/>
  <c r="AE5" i="52"/>
  <c r="D5" i="52"/>
  <c r="H5" i="52" s="1"/>
  <c r="Q5" i="52" s="1"/>
  <c r="K5" i="52"/>
  <c r="W5" i="52" s="1"/>
  <c r="X5" i="52" s="1"/>
  <c r="L5" i="52"/>
  <c r="Y5" i="52" s="1"/>
  <c r="O37" i="51"/>
  <c r="S37" i="51"/>
  <c r="AE37" i="51"/>
  <c r="L37" i="51"/>
  <c r="Y37" i="51" s="1"/>
  <c r="R37" i="51"/>
  <c r="N37" i="51"/>
  <c r="T37" i="51"/>
  <c r="K37" i="51"/>
  <c r="W37" i="51" s="1"/>
  <c r="X37" i="51" s="1"/>
  <c r="D37" i="51"/>
  <c r="H37" i="51" s="1"/>
  <c r="P37" i="51"/>
  <c r="U37" i="51"/>
  <c r="Q37" i="51"/>
  <c r="D34" i="51"/>
  <c r="H34" i="51" s="1"/>
  <c r="N34" i="51"/>
  <c r="R34" i="51"/>
  <c r="O34" i="51"/>
  <c r="S34" i="51"/>
  <c r="AE34" i="51"/>
  <c r="P34" i="51"/>
  <c r="Q34" i="51"/>
  <c r="U34" i="51"/>
  <c r="K34" i="51"/>
  <c r="W34" i="51" s="1"/>
  <c r="X34" i="51" s="1"/>
  <c r="T34" i="51"/>
  <c r="L34" i="51"/>
  <c r="Y34" i="51" s="1"/>
  <c r="O39" i="51"/>
  <c r="S39" i="51"/>
  <c r="AE39" i="51"/>
  <c r="L39" i="51"/>
  <c r="Y39" i="51" s="1"/>
  <c r="R39" i="51"/>
  <c r="Q39" i="51"/>
  <c r="N39" i="51"/>
  <c r="T39" i="51"/>
  <c r="D39" i="51"/>
  <c r="H39" i="51" s="1"/>
  <c r="P39" i="51"/>
  <c r="U39" i="51"/>
  <c r="K39" i="51"/>
  <c r="W39" i="51" s="1"/>
  <c r="X39" i="51" s="1"/>
  <c r="D36" i="51"/>
  <c r="H36" i="51" s="1"/>
  <c r="N36" i="51"/>
  <c r="R36" i="51"/>
  <c r="O36" i="51"/>
  <c r="S36" i="51"/>
  <c r="AE36" i="51"/>
  <c r="P36" i="51"/>
  <c r="Q36" i="51"/>
  <c r="L36" i="51"/>
  <c r="Y36" i="51" s="1"/>
  <c r="K36" i="51"/>
  <c r="W36" i="51" s="1"/>
  <c r="X36" i="51" s="1"/>
  <c r="T36" i="51"/>
  <c r="U36" i="51"/>
  <c r="D35" i="51"/>
  <c r="H35" i="51" s="1"/>
  <c r="N35" i="51"/>
  <c r="R35" i="51"/>
  <c r="O35" i="51"/>
  <c r="S35" i="51"/>
  <c r="AE35" i="51"/>
  <c r="P35" i="51"/>
  <c r="Q35" i="51"/>
  <c r="L35" i="51"/>
  <c r="Y35" i="51" s="1"/>
  <c r="K35" i="51"/>
  <c r="W35" i="51" s="1"/>
  <c r="X35" i="51" s="1"/>
  <c r="T35" i="51"/>
  <c r="U35" i="51"/>
  <c r="L32" i="51"/>
  <c r="Y32" i="51" s="1"/>
  <c r="Q32" i="51"/>
  <c r="D32" i="51"/>
  <c r="H32" i="51" s="1"/>
  <c r="N32" i="51"/>
  <c r="R32" i="51"/>
  <c r="AE32" i="51"/>
  <c r="N21" i="51"/>
  <c r="P21" i="51"/>
  <c r="R38" i="51"/>
  <c r="L33" i="51"/>
  <c r="Y33" i="51" s="1"/>
  <c r="D33" i="51"/>
  <c r="H33" i="51" s="1"/>
  <c r="N33" i="51"/>
  <c r="R33" i="51"/>
  <c r="O33" i="51"/>
  <c r="S33" i="51"/>
  <c r="AE33" i="51"/>
  <c r="N29" i="51"/>
  <c r="P29" i="51"/>
  <c r="D17" i="51"/>
  <c r="H17" i="51" s="1"/>
  <c r="N17" i="51"/>
  <c r="R17" i="51"/>
  <c r="P17" i="51"/>
  <c r="K17" i="51"/>
  <c r="W17" i="51" s="1"/>
  <c r="X17" i="51" s="1"/>
  <c r="Q17" i="51"/>
  <c r="L17" i="51"/>
  <c r="Y17" i="51" s="1"/>
  <c r="S17" i="51"/>
  <c r="T17" i="51"/>
  <c r="AE17" i="51"/>
  <c r="O38" i="51"/>
  <c r="S38" i="51"/>
  <c r="AE38" i="51"/>
  <c r="N25" i="51"/>
  <c r="P25" i="51"/>
  <c r="Q38" i="51"/>
  <c r="K38" i="51"/>
  <c r="W38" i="51" s="1"/>
  <c r="X38" i="51" s="1"/>
  <c r="Q33" i="51"/>
  <c r="P32" i="51"/>
  <c r="L30" i="51"/>
  <c r="Y30" i="51" s="1"/>
  <c r="D30" i="51"/>
  <c r="H30" i="51" s="1"/>
  <c r="S30" i="51" s="1"/>
  <c r="N30" i="51"/>
  <c r="AE30" i="51"/>
  <c r="L26" i="51"/>
  <c r="Y26" i="51" s="1"/>
  <c r="AE26" i="51"/>
  <c r="D26" i="51"/>
  <c r="H26" i="51" s="1"/>
  <c r="P26" i="51" s="1"/>
  <c r="K26" i="51"/>
  <c r="R25" i="51"/>
  <c r="N24" i="51"/>
  <c r="P24" i="51"/>
  <c r="L22" i="51"/>
  <c r="Z22" i="51" s="1"/>
  <c r="AE22" i="51"/>
  <c r="D22" i="51"/>
  <c r="H22" i="51" s="1"/>
  <c r="P22" i="51" s="1"/>
  <c r="K22" i="51"/>
  <c r="R21" i="51"/>
  <c r="U38" i="51"/>
  <c r="P38" i="51"/>
  <c r="D38" i="51"/>
  <c r="H38" i="51" s="1"/>
  <c r="X33" i="51"/>
  <c r="P33" i="51"/>
  <c r="K32" i="51"/>
  <c r="L31" i="51"/>
  <c r="Y31" i="51" s="1"/>
  <c r="D31" i="51"/>
  <c r="H31" i="51" s="1"/>
  <c r="N31" i="51" s="1"/>
  <c r="AE31" i="51"/>
  <c r="R29" i="51"/>
  <c r="N28" i="51"/>
  <c r="P28" i="51"/>
  <c r="N27" i="51"/>
  <c r="N23" i="51"/>
  <c r="D19" i="51"/>
  <c r="H19" i="51" s="1"/>
  <c r="N19" i="51" s="1"/>
  <c r="L19" i="51"/>
  <c r="Y19" i="51" s="1"/>
  <c r="K19" i="51"/>
  <c r="W19" i="51" s="1"/>
  <c r="X19" i="51" s="1"/>
  <c r="AE19" i="51"/>
  <c r="L29" i="51"/>
  <c r="Q29" i="51"/>
  <c r="R28" i="51"/>
  <c r="K27" i="51"/>
  <c r="L25" i="51"/>
  <c r="Q25" i="51"/>
  <c r="AE25" i="51"/>
  <c r="R24" i="51"/>
  <c r="T23" i="51"/>
  <c r="K23" i="51"/>
  <c r="L21" i="51"/>
  <c r="Q21" i="51"/>
  <c r="U21" i="51"/>
  <c r="AE21" i="51"/>
  <c r="D20" i="51"/>
  <c r="H20" i="51" s="1"/>
  <c r="L20" i="51"/>
  <c r="AE20" i="51"/>
  <c r="L13" i="51"/>
  <c r="Y13" i="51" s="1"/>
  <c r="Q13" i="51"/>
  <c r="D13" i="51"/>
  <c r="H13" i="51" s="1"/>
  <c r="P13" i="51" s="1"/>
  <c r="R13" i="51"/>
  <c r="S13" i="51"/>
  <c r="K13" i="51"/>
  <c r="W13" i="51" s="1"/>
  <c r="X13" i="51" s="1"/>
  <c r="T13" i="51"/>
  <c r="L28" i="51"/>
  <c r="Y28" i="51" s="1"/>
  <c r="Q28" i="51"/>
  <c r="AE28" i="51"/>
  <c r="R27" i="51"/>
  <c r="L24" i="51"/>
  <c r="Q24" i="51"/>
  <c r="AE24" i="51"/>
  <c r="R23" i="51"/>
  <c r="AE9" i="51"/>
  <c r="L27" i="51"/>
  <c r="Y27" i="51" s="1"/>
  <c r="Q27" i="51"/>
  <c r="AE27" i="51"/>
  <c r="L23" i="51"/>
  <c r="Z23" i="51" s="1"/>
  <c r="Q23" i="51"/>
  <c r="S23" i="51"/>
  <c r="AE23" i="51"/>
  <c r="L9" i="51"/>
  <c r="Y9" i="51" s="1"/>
  <c r="D9" i="51"/>
  <c r="H9" i="51" s="1"/>
  <c r="R9" i="51" s="1"/>
  <c r="N9" i="51"/>
  <c r="K9" i="51"/>
  <c r="W9" i="51" s="1"/>
  <c r="X9" i="51" s="1"/>
  <c r="T9" i="51"/>
  <c r="X15" i="51"/>
  <c r="L12" i="51"/>
  <c r="Y12" i="51" s="1"/>
  <c r="Q12" i="51"/>
  <c r="D12" i="51"/>
  <c r="H12" i="51" s="1"/>
  <c r="N12" i="51" s="1"/>
  <c r="R12" i="51"/>
  <c r="L8" i="51"/>
  <c r="Y8" i="51" s="1"/>
  <c r="D8" i="51"/>
  <c r="H8" i="51" s="1"/>
  <c r="D18" i="51"/>
  <c r="H18" i="51" s="1"/>
  <c r="D16" i="51"/>
  <c r="H16" i="51" s="1"/>
  <c r="R16" i="51" s="1"/>
  <c r="L15" i="51"/>
  <c r="Y15" i="51" s="1"/>
  <c r="D15" i="51"/>
  <c r="H15" i="51" s="1"/>
  <c r="S15" i="51" s="1"/>
  <c r="R15" i="51"/>
  <c r="L11" i="51"/>
  <c r="Y11" i="51" s="1"/>
  <c r="D11" i="51"/>
  <c r="H11" i="51" s="1"/>
  <c r="S11" i="51" s="1"/>
  <c r="N11" i="51"/>
  <c r="L7" i="51"/>
  <c r="Y7" i="51" s="1"/>
  <c r="D7" i="51"/>
  <c r="H7" i="51" s="1"/>
  <c r="L18" i="51"/>
  <c r="Y18" i="51" s="1"/>
  <c r="L16" i="51"/>
  <c r="Y16" i="51" s="1"/>
  <c r="L14" i="51"/>
  <c r="Y14" i="51" s="1"/>
  <c r="D14" i="51"/>
  <c r="H14" i="51" s="1"/>
  <c r="N14" i="51" s="1"/>
  <c r="T12" i="51"/>
  <c r="K12" i="51"/>
  <c r="W12" i="51" s="1"/>
  <c r="X12" i="51" s="1"/>
  <c r="L10" i="51"/>
  <c r="Y10" i="51" s="1"/>
  <c r="Q10" i="51"/>
  <c r="D10" i="51"/>
  <c r="H10" i="51" s="1"/>
  <c r="N10" i="51" s="1"/>
  <c r="K8" i="51"/>
  <c r="L6" i="51"/>
  <c r="Y6" i="51" s="1"/>
  <c r="D6" i="51"/>
  <c r="H6" i="51" s="1"/>
  <c r="N6" i="51"/>
  <c r="AE5" i="51"/>
  <c r="D5" i="51"/>
  <c r="H5" i="51" s="1"/>
  <c r="S5" i="51" s="1"/>
  <c r="K5" i="51"/>
  <c r="W5" i="51" s="1"/>
  <c r="X5" i="51" s="1"/>
  <c r="L5" i="51"/>
  <c r="Y5" i="51" s="1"/>
  <c r="P29" i="50"/>
  <c r="L37" i="50"/>
  <c r="Y37" i="50" s="1"/>
  <c r="Q37" i="50"/>
  <c r="U37" i="50"/>
  <c r="O37" i="50"/>
  <c r="S37" i="50"/>
  <c r="AE37" i="50"/>
  <c r="D37" i="50"/>
  <c r="H37" i="50" s="1"/>
  <c r="N37" i="50"/>
  <c r="R37" i="50"/>
  <c r="L33" i="50"/>
  <c r="Y33" i="50" s="1"/>
  <c r="Q33" i="50"/>
  <c r="U33" i="50"/>
  <c r="AE33" i="50"/>
  <c r="D33" i="50"/>
  <c r="H33" i="50" s="1"/>
  <c r="N33" i="50"/>
  <c r="R33" i="50"/>
  <c r="O33" i="50"/>
  <c r="S33" i="50"/>
  <c r="L11" i="50"/>
  <c r="Y11" i="50" s="1"/>
  <c r="D11" i="50"/>
  <c r="H11" i="50" s="1"/>
  <c r="AE11" i="50"/>
  <c r="K11" i="50"/>
  <c r="W11" i="50" s="1"/>
  <c r="X11" i="50" s="1"/>
  <c r="L30" i="50"/>
  <c r="Y30" i="50" s="1"/>
  <c r="Q30" i="50"/>
  <c r="AE30" i="50"/>
  <c r="D30" i="50"/>
  <c r="H30" i="50" s="1"/>
  <c r="Z30" i="50"/>
  <c r="S30" i="50"/>
  <c r="N21" i="50"/>
  <c r="P21" i="50"/>
  <c r="L39" i="50"/>
  <c r="Y39" i="50" s="1"/>
  <c r="Q39" i="50"/>
  <c r="U39" i="50"/>
  <c r="O39" i="50"/>
  <c r="S39" i="50"/>
  <c r="D39" i="50"/>
  <c r="H39" i="50" s="1"/>
  <c r="N39" i="50"/>
  <c r="R39" i="50"/>
  <c r="AE39" i="50"/>
  <c r="P37" i="50"/>
  <c r="L35" i="50"/>
  <c r="Y35" i="50" s="1"/>
  <c r="Q35" i="50"/>
  <c r="U35" i="50"/>
  <c r="O35" i="50"/>
  <c r="S35" i="50"/>
  <c r="D35" i="50"/>
  <c r="H35" i="50" s="1"/>
  <c r="N35" i="50"/>
  <c r="R35" i="50"/>
  <c r="Z35" i="50"/>
  <c r="AE35" i="50"/>
  <c r="P33" i="50"/>
  <c r="L31" i="50"/>
  <c r="Y31" i="50" s="1"/>
  <c r="Q31" i="50"/>
  <c r="D31" i="50"/>
  <c r="H31" i="50" s="1"/>
  <c r="P31" i="50" s="1"/>
  <c r="N31" i="50"/>
  <c r="AE31" i="50"/>
  <c r="L27" i="50"/>
  <c r="Y27" i="50" s="1"/>
  <c r="Q27" i="50"/>
  <c r="AE27" i="50"/>
  <c r="D27" i="50"/>
  <c r="H27" i="50" s="1"/>
  <c r="P27" i="50" s="1"/>
  <c r="R27" i="50"/>
  <c r="T23" i="50"/>
  <c r="N23" i="50"/>
  <c r="S23" i="50"/>
  <c r="N9" i="50"/>
  <c r="S9" i="50"/>
  <c r="P9" i="50"/>
  <c r="L29" i="50"/>
  <c r="Y29" i="50" s="1"/>
  <c r="D29" i="50"/>
  <c r="H29" i="50" s="1"/>
  <c r="R29" i="50"/>
  <c r="AE29" i="50"/>
  <c r="L38" i="50"/>
  <c r="Y38" i="50" s="1"/>
  <c r="Q38" i="50"/>
  <c r="U38" i="50"/>
  <c r="O38" i="50"/>
  <c r="S38" i="50"/>
  <c r="AE38" i="50"/>
  <c r="D38" i="50"/>
  <c r="H38" i="50" s="1"/>
  <c r="N38" i="50"/>
  <c r="R38" i="50"/>
  <c r="T37" i="50"/>
  <c r="L34" i="50"/>
  <c r="Y34" i="50" s="1"/>
  <c r="Q34" i="50"/>
  <c r="U34" i="50"/>
  <c r="O34" i="50"/>
  <c r="AE34" i="50"/>
  <c r="D34" i="50"/>
  <c r="H34" i="50" s="1"/>
  <c r="N34" i="50"/>
  <c r="R34" i="50"/>
  <c r="S34" i="50"/>
  <c r="T33" i="50"/>
  <c r="X30" i="50"/>
  <c r="N18" i="50"/>
  <c r="S18" i="50"/>
  <c r="T18" i="50"/>
  <c r="P18" i="50"/>
  <c r="R18" i="50"/>
  <c r="T39" i="50"/>
  <c r="P38" i="50"/>
  <c r="K37" i="50"/>
  <c r="W37" i="50" s="1"/>
  <c r="X37" i="50" s="1"/>
  <c r="L36" i="50"/>
  <c r="Y36" i="50" s="1"/>
  <c r="Q36" i="50"/>
  <c r="U36" i="50"/>
  <c r="S36" i="50"/>
  <c r="AE36" i="50"/>
  <c r="D36" i="50"/>
  <c r="H36" i="50" s="1"/>
  <c r="N36" i="50"/>
  <c r="R36" i="50"/>
  <c r="Z36" i="50"/>
  <c r="O36" i="50"/>
  <c r="T35" i="50"/>
  <c r="P34" i="50"/>
  <c r="K33" i="50"/>
  <c r="W33" i="50" s="1"/>
  <c r="X33" i="50" s="1"/>
  <c r="L32" i="50"/>
  <c r="Y32" i="50" s="1"/>
  <c r="D32" i="50"/>
  <c r="H32" i="50" s="1"/>
  <c r="R32" i="50" s="1"/>
  <c r="AE32" i="50"/>
  <c r="K29" i="50"/>
  <c r="L28" i="50"/>
  <c r="Y28" i="50" s="1"/>
  <c r="Q28" i="50"/>
  <c r="D28" i="50"/>
  <c r="H28" i="50" s="1"/>
  <c r="AE28" i="50"/>
  <c r="L25" i="50"/>
  <c r="Y25" i="50" s="1"/>
  <c r="Q25" i="50"/>
  <c r="D25" i="50"/>
  <c r="H25" i="50" s="1"/>
  <c r="K25" i="50"/>
  <c r="R25" i="50"/>
  <c r="P25" i="50"/>
  <c r="AE25" i="50"/>
  <c r="L8" i="50"/>
  <c r="Y8" i="50" s="1"/>
  <c r="AE8" i="50"/>
  <c r="K8" i="50"/>
  <c r="R8" i="50"/>
  <c r="D8" i="50"/>
  <c r="H8" i="50" s="1"/>
  <c r="N8" i="50"/>
  <c r="L26" i="50"/>
  <c r="Y26" i="50" s="1"/>
  <c r="Q26" i="50"/>
  <c r="L20" i="50"/>
  <c r="Y20" i="50" s="1"/>
  <c r="Q20" i="50"/>
  <c r="P20" i="50"/>
  <c r="AE20" i="50"/>
  <c r="K20" i="50"/>
  <c r="R20" i="50"/>
  <c r="N17" i="50"/>
  <c r="S17" i="50"/>
  <c r="N14" i="50"/>
  <c r="S14" i="50"/>
  <c r="T14" i="50"/>
  <c r="L7" i="50"/>
  <c r="Y7" i="50" s="1"/>
  <c r="D7" i="50"/>
  <c r="H7" i="50" s="1"/>
  <c r="Q7" i="50" s="1"/>
  <c r="P7" i="50"/>
  <c r="AE7" i="50"/>
  <c r="R26" i="50"/>
  <c r="K26" i="50"/>
  <c r="L23" i="50"/>
  <c r="Z23" i="50" s="1"/>
  <c r="Q23" i="50"/>
  <c r="L19" i="50"/>
  <c r="Y19" i="50" s="1"/>
  <c r="D19" i="50"/>
  <c r="H19" i="50" s="1"/>
  <c r="T19" i="50" s="1"/>
  <c r="AE19" i="50"/>
  <c r="T17" i="50"/>
  <c r="L16" i="50"/>
  <c r="Y16" i="50" s="1"/>
  <c r="Q16" i="50"/>
  <c r="P16" i="50"/>
  <c r="AE16" i="50"/>
  <c r="K16" i="50"/>
  <c r="R16" i="50"/>
  <c r="R14" i="50"/>
  <c r="N13" i="50"/>
  <c r="S13" i="50"/>
  <c r="N10" i="50"/>
  <c r="S10" i="50"/>
  <c r="T10" i="50"/>
  <c r="R7" i="50"/>
  <c r="AE26" i="50"/>
  <c r="N26" i="50"/>
  <c r="S7" i="50"/>
  <c r="R6" i="50"/>
  <c r="P26" i="50"/>
  <c r="L24" i="50"/>
  <c r="Q24" i="50"/>
  <c r="R23" i="50"/>
  <c r="K23" i="50"/>
  <c r="N22" i="50"/>
  <c r="S22" i="50"/>
  <c r="T22" i="50"/>
  <c r="N20" i="50"/>
  <c r="P17" i="50"/>
  <c r="L15" i="50"/>
  <c r="Y15" i="50" s="1"/>
  <c r="D15" i="50"/>
  <c r="H15" i="50" s="1"/>
  <c r="P15" i="50"/>
  <c r="AE15" i="50"/>
  <c r="P14" i="50"/>
  <c r="T13" i="50"/>
  <c r="L12" i="50"/>
  <c r="Q12" i="50"/>
  <c r="P12" i="50"/>
  <c r="AE12" i="50"/>
  <c r="K12" i="50"/>
  <c r="W12" i="50" s="1"/>
  <c r="X12" i="50" s="1"/>
  <c r="R12" i="50"/>
  <c r="R10" i="50"/>
  <c r="X7" i="50"/>
  <c r="S6" i="50"/>
  <c r="L21" i="50"/>
  <c r="Q21" i="50"/>
  <c r="U21" i="50"/>
  <c r="L17" i="50"/>
  <c r="Q17" i="50"/>
  <c r="L13" i="50"/>
  <c r="Q13" i="50"/>
  <c r="L9" i="50"/>
  <c r="Q9" i="50"/>
  <c r="L22" i="50"/>
  <c r="Z22" i="50" s="1"/>
  <c r="Q22" i="50"/>
  <c r="R21" i="50"/>
  <c r="K21" i="50"/>
  <c r="L18" i="50"/>
  <c r="Q18" i="50"/>
  <c r="R17" i="50"/>
  <c r="K17" i="50"/>
  <c r="W17" i="50" s="1"/>
  <c r="X17" i="50" s="1"/>
  <c r="L14" i="50"/>
  <c r="Q14" i="50"/>
  <c r="R13" i="50"/>
  <c r="K13" i="50"/>
  <c r="W13" i="50" s="1"/>
  <c r="X13" i="50" s="1"/>
  <c r="L10" i="50"/>
  <c r="Q10" i="50"/>
  <c r="R9" i="50"/>
  <c r="K9" i="50"/>
  <c r="W9" i="50" s="1"/>
  <c r="X9" i="50" s="1"/>
  <c r="K6" i="50"/>
  <c r="W6" i="50" s="1"/>
  <c r="X6" i="50" s="1"/>
  <c r="P6" i="50"/>
  <c r="T6" i="50"/>
  <c r="L6" i="50"/>
  <c r="Q6" i="50"/>
  <c r="AE5" i="50"/>
  <c r="K5" i="50"/>
  <c r="W5" i="50" s="1"/>
  <c r="X5" i="50" s="1"/>
  <c r="R5" i="50"/>
  <c r="D5" i="50"/>
  <c r="H5" i="50" s="1"/>
  <c r="S5" i="50" s="1"/>
  <c r="Q5" i="50"/>
  <c r="L5" i="50"/>
  <c r="Y5" i="50" s="1"/>
  <c r="D28" i="48"/>
  <c r="H28" i="48" s="1"/>
  <c r="D36" i="48"/>
  <c r="H36" i="48" s="1"/>
  <c r="D35" i="48"/>
  <c r="H35" i="48" s="1"/>
  <c r="D34" i="48"/>
  <c r="H34" i="48" s="1"/>
  <c r="D33" i="48"/>
  <c r="H33" i="48" s="1"/>
  <c r="D32" i="48"/>
  <c r="H32" i="48" s="1"/>
  <c r="D31" i="48"/>
  <c r="H31" i="48" s="1"/>
  <c r="D30" i="48"/>
  <c r="H30" i="48" s="1"/>
  <c r="D29" i="48"/>
  <c r="H29" i="48" s="1"/>
  <c r="D27" i="48"/>
  <c r="H27" i="48" s="1"/>
  <c r="D38" i="48"/>
  <c r="H38" i="48" s="1"/>
  <c r="D26" i="48"/>
  <c r="H26" i="48" s="1"/>
  <c r="D17" i="48"/>
  <c r="H17" i="48" s="1"/>
  <c r="D9" i="48"/>
  <c r="H9" i="48" s="1"/>
  <c r="D13" i="48"/>
  <c r="H13" i="48" s="1"/>
  <c r="D20" i="48"/>
  <c r="H20" i="48" s="1"/>
  <c r="D16" i="48"/>
  <c r="H16" i="48" s="1"/>
  <c r="D12" i="48"/>
  <c r="H12" i="48" s="1"/>
  <c r="D8" i="48"/>
  <c r="H8" i="48" s="1"/>
  <c r="D19" i="48"/>
  <c r="H19" i="48" s="1"/>
  <c r="D15" i="48"/>
  <c r="H15" i="48" s="1"/>
  <c r="D11" i="48"/>
  <c r="H11" i="48" s="1"/>
  <c r="D7" i="48"/>
  <c r="H7" i="48" s="1"/>
  <c r="D18" i="48"/>
  <c r="H18" i="48" s="1"/>
  <c r="D14" i="48"/>
  <c r="H14" i="48" s="1"/>
  <c r="D10" i="48"/>
  <c r="H10" i="48" s="1"/>
  <c r="D6" i="48"/>
  <c r="H6" i="48" s="1"/>
  <c r="D5" i="48"/>
  <c r="H5" i="48" s="1"/>
  <c r="D29" i="47"/>
  <c r="H29" i="47" s="1"/>
  <c r="D25" i="47"/>
  <c r="H25" i="47" s="1"/>
  <c r="D21" i="47"/>
  <c r="H21" i="47" s="1"/>
  <c r="D20" i="47"/>
  <c r="H20" i="47" s="1"/>
  <c r="D17" i="47"/>
  <c r="H17" i="47" s="1"/>
  <c r="D9" i="47"/>
  <c r="H9" i="47" s="1"/>
  <c r="D16" i="47"/>
  <c r="H16" i="47" s="1"/>
  <c r="D13" i="47"/>
  <c r="H13" i="47" s="1"/>
  <c r="D12" i="47"/>
  <c r="H12" i="47" s="1"/>
  <c r="D8" i="47"/>
  <c r="H8" i="47" s="1"/>
  <c r="D19" i="47"/>
  <c r="H19" i="47" s="1"/>
  <c r="D15" i="47"/>
  <c r="H15" i="47" s="1"/>
  <c r="D11" i="47"/>
  <c r="H11" i="47" s="1"/>
  <c r="D7" i="47"/>
  <c r="H7" i="47" s="1"/>
  <c r="D18" i="47"/>
  <c r="H18" i="47" s="1"/>
  <c r="D14" i="47"/>
  <c r="H14" i="47" s="1"/>
  <c r="D10" i="47"/>
  <c r="H10" i="47" s="1"/>
  <c r="D6" i="47"/>
  <c r="H6" i="47" s="1"/>
  <c r="D5" i="47"/>
  <c r="H5" i="47" s="1"/>
  <c r="D32" i="44"/>
  <c r="H32" i="44" s="1"/>
  <c r="AE16" i="44"/>
  <c r="AE8" i="44"/>
  <c r="D26" i="44"/>
  <c r="H26" i="44" s="1"/>
  <c r="D28" i="44"/>
  <c r="H28" i="44" s="1"/>
  <c r="AE20" i="44"/>
  <c r="W12" i="44"/>
  <c r="X12" i="44" s="1"/>
  <c r="AE12" i="44"/>
  <c r="Y30" i="44"/>
  <c r="D30" i="44"/>
  <c r="H30" i="44" s="1"/>
  <c r="D22" i="44"/>
  <c r="H22" i="44" s="1"/>
  <c r="W11" i="44"/>
  <c r="X11" i="44" s="1"/>
  <c r="Z31" i="44"/>
  <c r="Y27" i="44"/>
  <c r="Z23" i="44"/>
  <c r="W19" i="44"/>
  <c r="X19" i="44" s="1"/>
  <c r="D33" i="44"/>
  <c r="H33" i="44" s="1"/>
  <c r="D31" i="44"/>
  <c r="H31" i="44" s="1"/>
  <c r="D39" i="46"/>
  <c r="H39" i="46" s="1"/>
  <c r="D37" i="46"/>
  <c r="H37" i="46" s="1"/>
  <c r="D26" i="46"/>
  <c r="H26" i="46" s="1"/>
  <c r="D24" i="46"/>
  <c r="H24" i="46" s="1"/>
  <c r="D22" i="46"/>
  <c r="H22" i="46" s="1"/>
  <c r="D35" i="46"/>
  <c r="H35" i="46" s="1"/>
  <c r="D33" i="46"/>
  <c r="H33" i="46" s="1"/>
  <c r="D29" i="46"/>
  <c r="H29" i="46" s="1"/>
  <c r="D38" i="46"/>
  <c r="H38" i="46" s="1"/>
  <c r="D34" i="46"/>
  <c r="H34" i="46" s="1"/>
  <c r="D30" i="46"/>
  <c r="H30" i="46" s="1"/>
  <c r="D31" i="46"/>
  <c r="H31" i="46" s="1"/>
  <c r="D27" i="46"/>
  <c r="H27" i="46" s="1"/>
  <c r="D25" i="46"/>
  <c r="H25" i="46" s="1"/>
  <c r="D23" i="46"/>
  <c r="H23" i="46" s="1"/>
  <c r="D21" i="46"/>
  <c r="H21" i="46" s="1"/>
  <c r="D20" i="46"/>
  <c r="H20" i="46" s="1"/>
  <c r="D9" i="46"/>
  <c r="H9" i="46" s="1"/>
  <c r="D36" i="46"/>
  <c r="H36" i="46" s="1"/>
  <c r="D32" i="46"/>
  <c r="H32" i="46" s="1"/>
  <c r="D28" i="46"/>
  <c r="H28" i="46" s="1"/>
  <c r="D17" i="46"/>
  <c r="H17" i="46" s="1"/>
  <c r="D11" i="46"/>
  <c r="H11" i="46" s="1"/>
  <c r="D15" i="46"/>
  <c r="H15" i="46" s="1"/>
  <c r="D12" i="46"/>
  <c r="H12" i="46" s="1"/>
  <c r="D8" i="46"/>
  <c r="H8" i="46" s="1"/>
  <c r="D19" i="46"/>
  <c r="H19" i="46" s="1"/>
  <c r="D16" i="46"/>
  <c r="H16" i="46" s="1"/>
  <c r="D13" i="46"/>
  <c r="H13" i="46" s="1"/>
  <c r="D7" i="46"/>
  <c r="H7" i="46" s="1"/>
  <c r="D18" i="46"/>
  <c r="H18" i="46" s="1"/>
  <c r="D14" i="46"/>
  <c r="H14" i="46" s="1"/>
  <c r="D10" i="46"/>
  <c r="H10" i="46" s="1"/>
  <c r="D6" i="46"/>
  <c r="H6" i="46" s="1"/>
  <c r="D5" i="46"/>
  <c r="H5" i="46" s="1"/>
  <c r="Y39" i="44"/>
  <c r="D39" i="44"/>
  <c r="H39" i="44" s="1"/>
  <c r="AE39" i="44"/>
  <c r="W39" i="44"/>
  <c r="X39" i="44" s="1"/>
  <c r="AE35" i="44"/>
  <c r="W35" i="44"/>
  <c r="X35" i="44" s="1"/>
  <c r="Y35" i="44"/>
  <c r="D35" i="44"/>
  <c r="H35" i="44" s="1"/>
  <c r="Y38" i="44"/>
  <c r="D38" i="44"/>
  <c r="H38" i="44" s="1"/>
  <c r="AE38" i="44"/>
  <c r="W38" i="44"/>
  <c r="X38" i="44" s="1"/>
  <c r="AE34" i="44"/>
  <c r="Y34" i="44"/>
  <c r="D34" i="44"/>
  <c r="H34" i="44" s="1"/>
  <c r="W34" i="44"/>
  <c r="X34" i="44" s="1"/>
  <c r="Y36" i="44"/>
  <c r="D36" i="44"/>
  <c r="H36" i="44" s="1"/>
  <c r="W36" i="44"/>
  <c r="X36" i="44" s="1"/>
  <c r="AE36" i="44"/>
  <c r="Y37" i="44"/>
  <c r="W37" i="44"/>
  <c r="X37" i="44" s="1"/>
  <c r="D37" i="44"/>
  <c r="H37" i="44" s="1"/>
  <c r="AE37" i="44"/>
  <c r="AE29" i="44"/>
  <c r="D29" i="44"/>
  <c r="H29" i="44" s="1"/>
  <c r="AE33" i="44"/>
  <c r="W33" i="44"/>
  <c r="X33" i="44" s="1"/>
  <c r="AE31" i="44"/>
  <c r="AE27" i="44"/>
  <c r="D27" i="44"/>
  <c r="H27" i="44" s="1"/>
  <c r="AE32" i="44"/>
  <c r="AE30" i="44"/>
  <c r="W30" i="44"/>
  <c r="X30" i="44" s="1"/>
  <c r="AE28" i="44"/>
  <c r="AE26" i="44"/>
  <c r="AE24" i="44"/>
  <c r="AE22" i="44"/>
  <c r="D21" i="44"/>
  <c r="H21" i="44" s="1"/>
  <c r="AE21" i="44"/>
  <c r="Y17" i="44"/>
  <c r="D17" i="44"/>
  <c r="H17" i="44" s="1"/>
  <c r="W17" i="44"/>
  <c r="X17" i="44" s="1"/>
  <c r="Y9" i="44"/>
  <c r="D9" i="44"/>
  <c r="H9" i="44" s="1"/>
  <c r="W9" i="44"/>
  <c r="X9" i="44" s="1"/>
  <c r="AE13" i="44"/>
  <c r="AE25" i="44"/>
  <c r="AE23" i="44"/>
  <c r="Z22" i="44"/>
  <c r="Y13" i="44"/>
  <c r="D13" i="44"/>
  <c r="H13" i="44" s="1"/>
  <c r="W13" i="44"/>
  <c r="X13" i="44" s="1"/>
  <c r="D20" i="44"/>
  <c r="H20" i="44" s="1"/>
  <c r="W18" i="44"/>
  <c r="X18" i="44" s="1"/>
  <c r="Y16" i="44"/>
  <c r="D16" i="44"/>
  <c r="H16" i="44" s="1"/>
  <c r="W14" i="44"/>
  <c r="X14" i="44" s="1"/>
  <c r="Y12" i="44"/>
  <c r="D12" i="44"/>
  <c r="H12" i="44" s="1"/>
  <c r="W10" i="44"/>
  <c r="X10" i="44" s="1"/>
  <c r="Y8" i="44"/>
  <c r="D8" i="44"/>
  <c r="H8" i="44" s="1"/>
  <c r="Y19" i="44"/>
  <c r="D19" i="44"/>
  <c r="H19" i="44" s="1"/>
  <c r="Y15" i="44"/>
  <c r="D15" i="44"/>
  <c r="H15" i="44" s="1"/>
  <c r="Y11" i="44"/>
  <c r="D11" i="44"/>
  <c r="H11" i="44" s="1"/>
  <c r="W7" i="44"/>
  <c r="X7" i="44" s="1"/>
  <c r="Y7" i="44"/>
  <c r="D7" i="44"/>
  <c r="H7" i="44" s="1"/>
  <c r="Y18" i="44"/>
  <c r="D18" i="44"/>
  <c r="H18" i="44" s="1"/>
  <c r="Y14" i="44"/>
  <c r="D14" i="44"/>
  <c r="H14" i="44" s="1"/>
  <c r="Y10" i="44"/>
  <c r="D10" i="44"/>
  <c r="H10" i="44" s="1"/>
  <c r="W6" i="44"/>
  <c r="X6" i="44" s="1"/>
  <c r="Y6" i="44"/>
  <c r="D6" i="44"/>
  <c r="H6" i="44" s="1"/>
  <c r="D5" i="44"/>
  <c r="H5" i="44" s="1"/>
  <c r="Y5" i="44"/>
  <c r="X5" i="44"/>
  <c r="AE16" i="43"/>
  <c r="K16" i="43"/>
  <c r="AE8" i="43"/>
  <c r="K8" i="43"/>
  <c r="T34" i="43"/>
  <c r="O34" i="43"/>
  <c r="AE34" i="43"/>
  <c r="K36" i="43"/>
  <c r="W36" i="43" s="1"/>
  <c r="X36" i="43" s="1"/>
  <c r="O36" i="43"/>
  <c r="AE36" i="43"/>
  <c r="T36" i="43"/>
  <c r="AE28" i="43"/>
  <c r="K28" i="43"/>
  <c r="AE20" i="43"/>
  <c r="K20" i="43"/>
  <c r="K12" i="43"/>
  <c r="W12" i="43" s="1"/>
  <c r="X12" i="43" s="1"/>
  <c r="AE12" i="43"/>
  <c r="K32" i="43"/>
  <c r="AE32" i="43"/>
  <c r="K24" i="43"/>
  <c r="AE24" i="43"/>
  <c r="O38" i="43"/>
  <c r="AE38" i="43"/>
  <c r="T38" i="43"/>
  <c r="AE6" i="43"/>
  <c r="K6" i="43"/>
  <c r="W6" i="43" s="1"/>
  <c r="X6" i="43" s="1"/>
  <c r="K27" i="43"/>
  <c r="K15" i="43"/>
  <c r="W15" i="43" s="1"/>
  <c r="X15" i="43" s="1"/>
  <c r="K7" i="43"/>
  <c r="W7" i="43" s="1"/>
  <c r="X7" i="43" s="1"/>
  <c r="D39" i="43"/>
  <c r="H39" i="43" s="1"/>
  <c r="N39" i="43"/>
  <c r="R39" i="43"/>
  <c r="L39" i="43"/>
  <c r="Y39" i="43" s="1"/>
  <c r="S39" i="43"/>
  <c r="K39" i="43"/>
  <c r="W39" i="43" s="1"/>
  <c r="X39" i="43" s="1"/>
  <c r="O39" i="43"/>
  <c r="T39" i="43"/>
  <c r="AE39" i="43"/>
  <c r="U39" i="43"/>
  <c r="P39" i="43"/>
  <c r="Q39" i="43"/>
  <c r="D35" i="43"/>
  <c r="H35" i="43" s="1"/>
  <c r="N35" i="43"/>
  <c r="R35" i="43"/>
  <c r="L35" i="43"/>
  <c r="Y35" i="43" s="1"/>
  <c r="S35" i="43"/>
  <c r="K35" i="43"/>
  <c r="W35" i="43" s="1"/>
  <c r="X35" i="43" s="1"/>
  <c r="Q35" i="43"/>
  <c r="O35" i="43"/>
  <c r="T35" i="43"/>
  <c r="AE35" i="43"/>
  <c r="U35" i="43"/>
  <c r="P35" i="43"/>
  <c r="D37" i="43"/>
  <c r="H37" i="43" s="1"/>
  <c r="N37" i="43"/>
  <c r="R37" i="43"/>
  <c r="L37" i="43"/>
  <c r="Y37" i="43" s="1"/>
  <c r="S37" i="43"/>
  <c r="O37" i="43"/>
  <c r="T37" i="43"/>
  <c r="AE37" i="43"/>
  <c r="P37" i="43"/>
  <c r="Q37" i="43"/>
  <c r="U37" i="43"/>
  <c r="K37" i="43"/>
  <c r="W37" i="43" s="1"/>
  <c r="X37" i="43" s="1"/>
  <c r="D33" i="43"/>
  <c r="H33" i="43" s="1"/>
  <c r="N33" i="43"/>
  <c r="R33" i="43"/>
  <c r="L33" i="43"/>
  <c r="Y33" i="43" s="1"/>
  <c r="S33" i="43"/>
  <c r="K33" i="43"/>
  <c r="W33" i="43" s="1"/>
  <c r="X33" i="43" s="1"/>
  <c r="O33" i="43"/>
  <c r="T33" i="43"/>
  <c r="AE33" i="43"/>
  <c r="P33" i="43"/>
  <c r="U33" i="43"/>
  <c r="Q33" i="43"/>
  <c r="D31" i="43"/>
  <c r="H31" i="43" s="1"/>
  <c r="N31" i="43" s="1"/>
  <c r="L31" i="43"/>
  <c r="Y31" i="43" s="1"/>
  <c r="K31" i="43"/>
  <c r="AE31" i="43"/>
  <c r="D34" i="43"/>
  <c r="H34" i="43" s="1"/>
  <c r="N34" i="43"/>
  <c r="R34" i="43"/>
  <c r="AE26" i="43"/>
  <c r="L17" i="43"/>
  <c r="Y17" i="43" s="1"/>
  <c r="D17" i="43"/>
  <c r="H17" i="43" s="1"/>
  <c r="K17" i="43"/>
  <c r="W17" i="43" s="1"/>
  <c r="X17" i="43" s="1"/>
  <c r="S36" i="43"/>
  <c r="L36" i="43"/>
  <c r="Y36" i="43" s="1"/>
  <c r="S34" i="43"/>
  <c r="L34" i="43"/>
  <c r="Y34" i="43" s="1"/>
  <c r="AE29" i="43"/>
  <c r="L25" i="43"/>
  <c r="Y25" i="43" s="1"/>
  <c r="D25" i="43"/>
  <c r="H25" i="43" s="1"/>
  <c r="N25" i="43" s="1"/>
  <c r="K21" i="43"/>
  <c r="L21" i="43"/>
  <c r="D21" i="43"/>
  <c r="H21" i="43" s="1"/>
  <c r="N21" i="43" s="1"/>
  <c r="D38" i="43"/>
  <c r="H38" i="43" s="1"/>
  <c r="N38" i="43"/>
  <c r="R38" i="43"/>
  <c r="L30" i="43"/>
  <c r="Y30" i="43" s="1"/>
  <c r="D30" i="43"/>
  <c r="H30" i="43" s="1"/>
  <c r="P30" i="43" s="1"/>
  <c r="K22" i="43"/>
  <c r="L22" i="43"/>
  <c r="Z22" i="43" s="1"/>
  <c r="D22" i="43"/>
  <c r="H22" i="43" s="1"/>
  <c r="S22" i="43" s="1"/>
  <c r="S38" i="43"/>
  <c r="L38" i="43"/>
  <c r="Y38" i="43" s="1"/>
  <c r="L32" i="43"/>
  <c r="L29" i="43"/>
  <c r="Y29" i="43" s="1"/>
  <c r="D29" i="43"/>
  <c r="H29" i="43" s="1"/>
  <c r="Q38" i="43"/>
  <c r="K38" i="43"/>
  <c r="W38" i="43" s="1"/>
  <c r="X38" i="43" s="1"/>
  <c r="Q36" i="43"/>
  <c r="Q34" i="43"/>
  <c r="K34" i="43"/>
  <c r="W34" i="43" s="1"/>
  <c r="X34" i="43" s="1"/>
  <c r="K30" i="43"/>
  <c r="W30" i="43" s="1"/>
  <c r="X30" i="43" s="1"/>
  <c r="L28" i="43"/>
  <c r="Y28" i="43" s="1"/>
  <c r="D28" i="43"/>
  <c r="H28" i="43" s="1"/>
  <c r="L24" i="43"/>
  <c r="D24" i="43"/>
  <c r="H24" i="43" s="1"/>
  <c r="N24" i="43" s="1"/>
  <c r="D36" i="43"/>
  <c r="H36" i="43" s="1"/>
  <c r="N36" i="43"/>
  <c r="R36" i="43"/>
  <c r="D32" i="43"/>
  <c r="H32" i="43" s="1"/>
  <c r="R32" i="43" s="1"/>
  <c r="AE30" i="43"/>
  <c r="L26" i="43"/>
  <c r="Y26" i="43" s="1"/>
  <c r="D26" i="43"/>
  <c r="H26" i="43" s="1"/>
  <c r="U38" i="43"/>
  <c r="P38" i="43"/>
  <c r="U36" i="43"/>
  <c r="P36" i="43"/>
  <c r="U34" i="43"/>
  <c r="P34" i="43"/>
  <c r="K29" i="43"/>
  <c r="L27" i="43"/>
  <c r="Y27" i="43" s="1"/>
  <c r="D27" i="43"/>
  <c r="H27" i="43" s="1"/>
  <c r="K25" i="43"/>
  <c r="K23" i="43"/>
  <c r="L23" i="43"/>
  <c r="Z23" i="43" s="1"/>
  <c r="D23" i="43"/>
  <c r="H23" i="43" s="1"/>
  <c r="N23" i="43" s="1"/>
  <c r="AE17" i="43"/>
  <c r="L13" i="43"/>
  <c r="Y13" i="43" s="1"/>
  <c r="D13" i="43"/>
  <c r="H13" i="43" s="1"/>
  <c r="P13" i="43" s="1"/>
  <c r="L9" i="43"/>
  <c r="Y9" i="43" s="1"/>
  <c r="D9" i="43"/>
  <c r="H9" i="43" s="1"/>
  <c r="P9" i="43" s="1"/>
  <c r="L20" i="43"/>
  <c r="Q20" i="43"/>
  <c r="D20" i="43"/>
  <c r="H20" i="43" s="1"/>
  <c r="K18" i="43"/>
  <c r="W18" i="43" s="1"/>
  <c r="X18" i="43" s="1"/>
  <c r="L16" i="43"/>
  <c r="Y16" i="43" s="1"/>
  <c r="D16" i="43"/>
  <c r="H16" i="43" s="1"/>
  <c r="K14" i="43"/>
  <c r="W14" i="43" s="1"/>
  <c r="X14" i="43" s="1"/>
  <c r="L12" i="43"/>
  <c r="Y12" i="43" s="1"/>
  <c r="D12" i="43"/>
  <c r="H12" i="43" s="1"/>
  <c r="N12" i="43" s="1"/>
  <c r="K10" i="43"/>
  <c r="W10" i="43" s="1"/>
  <c r="X10" i="43" s="1"/>
  <c r="L8" i="43"/>
  <c r="Y8" i="43" s="1"/>
  <c r="D8" i="43"/>
  <c r="H8" i="43" s="1"/>
  <c r="L19" i="43"/>
  <c r="Y19" i="43" s="1"/>
  <c r="D19" i="43"/>
  <c r="H19" i="43" s="1"/>
  <c r="L15" i="43"/>
  <c r="Y15" i="43" s="1"/>
  <c r="D15" i="43"/>
  <c r="H15" i="43" s="1"/>
  <c r="S15" i="43" s="1"/>
  <c r="K13" i="43"/>
  <c r="W13" i="43" s="1"/>
  <c r="X13" i="43" s="1"/>
  <c r="L11" i="43"/>
  <c r="Y11" i="43" s="1"/>
  <c r="D11" i="43"/>
  <c r="H11" i="43" s="1"/>
  <c r="Q11" i="43" s="1"/>
  <c r="T9" i="43"/>
  <c r="K9" i="43"/>
  <c r="W9" i="43" s="1"/>
  <c r="X9" i="43" s="1"/>
  <c r="L7" i="43"/>
  <c r="Y7" i="43" s="1"/>
  <c r="D7" i="43"/>
  <c r="H7" i="43" s="1"/>
  <c r="S7" i="43" s="1"/>
  <c r="L18" i="43"/>
  <c r="Y18" i="43" s="1"/>
  <c r="D18" i="43"/>
  <c r="H18" i="43" s="1"/>
  <c r="S18" i="43" s="1"/>
  <c r="L14" i="43"/>
  <c r="Y14" i="43" s="1"/>
  <c r="D14" i="43"/>
  <c r="H14" i="43" s="1"/>
  <c r="S14" i="43" s="1"/>
  <c r="L10" i="43"/>
  <c r="Y10" i="43" s="1"/>
  <c r="D10" i="43"/>
  <c r="H10" i="43" s="1"/>
  <c r="S10" i="43" s="1"/>
  <c r="L6" i="43"/>
  <c r="Y6" i="43" s="1"/>
  <c r="D6" i="43"/>
  <c r="H6" i="43" s="1"/>
  <c r="R6" i="43" s="1"/>
  <c r="AE5" i="43"/>
  <c r="D5" i="43"/>
  <c r="H5" i="43" s="1"/>
  <c r="P5" i="43" s="1"/>
  <c r="L5" i="43"/>
  <c r="Y5" i="43" s="1"/>
  <c r="K5" i="43"/>
  <c r="W5" i="43" s="1"/>
  <c r="X5" i="43" s="1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Q31" i="46" l="1"/>
  <c r="O31" i="46"/>
  <c r="P31" i="46"/>
  <c r="N31" i="46"/>
  <c r="R31" i="46"/>
  <c r="R5" i="48"/>
  <c r="Q5" i="48"/>
  <c r="O5" i="48"/>
  <c r="P5" i="48"/>
  <c r="N5" i="48"/>
  <c r="N15" i="48"/>
  <c r="P15" i="48"/>
  <c r="Q15" i="48"/>
  <c r="O15" i="48"/>
  <c r="R15" i="48"/>
  <c r="R10" i="48"/>
  <c r="P10" i="48"/>
  <c r="N10" i="48"/>
  <c r="Q10" i="48"/>
  <c r="O10" i="48"/>
  <c r="P20" i="48"/>
  <c r="O20" i="48"/>
  <c r="R20" i="48"/>
  <c r="Q20" i="48"/>
  <c r="N20" i="48"/>
  <c r="P17" i="48"/>
  <c r="N17" i="48"/>
  <c r="O17" i="48"/>
  <c r="R17" i="48"/>
  <c r="Q17" i="48"/>
  <c r="P29" i="48"/>
  <c r="Q29" i="48"/>
  <c r="R29" i="48"/>
  <c r="N29" i="48"/>
  <c r="O29" i="48"/>
  <c r="R25" i="48"/>
  <c r="P25" i="48"/>
  <c r="Q25" i="48"/>
  <c r="N25" i="48"/>
  <c r="O25" i="48"/>
  <c r="N21" i="48"/>
  <c r="Q21" i="48"/>
  <c r="O21" i="48"/>
  <c r="P21" i="48"/>
  <c r="R21" i="48"/>
  <c r="R6" i="48"/>
  <c r="N6" i="48"/>
  <c r="O6" i="48"/>
  <c r="Q6" i="48"/>
  <c r="P6" i="48"/>
  <c r="O11" i="48"/>
  <c r="N11" i="48"/>
  <c r="Q11" i="48"/>
  <c r="R11" i="48"/>
  <c r="P11" i="48"/>
  <c r="N19" i="48"/>
  <c r="P19" i="48"/>
  <c r="O19" i="48"/>
  <c r="R19" i="48"/>
  <c r="Q19" i="48"/>
  <c r="Q16" i="48"/>
  <c r="R16" i="48"/>
  <c r="N16" i="48"/>
  <c r="O16" i="48"/>
  <c r="P16" i="48"/>
  <c r="N9" i="48"/>
  <c r="Q9" i="48"/>
  <c r="P9" i="48"/>
  <c r="O9" i="48"/>
  <c r="R9" i="48"/>
  <c r="O31" i="48"/>
  <c r="Q31" i="48"/>
  <c r="R31" i="48"/>
  <c r="N31" i="48"/>
  <c r="P31" i="48"/>
  <c r="N8" i="48"/>
  <c r="Q8" i="48"/>
  <c r="R8" i="48"/>
  <c r="P8" i="48"/>
  <c r="O8" i="48"/>
  <c r="O23" i="48"/>
  <c r="R23" i="48"/>
  <c r="Q23" i="48"/>
  <c r="N23" i="48"/>
  <c r="P23" i="48"/>
  <c r="R18" i="48"/>
  <c r="N18" i="48"/>
  <c r="Q18" i="48"/>
  <c r="O18" i="48"/>
  <c r="P18" i="48"/>
  <c r="O26" i="48"/>
  <c r="N26" i="48"/>
  <c r="P26" i="48"/>
  <c r="R26" i="48"/>
  <c r="Q26" i="48"/>
  <c r="Q30" i="48"/>
  <c r="P30" i="48"/>
  <c r="R30" i="48"/>
  <c r="O30" i="48"/>
  <c r="N30" i="48"/>
  <c r="Q14" i="48"/>
  <c r="P14" i="48"/>
  <c r="O14" i="48"/>
  <c r="N14" i="48"/>
  <c r="R14" i="48"/>
  <c r="R7" i="48"/>
  <c r="Q7" i="48"/>
  <c r="P7" i="48"/>
  <c r="O7" i="48"/>
  <c r="N7" i="48"/>
  <c r="R12" i="48"/>
  <c r="N12" i="48"/>
  <c r="O12" i="48"/>
  <c r="Q12" i="48"/>
  <c r="P12" i="48"/>
  <c r="Q13" i="48"/>
  <c r="R13" i="48"/>
  <c r="P13" i="48"/>
  <c r="N13" i="48"/>
  <c r="O13" i="48"/>
  <c r="O27" i="48"/>
  <c r="Q27" i="48"/>
  <c r="N27" i="48"/>
  <c r="R27" i="48"/>
  <c r="P27" i="48"/>
  <c r="R32" i="48"/>
  <c r="N32" i="48"/>
  <c r="O32" i="48"/>
  <c r="Q32" i="48"/>
  <c r="P32" i="48"/>
  <c r="R28" i="48"/>
  <c r="O28" i="48"/>
  <c r="Q28" i="48"/>
  <c r="P28" i="48"/>
  <c r="N28" i="48"/>
  <c r="P26" i="46"/>
  <c r="Q26" i="46"/>
  <c r="N26" i="46"/>
  <c r="R26" i="46"/>
  <c r="O26" i="46"/>
  <c r="P12" i="46"/>
  <c r="O12" i="46"/>
  <c r="Q12" i="46"/>
  <c r="N12" i="46"/>
  <c r="R12" i="46"/>
  <c r="Q9" i="47"/>
  <c r="N9" i="47"/>
  <c r="O9" i="47"/>
  <c r="R9" i="47"/>
  <c r="P9" i="47"/>
  <c r="O18" i="47"/>
  <c r="N18" i="47"/>
  <c r="P18" i="47"/>
  <c r="R18" i="47"/>
  <c r="Q18" i="47"/>
  <c r="P11" i="47"/>
  <c r="Q11" i="47"/>
  <c r="O11" i="47"/>
  <c r="R11" i="47"/>
  <c r="N11" i="47"/>
  <c r="Q19" i="47"/>
  <c r="O19" i="47"/>
  <c r="R19" i="47"/>
  <c r="N19" i="47"/>
  <c r="P19" i="47"/>
  <c r="R12" i="47"/>
  <c r="P12" i="47"/>
  <c r="N12" i="47"/>
  <c r="Q12" i="47"/>
  <c r="O12" i="47"/>
  <c r="N20" i="47"/>
  <c r="Q20" i="47"/>
  <c r="R20" i="47"/>
  <c r="O20" i="47"/>
  <c r="P20" i="47"/>
  <c r="Q14" i="47"/>
  <c r="R14" i="47"/>
  <c r="N14" i="47"/>
  <c r="O14" i="47"/>
  <c r="P14" i="47"/>
  <c r="P7" i="47"/>
  <c r="Q7" i="47"/>
  <c r="O7" i="47"/>
  <c r="N7" i="47"/>
  <c r="R7" i="47"/>
  <c r="P15" i="47"/>
  <c r="Q15" i="47"/>
  <c r="N15" i="47"/>
  <c r="O15" i="47"/>
  <c r="R15" i="47"/>
  <c r="Q8" i="47"/>
  <c r="O8" i="47"/>
  <c r="P8" i="47"/>
  <c r="R8" i="47"/>
  <c r="N8" i="47"/>
  <c r="R16" i="47"/>
  <c r="N16" i="47"/>
  <c r="O16" i="47"/>
  <c r="P16" i="47"/>
  <c r="Q16" i="47"/>
  <c r="O25" i="47"/>
  <c r="R25" i="47"/>
  <c r="N25" i="47"/>
  <c r="Q25" i="47"/>
  <c r="P25" i="47"/>
  <c r="R32" i="47"/>
  <c r="O32" i="47"/>
  <c r="N32" i="47"/>
  <c r="P32" i="47"/>
  <c r="Q32" i="47"/>
  <c r="Q5" i="47"/>
  <c r="O5" i="47"/>
  <c r="N5" i="47"/>
  <c r="P5" i="47"/>
  <c r="R5" i="47"/>
  <c r="Q10" i="47"/>
  <c r="O10" i="47"/>
  <c r="N10" i="47"/>
  <c r="R10" i="47"/>
  <c r="P10" i="47"/>
  <c r="N13" i="47"/>
  <c r="P13" i="47"/>
  <c r="O13" i="47"/>
  <c r="Q13" i="47"/>
  <c r="R13" i="47"/>
  <c r="P6" i="47"/>
  <c r="N6" i="47"/>
  <c r="O6" i="47"/>
  <c r="Q6" i="47"/>
  <c r="R6" i="47"/>
  <c r="N17" i="47"/>
  <c r="O17" i="47"/>
  <c r="P17" i="47"/>
  <c r="R17" i="47"/>
  <c r="Q17" i="47"/>
  <c r="N21" i="47"/>
  <c r="Q21" i="47"/>
  <c r="O21" i="47"/>
  <c r="R21" i="47"/>
  <c r="P21" i="47"/>
  <c r="O29" i="47"/>
  <c r="Q29" i="47"/>
  <c r="P29" i="47"/>
  <c r="N29" i="47"/>
  <c r="R29" i="47"/>
  <c r="P27" i="47"/>
  <c r="N27" i="47"/>
  <c r="O27" i="47"/>
  <c r="R27" i="47"/>
  <c r="Q27" i="47"/>
  <c r="Q11" i="44"/>
  <c r="P11" i="44"/>
  <c r="R11" i="44"/>
  <c r="N11" i="44"/>
  <c r="O11" i="44"/>
  <c r="T11" i="44"/>
  <c r="U11" i="44"/>
  <c r="S11" i="44"/>
  <c r="O9" i="44"/>
  <c r="R9" i="44"/>
  <c r="N9" i="44"/>
  <c r="P9" i="44"/>
  <c r="Q9" i="44"/>
  <c r="S9" i="44"/>
  <c r="U9" i="44"/>
  <c r="T9" i="44"/>
  <c r="O14" i="44"/>
  <c r="N14" i="44"/>
  <c r="P14" i="44"/>
  <c r="R14" i="44"/>
  <c r="Q14" i="44"/>
  <c r="S14" i="44"/>
  <c r="T14" i="44"/>
  <c r="U14" i="44"/>
  <c r="Q25" i="44"/>
  <c r="P25" i="44"/>
  <c r="N25" i="44"/>
  <c r="O25" i="44"/>
  <c r="R25" i="44"/>
  <c r="U25" i="44"/>
  <c r="T25" i="44"/>
  <c r="S25" i="44"/>
  <c r="P15" i="44"/>
  <c r="O15" i="44"/>
  <c r="N15" i="44"/>
  <c r="Q15" i="44"/>
  <c r="R15" i="44"/>
  <c r="U15" i="44"/>
  <c r="S15" i="44"/>
  <c r="T15" i="44"/>
  <c r="O8" i="44"/>
  <c r="Q8" i="44"/>
  <c r="P8" i="44"/>
  <c r="R8" i="44"/>
  <c r="N8" i="44"/>
  <c r="T8" i="44"/>
  <c r="U8" i="44"/>
  <c r="S8" i="44"/>
  <c r="N21" i="44"/>
  <c r="P21" i="44"/>
  <c r="O21" i="44"/>
  <c r="R21" i="44"/>
  <c r="Q21" i="44"/>
  <c r="U21" i="44"/>
  <c r="S21" i="44"/>
  <c r="T21" i="44"/>
  <c r="P27" i="44"/>
  <c r="O27" i="44"/>
  <c r="N27" i="44"/>
  <c r="R27" i="44"/>
  <c r="Q27" i="44"/>
  <c r="U27" i="44"/>
  <c r="S27" i="44"/>
  <c r="T27" i="44"/>
  <c r="P31" i="44"/>
  <c r="O31" i="44"/>
  <c r="R31" i="44"/>
  <c r="Q31" i="44"/>
  <c r="N31" i="44"/>
  <c r="S31" i="44"/>
  <c r="U31" i="44"/>
  <c r="T31" i="44"/>
  <c r="Q30" i="44"/>
  <c r="O30" i="44"/>
  <c r="N30" i="44"/>
  <c r="P30" i="44"/>
  <c r="R30" i="44"/>
  <c r="T30" i="44"/>
  <c r="S30" i="44"/>
  <c r="U30" i="44"/>
  <c r="N6" i="44"/>
  <c r="Q6" i="44"/>
  <c r="O6" i="44"/>
  <c r="P6" i="44"/>
  <c r="R6" i="44"/>
  <c r="S6" i="44"/>
  <c r="T6" i="44"/>
  <c r="U6" i="44"/>
  <c r="N19" i="44"/>
  <c r="Q19" i="44"/>
  <c r="R19" i="44"/>
  <c r="P19" i="44"/>
  <c r="O19" i="44"/>
  <c r="U19" i="44"/>
  <c r="S19" i="44"/>
  <c r="T19" i="44"/>
  <c r="O16" i="44"/>
  <c r="N16" i="44"/>
  <c r="R16" i="44"/>
  <c r="Q16" i="44"/>
  <c r="P16" i="44"/>
  <c r="T16" i="44"/>
  <c r="U16" i="44"/>
  <c r="S16" i="44"/>
  <c r="Q26" i="44"/>
  <c r="O26" i="44"/>
  <c r="R26" i="44"/>
  <c r="N26" i="44"/>
  <c r="P26" i="44"/>
  <c r="U26" i="44"/>
  <c r="S26" i="44"/>
  <c r="T26" i="44"/>
  <c r="Q7" i="44"/>
  <c r="P7" i="44"/>
  <c r="R7" i="44"/>
  <c r="N7" i="44"/>
  <c r="O7" i="44"/>
  <c r="T7" i="44"/>
  <c r="S7" i="44"/>
  <c r="U7" i="44"/>
  <c r="O12" i="44"/>
  <c r="P12" i="44"/>
  <c r="R12" i="44"/>
  <c r="Q12" i="44"/>
  <c r="N12" i="44"/>
  <c r="U12" i="44"/>
  <c r="S12" i="44"/>
  <c r="T12" i="44"/>
  <c r="N13" i="44"/>
  <c r="R13" i="44"/>
  <c r="Q13" i="44"/>
  <c r="P13" i="44"/>
  <c r="O13" i="44"/>
  <c r="S13" i="44"/>
  <c r="U13" i="44"/>
  <c r="T13" i="44"/>
  <c r="O22" i="44"/>
  <c r="Q22" i="44"/>
  <c r="P22" i="44"/>
  <c r="R22" i="44"/>
  <c r="N22" i="44"/>
  <c r="U22" i="44"/>
  <c r="T22" i="44"/>
  <c r="S22" i="44"/>
  <c r="Q5" i="44"/>
  <c r="T5" i="44"/>
  <c r="O5" i="44"/>
  <c r="N5" i="44"/>
  <c r="P5" i="44"/>
  <c r="R5" i="44"/>
  <c r="S5" i="44"/>
  <c r="U5" i="44"/>
  <c r="Q10" i="44"/>
  <c r="P10" i="44"/>
  <c r="R10" i="44"/>
  <c r="O10" i="44"/>
  <c r="N10" i="44"/>
  <c r="S10" i="44"/>
  <c r="U10" i="44"/>
  <c r="T10" i="44"/>
  <c r="Q18" i="44"/>
  <c r="N18" i="44"/>
  <c r="P18" i="44"/>
  <c r="O18" i="44"/>
  <c r="R18" i="44"/>
  <c r="T18" i="44"/>
  <c r="S18" i="44"/>
  <c r="U18" i="44"/>
  <c r="O20" i="44"/>
  <c r="N20" i="44"/>
  <c r="Q20" i="44"/>
  <c r="P20" i="44"/>
  <c r="R20" i="44"/>
  <c r="U20" i="44"/>
  <c r="T20" i="44"/>
  <c r="S20" i="44"/>
  <c r="O17" i="44"/>
  <c r="R17" i="44"/>
  <c r="Q17" i="44"/>
  <c r="P17" i="44"/>
  <c r="N17" i="44"/>
  <c r="T17" i="44"/>
  <c r="U17" i="44"/>
  <c r="S17" i="44"/>
  <c r="P29" i="44"/>
  <c r="R29" i="44"/>
  <c r="N29" i="44"/>
  <c r="Q29" i="44"/>
  <c r="O29" i="44"/>
  <c r="U29" i="44"/>
  <c r="T29" i="44"/>
  <c r="S29" i="44"/>
  <c r="O28" i="44"/>
  <c r="R28" i="44"/>
  <c r="N28" i="44"/>
  <c r="Q28" i="44"/>
  <c r="P28" i="44"/>
  <c r="U28" i="44"/>
  <c r="S28" i="44"/>
  <c r="T28" i="44"/>
  <c r="O32" i="44"/>
  <c r="S32" i="44"/>
  <c r="Q32" i="44"/>
  <c r="T32" i="44"/>
  <c r="U32" i="44"/>
  <c r="P32" i="44"/>
  <c r="R32" i="44"/>
  <c r="N32" i="44"/>
  <c r="P32" i="43"/>
  <c r="R25" i="43"/>
  <c r="N10" i="43"/>
  <c r="R24" i="43"/>
  <c r="Q7" i="43"/>
  <c r="Q24" i="43"/>
  <c r="S9" i="43"/>
  <c r="R7" i="43"/>
  <c r="Y26" i="54"/>
  <c r="Z25" i="44"/>
  <c r="Z39" i="50"/>
  <c r="Y14" i="53"/>
  <c r="Z5" i="55"/>
  <c r="Z33" i="44"/>
  <c r="Z33" i="51"/>
  <c r="Z38" i="51"/>
  <c r="Z12" i="51"/>
  <c r="Z36" i="44"/>
  <c r="Z39" i="51"/>
  <c r="Z27" i="44"/>
  <c r="Z34" i="50"/>
  <c r="Z11" i="43"/>
  <c r="Z39" i="53"/>
  <c r="V38" i="55"/>
  <c r="AA38" i="55" s="1"/>
  <c r="Z13" i="51"/>
  <c r="Z11" i="44"/>
  <c r="Z27" i="50"/>
  <c r="Z35" i="51"/>
  <c r="V36" i="53"/>
  <c r="AA36" i="53" s="1"/>
  <c r="AD36" i="53" s="1"/>
  <c r="Z9" i="53"/>
  <c r="Z32" i="51"/>
  <c r="Z39" i="52"/>
  <c r="Y20" i="53"/>
  <c r="Y12" i="53"/>
  <c r="Y26" i="53"/>
  <c r="V34" i="54"/>
  <c r="AA34" i="54" s="1"/>
  <c r="V34" i="53"/>
  <c r="AA34" i="53" s="1"/>
  <c r="Y16" i="53"/>
  <c r="Z37" i="51"/>
  <c r="Z13" i="43"/>
  <c r="Z30" i="43"/>
  <c r="Y5" i="53"/>
  <c r="Z5" i="54"/>
  <c r="Z30" i="44"/>
  <c r="Z28" i="54"/>
  <c r="Z32" i="54"/>
  <c r="Z31" i="53"/>
  <c r="Z30" i="54"/>
  <c r="Z7" i="53"/>
  <c r="Z36" i="55"/>
  <c r="Z31" i="55"/>
  <c r="Z28" i="55"/>
  <c r="Z35" i="55"/>
  <c r="Z7" i="55"/>
  <c r="Z34" i="54"/>
  <c r="V35" i="54"/>
  <c r="AA35" i="54" s="1"/>
  <c r="V38" i="54"/>
  <c r="AA38" i="54" s="1"/>
  <c r="Y8" i="54"/>
  <c r="Y10" i="54"/>
  <c r="Y16" i="54"/>
  <c r="Z19" i="54"/>
  <c r="Z34" i="53"/>
  <c r="V37" i="53"/>
  <c r="AA37" i="53" s="1"/>
  <c r="Y10" i="53"/>
  <c r="Z32" i="53"/>
  <c r="Z37" i="53"/>
  <c r="Z17" i="53"/>
  <c r="Z12" i="52"/>
  <c r="Z10" i="51"/>
  <c r="Z19" i="51"/>
  <c r="Z8" i="51"/>
  <c r="V38" i="51"/>
  <c r="AA38" i="51" s="1"/>
  <c r="Z34" i="51"/>
  <c r="Z15" i="50"/>
  <c r="Z29" i="50"/>
  <c r="Z16" i="50"/>
  <c r="Z20" i="50"/>
  <c r="Z25" i="50"/>
  <c r="Z38" i="50"/>
  <c r="V38" i="47"/>
  <c r="AA38" i="47" s="1"/>
  <c r="Z6" i="43"/>
  <c r="N14" i="43"/>
  <c r="T14" i="43"/>
  <c r="Z28" i="43"/>
  <c r="Q31" i="43"/>
  <c r="Z6" i="44"/>
  <c r="V33" i="47"/>
  <c r="AA33" i="47" s="1"/>
  <c r="R19" i="50"/>
  <c r="Q8" i="50"/>
  <c r="N32" i="50"/>
  <c r="Q32" i="50"/>
  <c r="Z11" i="50"/>
  <c r="Z7" i="51"/>
  <c r="R11" i="51"/>
  <c r="Q11" i="51"/>
  <c r="Z18" i="51"/>
  <c r="P19" i="51"/>
  <c r="Q26" i="51"/>
  <c r="Z17" i="51"/>
  <c r="S15" i="52"/>
  <c r="Z15" i="52"/>
  <c r="N19" i="52"/>
  <c r="R32" i="52"/>
  <c r="Z29" i="52"/>
  <c r="P31" i="52"/>
  <c r="N31" i="52"/>
  <c r="V35" i="47"/>
  <c r="AA35" i="47" s="1"/>
  <c r="V37" i="47"/>
  <c r="AA37" i="47" s="1"/>
  <c r="V39" i="47"/>
  <c r="AA39" i="47" s="1"/>
  <c r="Q25" i="43"/>
  <c r="P19" i="50"/>
  <c r="Q19" i="50"/>
  <c r="Z28" i="50"/>
  <c r="Z32" i="50"/>
  <c r="Z16" i="51"/>
  <c r="T22" i="51"/>
  <c r="Z26" i="51"/>
  <c r="R26" i="52"/>
  <c r="Z18" i="43"/>
  <c r="N7" i="43"/>
  <c r="N9" i="43"/>
  <c r="Z7" i="44"/>
  <c r="V36" i="47"/>
  <c r="AA36" i="47" s="1"/>
  <c r="V38" i="48"/>
  <c r="AA38" i="48" s="1"/>
  <c r="P11" i="50"/>
  <c r="R10" i="51"/>
  <c r="Z11" i="51"/>
  <c r="N15" i="51"/>
  <c r="S9" i="51"/>
  <c r="Q9" i="51"/>
  <c r="N13" i="51"/>
  <c r="Q19" i="51"/>
  <c r="N26" i="51"/>
  <c r="R26" i="51"/>
  <c r="P15" i="52"/>
  <c r="N24" i="52"/>
  <c r="Z15" i="55"/>
  <c r="T7" i="55"/>
  <c r="V39" i="55"/>
  <c r="AA39" i="55" s="1"/>
  <c r="P30" i="55"/>
  <c r="Z12" i="54"/>
  <c r="Y12" i="54"/>
  <c r="Z20" i="54"/>
  <c r="Y20" i="54"/>
  <c r="Z29" i="54"/>
  <c r="Y29" i="54"/>
  <c r="V33" i="54"/>
  <c r="AA33" i="54" s="1"/>
  <c r="Z6" i="53"/>
  <c r="Y6" i="53"/>
  <c r="Z14" i="54"/>
  <c r="Y14" i="54"/>
  <c r="Y29" i="53"/>
  <c r="Z29" i="53"/>
  <c r="V35" i="53"/>
  <c r="AA35" i="53" s="1"/>
  <c r="Z30" i="53"/>
  <c r="Z11" i="53"/>
  <c r="Z19" i="53"/>
  <c r="Q28" i="54"/>
  <c r="S7" i="55"/>
  <c r="Q7" i="55"/>
  <c r="P19" i="55"/>
  <c r="V33" i="55"/>
  <c r="AA33" i="55" s="1"/>
  <c r="R30" i="55"/>
  <c r="Q30" i="55"/>
  <c r="V37" i="54"/>
  <c r="AA37" i="54" s="1"/>
  <c r="Z36" i="54"/>
  <c r="P26" i="54"/>
  <c r="V36" i="54"/>
  <c r="Z7" i="54"/>
  <c r="Z39" i="54"/>
  <c r="Y39" i="54"/>
  <c r="N8" i="53"/>
  <c r="R8" i="53"/>
  <c r="Z25" i="54"/>
  <c r="Z31" i="54"/>
  <c r="Y31" i="54"/>
  <c r="T22" i="54"/>
  <c r="S22" i="54"/>
  <c r="R22" i="54"/>
  <c r="Z35" i="54"/>
  <c r="Y35" i="54"/>
  <c r="N30" i="53"/>
  <c r="Q30" i="53"/>
  <c r="Z33" i="53"/>
  <c r="V39" i="53"/>
  <c r="AA39" i="53" s="1"/>
  <c r="Q29" i="54"/>
  <c r="Z13" i="53"/>
  <c r="Z32" i="55"/>
  <c r="N6" i="55"/>
  <c r="Z37" i="54"/>
  <c r="Y37" i="54"/>
  <c r="Z18" i="54"/>
  <c r="Y18" i="54"/>
  <c r="Q26" i="54"/>
  <c r="Z33" i="54"/>
  <c r="Y33" i="54"/>
  <c r="Q8" i="53"/>
  <c r="P8" i="53"/>
  <c r="Z27" i="54"/>
  <c r="S30" i="54"/>
  <c r="V38" i="53"/>
  <c r="AA38" i="53" s="1"/>
  <c r="AD38" i="53" s="1"/>
  <c r="Z9" i="54"/>
  <c r="Y9" i="54"/>
  <c r="Z15" i="54"/>
  <c r="Y28" i="53"/>
  <c r="Z28" i="53"/>
  <c r="Q22" i="54"/>
  <c r="P22" i="54"/>
  <c r="Z38" i="54"/>
  <c r="T30" i="53"/>
  <c r="R22" i="50"/>
  <c r="P30" i="53"/>
  <c r="T30" i="55"/>
  <c r="V34" i="55"/>
  <c r="AA34" i="55" s="1"/>
  <c r="Y13" i="54"/>
  <c r="Z13" i="54"/>
  <c r="Z17" i="54"/>
  <c r="V39" i="54"/>
  <c r="AA39" i="54" s="1"/>
  <c r="Z11" i="54"/>
  <c r="Y11" i="54"/>
  <c r="Z6" i="54"/>
  <c r="Y6" i="54"/>
  <c r="V33" i="53"/>
  <c r="AA33" i="53" s="1"/>
  <c r="N16" i="50"/>
  <c r="N24" i="50"/>
  <c r="P24" i="50"/>
  <c r="S15" i="53"/>
  <c r="Z20" i="55"/>
  <c r="V37" i="55"/>
  <c r="AA37" i="55" s="1"/>
  <c r="Y13" i="55"/>
  <c r="Z13" i="55"/>
  <c r="T15" i="55"/>
  <c r="Q15" i="55"/>
  <c r="N19" i="55"/>
  <c r="N7" i="55"/>
  <c r="R7" i="55"/>
  <c r="Z16" i="55"/>
  <c r="S11" i="55"/>
  <c r="T11" i="55"/>
  <c r="Z19" i="55"/>
  <c r="Z29" i="55"/>
  <c r="Y39" i="55"/>
  <c r="Z39" i="55"/>
  <c r="R28" i="55"/>
  <c r="Q28" i="55"/>
  <c r="P28" i="55"/>
  <c r="N32" i="55"/>
  <c r="P20" i="55"/>
  <c r="R31" i="55"/>
  <c r="Q31" i="55"/>
  <c r="Y37" i="55"/>
  <c r="Z37" i="55"/>
  <c r="Y6" i="55"/>
  <c r="Z6" i="55"/>
  <c r="Y9" i="55"/>
  <c r="Z9" i="55"/>
  <c r="Y26" i="55"/>
  <c r="Z26" i="55"/>
  <c r="Y10" i="55"/>
  <c r="Z10" i="55"/>
  <c r="Y18" i="55"/>
  <c r="Z18" i="55"/>
  <c r="Y17" i="55"/>
  <c r="Z17" i="55"/>
  <c r="R19" i="55"/>
  <c r="Y27" i="55"/>
  <c r="Z27" i="55"/>
  <c r="Z11" i="55"/>
  <c r="Q11" i="55"/>
  <c r="P11" i="55"/>
  <c r="T19" i="55"/>
  <c r="Q19" i="55"/>
  <c r="R29" i="55"/>
  <c r="Q29" i="55"/>
  <c r="P29" i="55"/>
  <c r="Z33" i="55"/>
  <c r="Z30" i="55"/>
  <c r="Z34" i="55"/>
  <c r="Z25" i="55"/>
  <c r="V36" i="55"/>
  <c r="N15" i="55"/>
  <c r="V35" i="55"/>
  <c r="Y14" i="55"/>
  <c r="Z14" i="55"/>
  <c r="Y8" i="55"/>
  <c r="Z8" i="55"/>
  <c r="Y12" i="55"/>
  <c r="Z12" i="55"/>
  <c r="N11" i="55"/>
  <c r="R11" i="55"/>
  <c r="N29" i="55"/>
  <c r="Y38" i="55"/>
  <c r="Z38" i="55"/>
  <c r="N5" i="54"/>
  <c r="S5" i="54"/>
  <c r="T5" i="54"/>
  <c r="R5" i="54"/>
  <c r="P5" i="54"/>
  <c r="Z14" i="52"/>
  <c r="Z16" i="52"/>
  <c r="V37" i="52"/>
  <c r="AA37" i="52" s="1"/>
  <c r="P13" i="52"/>
  <c r="P16" i="52"/>
  <c r="R16" i="52"/>
  <c r="R15" i="52"/>
  <c r="V35" i="52"/>
  <c r="AA35" i="52" s="1"/>
  <c r="V33" i="52"/>
  <c r="AA33" i="52" s="1"/>
  <c r="Z31" i="52"/>
  <c r="P21" i="52"/>
  <c r="R21" i="52"/>
  <c r="Z6" i="52"/>
  <c r="P7" i="52"/>
  <c r="P19" i="52"/>
  <c r="V36" i="52"/>
  <c r="AA36" i="52" s="1"/>
  <c r="V38" i="52"/>
  <c r="AA38" i="52" s="1"/>
  <c r="R22" i="52"/>
  <c r="R31" i="52"/>
  <c r="P25" i="52"/>
  <c r="R25" i="52"/>
  <c r="T6" i="52"/>
  <c r="Q6" i="52"/>
  <c r="T12" i="52"/>
  <c r="Q12" i="52"/>
  <c r="T11" i="52"/>
  <c r="R20" i="52"/>
  <c r="N20" i="52"/>
  <c r="Y36" i="52"/>
  <c r="Z36" i="52"/>
  <c r="S10" i="52"/>
  <c r="Z8" i="52"/>
  <c r="Z10" i="52"/>
  <c r="T17" i="52"/>
  <c r="Q17" i="52"/>
  <c r="P6" i="52"/>
  <c r="Q7" i="52"/>
  <c r="Z7" i="52"/>
  <c r="P8" i="52"/>
  <c r="Z9" i="52"/>
  <c r="Q11" i="52"/>
  <c r="Z11" i="52"/>
  <c r="P12" i="52"/>
  <c r="Z13" i="52"/>
  <c r="Y25" i="52"/>
  <c r="Z25" i="52"/>
  <c r="P28" i="52"/>
  <c r="Y38" i="52"/>
  <c r="Z38" i="52"/>
  <c r="V39" i="52"/>
  <c r="Z27" i="52"/>
  <c r="P18" i="52"/>
  <c r="Z18" i="52"/>
  <c r="T30" i="52"/>
  <c r="S30" i="52"/>
  <c r="P30" i="52"/>
  <c r="V34" i="52"/>
  <c r="T10" i="52"/>
  <c r="Q10" i="52"/>
  <c r="T14" i="52"/>
  <c r="Q14" i="52"/>
  <c r="T9" i="52"/>
  <c r="T13" i="52"/>
  <c r="P29" i="52"/>
  <c r="R6" i="52"/>
  <c r="R8" i="52"/>
  <c r="R10" i="52"/>
  <c r="R12" i="52"/>
  <c r="R14" i="52"/>
  <c r="S17" i="52"/>
  <c r="Z17" i="52"/>
  <c r="R9" i="52"/>
  <c r="R11" i="52"/>
  <c r="R13" i="52"/>
  <c r="Q20" i="52"/>
  <c r="N15" i="52"/>
  <c r="S19" i="52"/>
  <c r="Z19" i="52"/>
  <c r="T18" i="52"/>
  <c r="Z28" i="52"/>
  <c r="P32" i="52"/>
  <c r="Z35" i="52"/>
  <c r="P27" i="52"/>
  <c r="R29" i="52"/>
  <c r="Q29" i="52"/>
  <c r="Z33" i="52"/>
  <c r="R18" i="52"/>
  <c r="Z30" i="52"/>
  <c r="Q23" i="52"/>
  <c r="Q8" i="52"/>
  <c r="T7" i="52"/>
  <c r="S6" i="52"/>
  <c r="S14" i="52"/>
  <c r="N6" i="52"/>
  <c r="N8" i="52"/>
  <c r="N10" i="52"/>
  <c r="N12" i="52"/>
  <c r="N14" i="52"/>
  <c r="R17" i="52"/>
  <c r="P20" i="52"/>
  <c r="S7" i="52"/>
  <c r="N7" i="52"/>
  <c r="S9" i="52"/>
  <c r="N9" i="52"/>
  <c r="S11" i="52"/>
  <c r="N11" i="52"/>
  <c r="S13" i="52"/>
  <c r="N13" i="52"/>
  <c r="Y20" i="52"/>
  <c r="Z20" i="52"/>
  <c r="R19" i="52"/>
  <c r="Y26" i="52"/>
  <c r="Z26" i="52"/>
  <c r="R28" i="52"/>
  <c r="Q28" i="52"/>
  <c r="Z32" i="52"/>
  <c r="N29" i="52"/>
  <c r="S18" i="52"/>
  <c r="R30" i="52"/>
  <c r="Q30" i="52"/>
  <c r="Z34" i="52"/>
  <c r="Z37" i="52"/>
  <c r="T5" i="52"/>
  <c r="N5" i="52"/>
  <c r="P5" i="52"/>
  <c r="R5" i="52"/>
  <c r="S5" i="52"/>
  <c r="U5" i="52"/>
  <c r="Z5" i="52"/>
  <c r="T18" i="51"/>
  <c r="Q18" i="51"/>
  <c r="Y20" i="51"/>
  <c r="Z20" i="51"/>
  <c r="S7" i="51"/>
  <c r="P6" i="51"/>
  <c r="S6" i="51"/>
  <c r="T6" i="51"/>
  <c r="P14" i="51"/>
  <c r="S14" i="51"/>
  <c r="T14" i="51"/>
  <c r="N20" i="51"/>
  <c r="P20" i="51"/>
  <c r="R20" i="51"/>
  <c r="Y25" i="51"/>
  <c r="Z25" i="51"/>
  <c r="Z28" i="51"/>
  <c r="Y29" i="51"/>
  <c r="Z29" i="51"/>
  <c r="S19" i="51"/>
  <c r="P31" i="51"/>
  <c r="Q22" i="51"/>
  <c r="T30" i="51"/>
  <c r="P30" i="51"/>
  <c r="V33" i="51"/>
  <c r="AA33" i="51" s="1"/>
  <c r="V36" i="51"/>
  <c r="AA36" i="51" s="1"/>
  <c r="V39" i="51"/>
  <c r="T19" i="51"/>
  <c r="P7" i="51"/>
  <c r="T7" i="51"/>
  <c r="P8" i="51"/>
  <c r="V37" i="51"/>
  <c r="AA37" i="51" s="1"/>
  <c r="Z6" i="51"/>
  <c r="Z14" i="51"/>
  <c r="R7" i="51"/>
  <c r="Q7" i="51"/>
  <c r="P15" i="51"/>
  <c r="T15" i="51"/>
  <c r="R18" i="51"/>
  <c r="R8" i="51"/>
  <c r="Q8" i="51"/>
  <c r="P9" i="51"/>
  <c r="R19" i="51"/>
  <c r="Z31" i="51"/>
  <c r="S22" i="51"/>
  <c r="Z30" i="51"/>
  <c r="AA39" i="51"/>
  <c r="Q16" i="51"/>
  <c r="P18" i="51"/>
  <c r="R6" i="51"/>
  <c r="Q6" i="51"/>
  <c r="P10" i="51"/>
  <c r="S10" i="51"/>
  <c r="T10" i="51"/>
  <c r="R14" i="51"/>
  <c r="Q14" i="51"/>
  <c r="S18" i="51"/>
  <c r="N7" i="51"/>
  <c r="P11" i="51"/>
  <c r="T11" i="51"/>
  <c r="Z15" i="51"/>
  <c r="Q15" i="51"/>
  <c r="N16" i="51"/>
  <c r="N18" i="51"/>
  <c r="N8" i="51"/>
  <c r="P12" i="51"/>
  <c r="S12" i="51"/>
  <c r="Z9" i="51"/>
  <c r="Z27" i="51"/>
  <c r="Q20" i="51"/>
  <c r="P16" i="51"/>
  <c r="R31" i="51"/>
  <c r="Q31" i="51"/>
  <c r="N22" i="51"/>
  <c r="R22" i="51"/>
  <c r="R30" i="51"/>
  <c r="Q30" i="51"/>
  <c r="V35" i="51"/>
  <c r="Z36" i="51"/>
  <c r="V34" i="51"/>
  <c r="AA34" i="51" s="1"/>
  <c r="T5" i="51"/>
  <c r="Z5" i="51"/>
  <c r="U5" i="51"/>
  <c r="R5" i="51"/>
  <c r="Q5" i="51"/>
  <c r="P5" i="51"/>
  <c r="N5" i="51"/>
  <c r="Y18" i="50"/>
  <c r="Z18" i="50"/>
  <c r="Y9" i="50"/>
  <c r="Z9" i="50"/>
  <c r="Y12" i="50"/>
  <c r="Z12" i="50"/>
  <c r="S15" i="50"/>
  <c r="N15" i="50"/>
  <c r="R15" i="50"/>
  <c r="V34" i="50"/>
  <c r="AA34" i="50" s="1"/>
  <c r="N11" i="50"/>
  <c r="V33" i="50"/>
  <c r="AA33" i="50" s="1"/>
  <c r="Y10" i="50"/>
  <c r="Z10" i="50"/>
  <c r="Y17" i="50"/>
  <c r="Z17" i="50"/>
  <c r="T15" i="50"/>
  <c r="Q15" i="50"/>
  <c r="S19" i="50"/>
  <c r="N19" i="50"/>
  <c r="Z7" i="50"/>
  <c r="P8" i="50"/>
  <c r="S11" i="50"/>
  <c r="R28" i="50"/>
  <c r="P32" i="50"/>
  <c r="N29" i="50"/>
  <c r="Q29" i="50"/>
  <c r="N27" i="50"/>
  <c r="Z31" i="50"/>
  <c r="V39" i="50"/>
  <c r="AA39" i="50" s="1"/>
  <c r="R30" i="50"/>
  <c r="T11" i="50"/>
  <c r="Q11" i="50"/>
  <c r="P28" i="50"/>
  <c r="Y6" i="50"/>
  <c r="Z6" i="50"/>
  <c r="V36" i="50"/>
  <c r="AA36" i="50" s="1"/>
  <c r="V37" i="50"/>
  <c r="AA37" i="50" s="1"/>
  <c r="Y14" i="50"/>
  <c r="Z14" i="50"/>
  <c r="Y13" i="50"/>
  <c r="Z13" i="50"/>
  <c r="N7" i="50"/>
  <c r="Z19" i="50"/>
  <c r="Z26" i="50"/>
  <c r="T7" i="50"/>
  <c r="Z8" i="50"/>
  <c r="N25" i="50"/>
  <c r="N28" i="50"/>
  <c r="P30" i="50"/>
  <c r="V38" i="50"/>
  <c r="AA38" i="50" s="1"/>
  <c r="T30" i="50"/>
  <c r="R31" i="50"/>
  <c r="V35" i="50"/>
  <c r="N30" i="50"/>
  <c r="R11" i="50"/>
  <c r="Z33" i="50"/>
  <c r="Z37" i="50"/>
  <c r="T5" i="50"/>
  <c r="N5" i="50"/>
  <c r="P5" i="50"/>
  <c r="U5" i="50"/>
  <c r="Z5" i="50"/>
  <c r="V36" i="48"/>
  <c r="AA36" i="48" s="1"/>
  <c r="V35" i="48"/>
  <c r="AA35" i="48" s="1"/>
  <c r="V39" i="48"/>
  <c r="AA39" i="48" s="1"/>
  <c r="V37" i="48"/>
  <c r="AA37" i="48" s="1"/>
  <c r="V34" i="48"/>
  <c r="V33" i="48"/>
  <c r="V34" i="47"/>
  <c r="AA34" i="47" s="1"/>
  <c r="V33" i="46"/>
  <c r="AA33" i="46" s="1"/>
  <c r="V34" i="46"/>
  <c r="AA34" i="46" s="1"/>
  <c r="Z18" i="44"/>
  <c r="Z8" i="44"/>
  <c r="V35" i="44"/>
  <c r="AA35" i="44" s="1"/>
  <c r="Z38" i="44"/>
  <c r="V39" i="44"/>
  <c r="AA39" i="44" s="1"/>
  <c r="V38" i="46"/>
  <c r="V36" i="46"/>
  <c r="V35" i="46"/>
  <c r="AA35" i="46" s="1"/>
  <c r="V37" i="46"/>
  <c r="AA37" i="46" s="1"/>
  <c r="V39" i="46"/>
  <c r="AA39" i="46" s="1"/>
  <c r="V33" i="44"/>
  <c r="AA33" i="44" s="1"/>
  <c r="V37" i="44"/>
  <c r="Z19" i="44"/>
  <c r="Z12" i="44"/>
  <c r="V34" i="44"/>
  <c r="AA34" i="44" s="1"/>
  <c r="Z35" i="44"/>
  <c r="V36" i="44"/>
  <c r="AA36" i="44" s="1"/>
  <c r="Z14" i="44"/>
  <c r="Z20" i="44"/>
  <c r="Y20" i="44"/>
  <c r="Z10" i="44"/>
  <c r="Z15" i="44"/>
  <c r="Z16" i="44"/>
  <c r="Z13" i="44"/>
  <c r="Z9" i="44"/>
  <c r="Z37" i="44"/>
  <c r="Z34" i="44"/>
  <c r="V38" i="44"/>
  <c r="AA38" i="44" s="1"/>
  <c r="Z39" i="44"/>
  <c r="Y26" i="44"/>
  <c r="Z26" i="44"/>
  <c r="Z17" i="44"/>
  <c r="Y28" i="44"/>
  <c r="Z28" i="44"/>
  <c r="Y29" i="44"/>
  <c r="Z29" i="44"/>
  <c r="Z5" i="44"/>
  <c r="Z8" i="43"/>
  <c r="Q12" i="43"/>
  <c r="Z16" i="43"/>
  <c r="T23" i="43"/>
  <c r="N32" i="43"/>
  <c r="Z29" i="43"/>
  <c r="T22" i="43"/>
  <c r="S17" i="43"/>
  <c r="Q17" i="43"/>
  <c r="P31" i="43"/>
  <c r="Z31" i="43"/>
  <c r="Z7" i="43"/>
  <c r="Z19" i="43"/>
  <c r="R12" i="43"/>
  <c r="R23" i="43"/>
  <c r="Q23" i="43"/>
  <c r="P23" i="43"/>
  <c r="N27" i="43"/>
  <c r="Z26" i="43"/>
  <c r="R22" i="43"/>
  <c r="Q22" i="43"/>
  <c r="P22" i="43"/>
  <c r="Z25" i="43"/>
  <c r="R17" i="43"/>
  <c r="R31" i="43"/>
  <c r="N15" i="43"/>
  <c r="P17" i="43"/>
  <c r="N22" i="43"/>
  <c r="T17" i="43"/>
  <c r="N17" i="43"/>
  <c r="Z39" i="43"/>
  <c r="R5" i="43"/>
  <c r="Q5" i="43"/>
  <c r="S5" i="43"/>
  <c r="P19" i="43"/>
  <c r="T19" i="43"/>
  <c r="P8" i="43"/>
  <c r="P16" i="43"/>
  <c r="Z38" i="43"/>
  <c r="V35" i="43"/>
  <c r="AA35" i="43" s="1"/>
  <c r="P10" i="43"/>
  <c r="P27" i="43"/>
  <c r="V36" i="43"/>
  <c r="S11" i="43"/>
  <c r="U21" i="43"/>
  <c r="V34" i="43"/>
  <c r="V33" i="43"/>
  <c r="AA33" i="43" s="1"/>
  <c r="Z37" i="43"/>
  <c r="P18" i="43"/>
  <c r="T6" i="43"/>
  <c r="S19" i="43"/>
  <c r="P28" i="43"/>
  <c r="P14" i="43"/>
  <c r="T13" i="43"/>
  <c r="T18" i="43"/>
  <c r="R18" i="43"/>
  <c r="Q18" i="43"/>
  <c r="R11" i="43"/>
  <c r="Z15" i="43"/>
  <c r="R19" i="43"/>
  <c r="Q19" i="43"/>
  <c r="R8" i="43"/>
  <c r="Q8" i="43"/>
  <c r="T10" i="43"/>
  <c r="T12" i="43"/>
  <c r="P12" i="43"/>
  <c r="S12" i="43"/>
  <c r="R16" i="43"/>
  <c r="Q16" i="43"/>
  <c r="R20" i="43"/>
  <c r="N20" i="43"/>
  <c r="P20" i="43"/>
  <c r="Z9" i="43"/>
  <c r="R13" i="43"/>
  <c r="Q13" i="43"/>
  <c r="Z27" i="43"/>
  <c r="R26" i="43"/>
  <c r="Q26" i="43"/>
  <c r="R28" i="43"/>
  <c r="Q28" i="43"/>
  <c r="T30" i="43"/>
  <c r="R29" i="43"/>
  <c r="Q29" i="43"/>
  <c r="R30" i="43"/>
  <c r="Q30" i="43"/>
  <c r="V38" i="43"/>
  <c r="R21" i="43"/>
  <c r="Q21" i="43"/>
  <c r="P21" i="43"/>
  <c r="Z35" i="43"/>
  <c r="V39" i="43"/>
  <c r="AA39" i="43" s="1"/>
  <c r="P6" i="43"/>
  <c r="S6" i="43"/>
  <c r="P11" i="43"/>
  <c r="T11" i="43"/>
  <c r="S13" i="43"/>
  <c r="P15" i="43"/>
  <c r="T15" i="43"/>
  <c r="Y20" i="43"/>
  <c r="Z20" i="43"/>
  <c r="Q6" i="43"/>
  <c r="Z10" i="43"/>
  <c r="Z14" i="43"/>
  <c r="N6" i="43"/>
  <c r="R10" i="43"/>
  <c r="Q10" i="43"/>
  <c r="R14" i="43"/>
  <c r="Q14" i="43"/>
  <c r="N18" i="43"/>
  <c r="P7" i="43"/>
  <c r="T7" i="43"/>
  <c r="N11" i="43"/>
  <c r="R15" i="43"/>
  <c r="Q15" i="43"/>
  <c r="N19" i="43"/>
  <c r="N8" i="43"/>
  <c r="Z12" i="43"/>
  <c r="N16" i="43"/>
  <c r="R9" i="43"/>
  <c r="Q9" i="43"/>
  <c r="N13" i="43"/>
  <c r="S23" i="43"/>
  <c r="R27" i="43"/>
  <c r="Q27" i="43"/>
  <c r="S30" i="43"/>
  <c r="N26" i="43"/>
  <c r="Z36" i="43"/>
  <c r="P24" i="43"/>
  <c r="N28" i="43"/>
  <c r="Q32" i="43"/>
  <c r="N29" i="43"/>
  <c r="P26" i="43"/>
  <c r="N30" i="43"/>
  <c r="P25" i="43"/>
  <c r="Z17" i="43"/>
  <c r="Z34" i="43"/>
  <c r="Z33" i="43"/>
  <c r="V37" i="43"/>
  <c r="AA37" i="43" s="1"/>
  <c r="P29" i="43"/>
  <c r="Z5" i="43"/>
  <c r="T5" i="43"/>
  <c r="U5" i="43"/>
  <c r="N5" i="43"/>
  <c r="AJ6" i="41"/>
  <c r="AJ7" i="41"/>
  <c r="AJ8" i="41"/>
  <c r="AG8" i="41" s="1"/>
  <c r="AJ9" i="41"/>
  <c r="AG9" i="41" s="1"/>
  <c r="AJ10" i="41"/>
  <c r="AJ11" i="41"/>
  <c r="AJ12" i="41"/>
  <c r="AG12" i="41" s="1"/>
  <c r="AJ13" i="41"/>
  <c r="AF13" i="41" s="1"/>
  <c r="AJ14" i="41"/>
  <c r="AJ15" i="41"/>
  <c r="AJ16" i="41"/>
  <c r="AG16" i="41" s="1"/>
  <c r="AH16" i="41" s="1"/>
  <c r="AJ17" i="41"/>
  <c r="AG17" i="41" s="1"/>
  <c r="AJ18" i="41"/>
  <c r="AJ19" i="41"/>
  <c r="AJ20" i="41"/>
  <c r="AG20" i="41" s="1"/>
  <c r="AJ21" i="41"/>
  <c r="AG21" i="41" s="1"/>
  <c r="AJ22" i="41"/>
  <c r="AJ23" i="41"/>
  <c r="AJ24" i="41"/>
  <c r="AF24" i="41" s="1"/>
  <c r="AJ25" i="41"/>
  <c r="AF25" i="41" s="1"/>
  <c r="AJ26" i="41"/>
  <c r="AJ27" i="41"/>
  <c r="AJ28" i="41"/>
  <c r="AF28" i="41" s="1"/>
  <c r="AJ29" i="41"/>
  <c r="AF29" i="41" s="1"/>
  <c r="AJ30" i="41"/>
  <c r="AG30" i="41" s="1"/>
  <c r="AH30" i="41" s="1"/>
  <c r="AJ31" i="41"/>
  <c r="AF32" i="41"/>
  <c r="AJ33" i="41"/>
  <c r="AJ34" i="41"/>
  <c r="AJ35" i="41"/>
  <c r="AJ36" i="41"/>
  <c r="AJ37" i="41"/>
  <c r="AJ38" i="41"/>
  <c r="AJ39" i="41"/>
  <c r="AJ5" i="41"/>
  <c r="AG5" i="41" s="1"/>
  <c r="AF6" i="41"/>
  <c r="AH6" i="41" s="1"/>
  <c r="AG6" i="41"/>
  <c r="AF7" i="41"/>
  <c r="AG7" i="41"/>
  <c r="AF8" i="41"/>
  <c r="AF10" i="41"/>
  <c r="AG10" i="41"/>
  <c r="AF11" i="41"/>
  <c r="AG11" i="41"/>
  <c r="AF12" i="41"/>
  <c r="AF14" i="41"/>
  <c r="AG14" i="41"/>
  <c r="AF15" i="41"/>
  <c r="AG15" i="41"/>
  <c r="AF16" i="41"/>
  <c r="AF18" i="41"/>
  <c r="AH18" i="41" s="1"/>
  <c r="AG18" i="41"/>
  <c r="AF19" i="41"/>
  <c r="AG19" i="41"/>
  <c r="AF20" i="41"/>
  <c r="AF22" i="41"/>
  <c r="AG22" i="41"/>
  <c r="AF23" i="41"/>
  <c r="AG23" i="41"/>
  <c r="AG25" i="41"/>
  <c r="AF26" i="41"/>
  <c r="AG26" i="41"/>
  <c r="AF27" i="41"/>
  <c r="AG27" i="41"/>
  <c r="AF30" i="41"/>
  <c r="AF31" i="41"/>
  <c r="AH31" i="41" s="1"/>
  <c r="AG31" i="41"/>
  <c r="AF33" i="41"/>
  <c r="AG33" i="41"/>
  <c r="AH33" i="41"/>
  <c r="AF34" i="41"/>
  <c r="AG34" i="41"/>
  <c r="AH34" i="41"/>
  <c r="AF35" i="41"/>
  <c r="AG35" i="41"/>
  <c r="AH35" i="41"/>
  <c r="AF36" i="41"/>
  <c r="AG36" i="41"/>
  <c r="AH36" i="41"/>
  <c r="AF37" i="41"/>
  <c r="AG37" i="41"/>
  <c r="AH37" i="41"/>
  <c r="AF38" i="41"/>
  <c r="AG38" i="41"/>
  <c r="AH38" i="41"/>
  <c r="AF39" i="41"/>
  <c r="AG39" i="41"/>
  <c r="AH39" i="41"/>
  <c r="AB6" i="41"/>
  <c r="AC6" i="41"/>
  <c r="AB7" i="41"/>
  <c r="AC7" i="41"/>
  <c r="AB8" i="41"/>
  <c r="AC8" i="41"/>
  <c r="AB9" i="41"/>
  <c r="AC9" i="41"/>
  <c r="AB10" i="41"/>
  <c r="AC10" i="41"/>
  <c r="AB11" i="41"/>
  <c r="AC11" i="41"/>
  <c r="AB12" i="41"/>
  <c r="AC12" i="41"/>
  <c r="AB13" i="41"/>
  <c r="AC13" i="41"/>
  <c r="AB14" i="41"/>
  <c r="AC14" i="41"/>
  <c r="AB15" i="41"/>
  <c r="AC15" i="41"/>
  <c r="AB16" i="41"/>
  <c r="AC16" i="41"/>
  <c r="AB17" i="41"/>
  <c r="AC17" i="41"/>
  <c r="AB18" i="41"/>
  <c r="AC18" i="41"/>
  <c r="AB19" i="41"/>
  <c r="AC19" i="41"/>
  <c r="AB20" i="41"/>
  <c r="AC20" i="41"/>
  <c r="AB21" i="41"/>
  <c r="AC21" i="41"/>
  <c r="AB22" i="41"/>
  <c r="AC22" i="41"/>
  <c r="AB23" i="41"/>
  <c r="AC23" i="41"/>
  <c r="AB24" i="41"/>
  <c r="AC24" i="41"/>
  <c r="AB25" i="41"/>
  <c r="AC25" i="41"/>
  <c r="AB26" i="41"/>
  <c r="AC26" i="41"/>
  <c r="AB27" i="41"/>
  <c r="AC27" i="41"/>
  <c r="AB28" i="41"/>
  <c r="AC28" i="41"/>
  <c r="AB29" i="41"/>
  <c r="AC29" i="41"/>
  <c r="AB30" i="41"/>
  <c r="AC30" i="41"/>
  <c r="AB31" i="41"/>
  <c r="AC31" i="41"/>
  <c r="AB32" i="41"/>
  <c r="AC32" i="41"/>
  <c r="AB33" i="41"/>
  <c r="AC33" i="41"/>
  <c r="AB34" i="41"/>
  <c r="AC34" i="41"/>
  <c r="AB35" i="41"/>
  <c r="AC35" i="41"/>
  <c r="AB36" i="41"/>
  <c r="AC36" i="41"/>
  <c r="AB37" i="41"/>
  <c r="AC37" i="41"/>
  <c r="AB38" i="41"/>
  <c r="AC38" i="41"/>
  <c r="AB39" i="41"/>
  <c r="AC39" i="41"/>
  <c r="B6" i="41" a="1"/>
  <c r="B6" i="41" s="1"/>
  <c r="B7" i="41" a="1"/>
  <c r="B7" i="41" s="1"/>
  <c r="B8" i="41" a="1"/>
  <c r="B8" i="41" s="1"/>
  <c r="B9" i="41" a="1"/>
  <c r="B9" i="41" s="1"/>
  <c r="B10" i="41" a="1"/>
  <c r="B10" i="41" s="1"/>
  <c r="B11" i="41" a="1"/>
  <c r="B11" i="41" s="1"/>
  <c r="B12" i="41" a="1"/>
  <c r="B12" i="41" s="1"/>
  <c r="B13" i="41" a="1"/>
  <c r="B13" i="41" s="1"/>
  <c r="B14" i="41" a="1"/>
  <c r="B14" i="41" s="1"/>
  <c r="B15" i="41" a="1"/>
  <c r="B15" i="41" s="1"/>
  <c r="B16" i="41" a="1"/>
  <c r="B16" i="41" s="1"/>
  <c r="B17" i="41" a="1"/>
  <c r="B17" i="41" s="1"/>
  <c r="B18" i="41" a="1"/>
  <c r="B18" i="41" s="1"/>
  <c r="B19" i="41" a="1"/>
  <c r="B19" i="41" s="1"/>
  <c r="B20" i="41" a="1"/>
  <c r="B20" i="41" s="1"/>
  <c r="D20" i="41" s="1"/>
  <c r="H20" i="41" s="1"/>
  <c r="B21" i="41" a="1"/>
  <c r="B21" i="41"/>
  <c r="B22" i="41" a="1"/>
  <c r="B22" i="41" s="1"/>
  <c r="B23" i="41" a="1"/>
  <c r="B23" i="41" s="1"/>
  <c r="B24" i="41" a="1"/>
  <c r="B24" i="41" s="1"/>
  <c r="B25" i="41" a="1"/>
  <c r="B25" i="41" s="1"/>
  <c r="B26" i="41" a="1"/>
  <c r="B26" i="41" s="1"/>
  <c r="B27" i="41" a="1"/>
  <c r="B27" i="41" s="1"/>
  <c r="B28" i="41" a="1"/>
  <c r="B28" i="41" s="1"/>
  <c r="B29" i="41" a="1"/>
  <c r="B29" i="41" s="1"/>
  <c r="B30" i="41" a="1"/>
  <c r="B30" i="41" s="1"/>
  <c r="D13" i="41"/>
  <c r="H13" i="41" s="1"/>
  <c r="D33" i="41"/>
  <c r="H33" i="41" s="1"/>
  <c r="S32" i="49" a="1"/>
  <c r="S32" i="49" s="1"/>
  <c r="AD31" i="49"/>
  <c r="AC31" i="49"/>
  <c r="Y31" i="49"/>
  <c r="S31" i="49" a="1"/>
  <c r="S31" i="49" s="1"/>
  <c r="AD30" i="49"/>
  <c r="AC30" i="49"/>
  <c r="AB30" i="49"/>
  <c r="AA30" i="49"/>
  <c r="Y30" i="49"/>
  <c r="S30" i="49" a="1"/>
  <c r="S30" i="49" s="1"/>
  <c r="AD29" i="49"/>
  <c r="AC29" i="49"/>
  <c r="Y29" i="49"/>
  <c r="S29" i="49" a="1"/>
  <c r="S29" i="49" s="1"/>
  <c r="AD28" i="49"/>
  <c r="AC28" i="49"/>
  <c r="Y28" i="49"/>
  <c r="S28" i="49" a="1"/>
  <c r="S28" i="49" s="1"/>
  <c r="AD27" i="49"/>
  <c r="AC27" i="49"/>
  <c r="Y27" i="49"/>
  <c r="S27" i="49" a="1"/>
  <c r="S27" i="49" s="1"/>
  <c r="AD26" i="49"/>
  <c r="AC26" i="49"/>
  <c r="Y26" i="49"/>
  <c r="S26" i="49" a="1"/>
  <c r="S26" i="49" s="1"/>
  <c r="AD25" i="49"/>
  <c r="AC25" i="49"/>
  <c r="Y25" i="49"/>
  <c r="S25" i="49" a="1"/>
  <c r="S25" i="49" s="1"/>
  <c r="R24" i="49"/>
  <c r="AD23" i="49"/>
  <c r="AB23" i="49"/>
  <c r="Y23" i="49"/>
  <c r="R23" i="49"/>
  <c r="AD22" i="49"/>
  <c r="AB22" i="49"/>
  <c r="Y22" i="49"/>
  <c r="R22" i="49"/>
  <c r="R21" i="49"/>
  <c r="AD20" i="49"/>
  <c r="AC20" i="49"/>
  <c r="Y20" i="49"/>
  <c r="U20" i="43" s="1"/>
  <c r="R20" i="49"/>
  <c r="AD19" i="49"/>
  <c r="AC19" i="49"/>
  <c r="AB19" i="49"/>
  <c r="AA19" i="49"/>
  <c r="Y19" i="49"/>
  <c r="R19" i="49"/>
  <c r="AP35" i="55"/>
  <c r="AQ35" i="55"/>
  <c r="AR35" i="55"/>
  <c r="AP37" i="55"/>
  <c r="AQ37" i="55"/>
  <c r="AR37" i="55"/>
  <c r="AP38" i="55"/>
  <c r="AQ38" i="55"/>
  <c r="AR38" i="55"/>
  <c r="AP39" i="55"/>
  <c r="AQ39" i="55"/>
  <c r="AR39" i="55"/>
  <c r="AK39" i="55"/>
  <c r="AJ39" i="55" s="1"/>
  <c r="AK38" i="55"/>
  <c r="AJ38" i="55" s="1"/>
  <c r="AK37" i="55"/>
  <c r="AJ37" i="55" s="1"/>
  <c r="AK36" i="55"/>
  <c r="AJ36" i="55" s="1"/>
  <c r="AK35" i="55"/>
  <c r="AJ35" i="55" s="1"/>
  <c r="AK34" i="55"/>
  <c r="AJ34" i="55" s="1"/>
  <c r="AK33" i="55"/>
  <c r="AJ33" i="55" s="1"/>
  <c r="AP36" i="55"/>
  <c r="AC40" i="55"/>
  <c r="AP35" i="54"/>
  <c r="AQ35" i="54"/>
  <c r="AR35" i="54"/>
  <c r="AQ36" i="54"/>
  <c r="AP37" i="54"/>
  <c r="AQ37" i="54"/>
  <c r="AR37" i="54"/>
  <c r="AP38" i="54"/>
  <c r="AQ38" i="54"/>
  <c r="AR38" i="54"/>
  <c r="AP39" i="54"/>
  <c r="AQ39" i="54"/>
  <c r="AR39" i="54"/>
  <c r="AK35" i="54"/>
  <c r="AJ35" i="54" s="1"/>
  <c r="AK36" i="54"/>
  <c r="AJ36" i="54" s="1"/>
  <c r="AK37" i="54"/>
  <c r="AJ37" i="54" s="1"/>
  <c r="AK38" i="54"/>
  <c r="AJ38" i="54" s="1"/>
  <c r="AK39" i="54"/>
  <c r="AJ39" i="54" s="1"/>
  <c r="AR36" i="54"/>
  <c r="AP35" i="53"/>
  <c r="AQ35" i="53"/>
  <c r="AR35" i="53"/>
  <c r="AQ36" i="53"/>
  <c r="AR36" i="53"/>
  <c r="AP37" i="53"/>
  <c r="AQ37" i="53"/>
  <c r="AR37" i="53"/>
  <c r="AP38" i="53"/>
  <c r="AQ38" i="53"/>
  <c r="AR38" i="53"/>
  <c r="AP39" i="53"/>
  <c r="AQ39" i="53"/>
  <c r="AR39" i="53"/>
  <c r="AK35" i="53"/>
  <c r="AJ35" i="53" s="1"/>
  <c r="AK36" i="53"/>
  <c r="AJ36" i="53" s="1"/>
  <c r="AK37" i="53"/>
  <c r="AJ37" i="53" s="1"/>
  <c r="AK38" i="53"/>
  <c r="AJ38" i="53" s="1"/>
  <c r="AK39" i="53"/>
  <c r="AJ39" i="53" s="1"/>
  <c r="AP36" i="53"/>
  <c r="AC40" i="53"/>
  <c r="AB40" i="53"/>
  <c r="AK35" i="52"/>
  <c r="AJ35" i="52" s="1"/>
  <c r="AK37" i="52"/>
  <c r="AJ37" i="52" s="1"/>
  <c r="AK38" i="52"/>
  <c r="AJ38" i="52" s="1"/>
  <c r="AK39" i="52"/>
  <c r="AJ39" i="52" s="1"/>
  <c r="AP37" i="52"/>
  <c r="AQ37" i="52"/>
  <c r="AR37" i="52"/>
  <c r="AP38" i="52"/>
  <c r="AQ38" i="52"/>
  <c r="AR38" i="52"/>
  <c r="AP39" i="52"/>
  <c r="AQ39" i="52"/>
  <c r="AR39" i="52"/>
  <c r="AQ36" i="52"/>
  <c r="AP37" i="51"/>
  <c r="AQ37" i="51"/>
  <c r="AR37" i="51"/>
  <c r="AP38" i="51"/>
  <c r="AQ38" i="51"/>
  <c r="AR38" i="51"/>
  <c r="AP39" i="51"/>
  <c r="AQ39" i="51"/>
  <c r="AR39" i="51"/>
  <c r="AK37" i="51"/>
  <c r="AJ37" i="51" s="1"/>
  <c r="AK38" i="51"/>
  <c r="AJ38" i="51" s="1"/>
  <c r="AK39" i="51"/>
  <c r="AJ39" i="51" s="1"/>
  <c r="AR36" i="51"/>
  <c r="AC40" i="51"/>
  <c r="AP37" i="50"/>
  <c r="AQ37" i="50"/>
  <c r="AR37" i="50"/>
  <c r="AP38" i="50"/>
  <c r="AQ38" i="50"/>
  <c r="AR38" i="50"/>
  <c r="AP39" i="50"/>
  <c r="AQ39" i="50"/>
  <c r="AR39" i="50"/>
  <c r="AP37" i="48"/>
  <c r="AQ37" i="48"/>
  <c r="AR37" i="48"/>
  <c r="AP38" i="48"/>
  <c r="AQ38" i="48"/>
  <c r="AR38" i="48"/>
  <c r="AP39" i="48"/>
  <c r="AQ39" i="48"/>
  <c r="AR39" i="48"/>
  <c r="AP37" i="47"/>
  <c r="AQ37" i="47"/>
  <c r="AR37" i="47"/>
  <c r="AP38" i="47"/>
  <c r="AQ38" i="47"/>
  <c r="AR38" i="47"/>
  <c r="AP39" i="47"/>
  <c r="AQ39" i="47"/>
  <c r="AR39" i="47"/>
  <c r="AP37" i="46"/>
  <c r="AQ37" i="46"/>
  <c r="AR37" i="46"/>
  <c r="AP38" i="46"/>
  <c r="AQ38" i="46"/>
  <c r="AR38" i="46"/>
  <c r="AP39" i="46"/>
  <c r="AQ39" i="46"/>
  <c r="AR39" i="46"/>
  <c r="AK37" i="50"/>
  <c r="AJ37" i="50" s="1"/>
  <c r="AK38" i="50"/>
  <c r="AJ38" i="50" s="1"/>
  <c r="AK39" i="50"/>
  <c r="AJ39" i="50" s="1"/>
  <c r="AR34" i="50"/>
  <c r="AB40" i="50"/>
  <c r="AJ34" i="44"/>
  <c r="AK37" i="48"/>
  <c r="AJ37" i="48" s="1"/>
  <c r="AK38" i="48"/>
  <c r="AJ38" i="48" s="1"/>
  <c r="AK39" i="48"/>
  <c r="AJ39" i="48" s="1"/>
  <c r="AK37" i="47"/>
  <c r="AJ37" i="47" s="1"/>
  <c r="AK38" i="47"/>
  <c r="AJ38" i="47" s="1"/>
  <c r="AK39" i="47"/>
  <c r="AJ39" i="47" s="1"/>
  <c r="H5" i="45"/>
  <c r="T31" i="46" l="1"/>
  <c r="X31" i="46" s="1"/>
  <c r="W31" i="46"/>
  <c r="AD38" i="51"/>
  <c r="AH12" i="41"/>
  <c r="AD38" i="48"/>
  <c r="AD38" i="47"/>
  <c r="AD39" i="53"/>
  <c r="AD37" i="47"/>
  <c r="AD34" i="53"/>
  <c r="AD37" i="53"/>
  <c r="AD39" i="54"/>
  <c r="AD33" i="47"/>
  <c r="AD39" i="47"/>
  <c r="AD34" i="54"/>
  <c r="AD35" i="47"/>
  <c r="AD35" i="44"/>
  <c r="AD34" i="55"/>
  <c r="AD39" i="55"/>
  <c r="AD38" i="54"/>
  <c r="AD35" i="54"/>
  <c r="AD33" i="53"/>
  <c r="AD37" i="52"/>
  <c r="AD36" i="47"/>
  <c r="AD34" i="46"/>
  <c r="W28" i="49"/>
  <c r="X28" i="49"/>
  <c r="O28" i="54"/>
  <c r="O28" i="53"/>
  <c r="O28" i="51"/>
  <c r="O28" i="55"/>
  <c r="O28" i="50"/>
  <c r="O28" i="52"/>
  <c r="O28" i="43"/>
  <c r="U19" i="53"/>
  <c r="U19" i="54"/>
  <c r="U19" i="55"/>
  <c r="U19" i="52"/>
  <c r="U19" i="43"/>
  <c r="U19" i="51"/>
  <c r="U19" i="50"/>
  <c r="U25" i="53"/>
  <c r="U25" i="55"/>
  <c r="U25" i="54"/>
  <c r="U25" i="52"/>
  <c r="U25" i="51"/>
  <c r="U25" i="50"/>
  <c r="U25" i="43"/>
  <c r="U26" i="55"/>
  <c r="U26" i="53"/>
  <c r="U26" i="54"/>
  <c r="U26" i="52"/>
  <c r="U26" i="50"/>
  <c r="U26" i="43"/>
  <c r="U26" i="51"/>
  <c r="U27" i="55"/>
  <c r="U27" i="54"/>
  <c r="U27" i="53"/>
  <c r="U27" i="51"/>
  <c r="U27" i="52"/>
  <c r="U27" i="50"/>
  <c r="O29" i="53"/>
  <c r="W29" i="49"/>
  <c r="X29" i="49"/>
  <c r="O29" i="54"/>
  <c r="O29" i="43"/>
  <c r="O29" i="51"/>
  <c r="O29" i="50"/>
  <c r="O29" i="55"/>
  <c r="O29" i="52"/>
  <c r="O30" i="54"/>
  <c r="O30" i="53"/>
  <c r="O30" i="51"/>
  <c r="O30" i="50"/>
  <c r="O30" i="52"/>
  <c r="O30" i="43"/>
  <c r="O30" i="55"/>
  <c r="U32" i="54"/>
  <c r="U32" i="53"/>
  <c r="U32" i="55"/>
  <c r="U32" i="50"/>
  <c r="U32" i="51"/>
  <c r="U32" i="43"/>
  <c r="U32" i="52"/>
  <c r="AE38" i="41"/>
  <c r="N38" i="41"/>
  <c r="R38" i="41"/>
  <c r="O38" i="41"/>
  <c r="S38" i="41"/>
  <c r="P38" i="41"/>
  <c r="T38" i="41"/>
  <c r="Q38" i="41"/>
  <c r="U38" i="41"/>
  <c r="AE34" i="41"/>
  <c r="N34" i="41"/>
  <c r="R34" i="41"/>
  <c r="O34" i="41"/>
  <c r="S34" i="41"/>
  <c r="P34" i="41"/>
  <c r="T34" i="41"/>
  <c r="Q34" i="41"/>
  <c r="U34" i="41"/>
  <c r="AE30" i="41"/>
  <c r="AE26" i="41"/>
  <c r="AE22" i="41"/>
  <c r="X22" i="41"/>
  <c r="Z22" i="41"/>
  <c r="D19" i="41"/>
  <c r="H19" i="41" s="1"/>
  <c r="S19" i="41" s="1"/>
  <c r="D15" i="41"/>
  <c r="H15" i="41" s="1"/>
  <c r="R15" i="41" s="1"/>
  <c r="S15" i="41"/>
  <c r="Q15" i="41"/>
  <c r="T15" i="41"/>
  <c r="N15" i="41"/>
  <c r="P15" i="41"/>
  <c r="D11" i="41"/>
  <c r="H11" i="41" s="1"/>
  <c r="P11" i="41" s="1"/>
  <c r="Q11" i="41"/>
  <c r="T11" i="41"/>
  <c r="R11" i="41"/>
  <c r="D7" i="41"/>
  <c r="H7" i="41" s="1"/>
  <c r="R7" i="41" s="1"/>
  <c r="N7" i="41"/>
  <c r="U28" i="53"/>
  <c r="U28" i="55"/>
  <c r="U28" i="54"/>
  <c r="U28" i="51"/>
  <c r="U28" i="43"/>
  <c r="U28" i="50"/>
  <c r="U28" i="52"/>
  <c r="U29" i="54"/>
  <c r="U29" i="53"/>
  <c r="U29" i="51"/>
  <c r="U29" i="50"/>
  <c r="U29" i="43"/>
  <c r="U29" i="52"/>
  <c r="U29" i="55"/>
  <c r="U30" i="54"/>
  <c r="U30" i="53"/>
  <c r="U30" i="55"/>
  <c r="U30" i="51"/>
  <c r="U30" i="50"/>
  <c r="U30" i="52"/>
  <c r="U30" i="43"/>
  <c r="AE37" i="41"/>
  <c r="N37" i="41"/>
  <c r="R37" i="41"/>
  <c r="O37" i="41"/>
  <c r="S37" i="41"/>
  <c r="P37" i="41"/>
  <c r="T37" i="41"/>
  <c r="Q37" i="41"/>
  <c r="U37" i="41"/>
  <c r="AE33" i="41"/>
  <c r="N33" i="41"/>
  <c r="R33" i="41"/>
  <c r="O33" i="41"/>
  <c r="S33" i="41"/>
  <c r="P33" i="41"/>
  <c r="T33" i="41"/>
  <c r="Q33" i="41"/>
  <c r="U33" i="41"/>
  <c r="AE21" i="41"/>
  <c r="AE18" i="41"/>
  <c r="AE14" i="41"/>
  <c r="AE10" i="41"/>
  <c r="AE6" i="41"/>
  <c r="U27" i="43"/>
  <c r="U20" i="54"/>
  <c r="U20" i="55"/>
  <c r="U20" i="53"/>
  <c r="U20" i="50"/>
  <c r="U20" i="51"/>
  <c r="U20" i="52"/>
  <c r="W31" i="49"/>
  <c r="X31" i="49"/>
  <c r="O31" i="54"/>
  <c r="O31" i="53"/>
  <c r="O31" i="51"/>
  <c r="O31" i="50"/>
  <c r="O31" i="43"/>
  <c r="O31" i="55"/>
  <c r="O31" i="52"/>
  <c r="D5" i="41"/>
  <c r="AK5" i="43"/>
  <c r="D36" i="41"/>
  <c r="H36" i="41" s="1"/>
  <c r="N36" i="41"/>
  <c r="R36" i="41"/>
  <c r="O36" i="41"/>
  <c r="S36" i="41"/>
  <c r="P36" i="41"/>
  <c r="T36" i="41"/>
  <c r="Q36" i="41"/>
  <c r="U36" i="41"/>
  <c r="D28" i="41"/>
  <c r="H28" i="41" s="1"/>
  <c r="O28" i="41"/>
  <c r="S28" i="41"/>
  <c r="Q28" i="41"/>
  <c r="U28" i="41"/>
  <c r="T28" i="41"/>
  <c r="N28" i="41"/>
  <c r="P28" i="41"/>
  <c r="R28" i="41"/>
  <c r="D24" i="41"/>
  <c r="H24" i="41" s="1"/>
  <c r="P24" i="41" s="1"/>
  <c r="D17" i="41"/>
  <c r="H17" i="41" s="1"/>
  <c r="S17" i="41" s="1"/>
  <c r="Q17" i="41"/>
  <c r="P17" i="41"/>
  <c r="AE13" i="41"/>
  <c r="S13" i="41"/>
  <c r="Q13" i="41"/>
  <c r="T13" i="41"/>
  <c r="N13" i="41"/>
  <c r="P13" i="41"/>
  <c r="R13" i="41"/>
  <c r="D9" i="41"/>
  <c r="H9" i="41" s="1"/>
  <c r="S9" i="41"/>
  <c r="Q9" i="41"/>
  <c r="T9" i="41"/>
  <c r="N9" i="41"/>
  <c r="P9" i="41"/>
  <c r="R9" i="41"/>
  <c r="U22" i="53"/>
  <c r="U22" i="55"/>
  <c r="U22" i="54"/>
  <c r="U22" i="52"/>
  <c r="U22" i="50"/>
  <c r="U22" i="51"/>
  <c r="U22" i="43"/>
  <c r="U23" i="55"/>
  <c r="U23" i="54"/>
  <c r="U23" i="53"/>
  <c r="U23" i="50"/>
  <c r="U23" i="51"/>
  <c r="U23" i="52"/>
  <c r="U23" i="43"/>
  <c r="W25" i="49"/>
  <c r="X25" i="49"/>
  <c r="O25" i="55"/>
  <c r="O25" i="54"/>
  <c r="O25" i="43"/>
  <c r="O25" i="53"/>
  <c r="O25" i="52"/>
  <c r="O25" i="51"/>
  <c r="O25" i="50"/>
  <c r="O26" i="55"/>
  <c r="W26" i="49"/>
  <c r="X26" i="49"/>
  <c r="O26" i="50"/>
  <c r="O26" i="53"/>
  <c r="O26" i="54"/>
  <c r="O26" i="51"/>
  <c r="O26" i="52"/>
  <c r="O26" i="43"/>
  <c r="W27" i="49"/>
  <c r="X27" i="49"/>
  <c r="O27" i="55"/>
  <c r="O27" i="51"/>
  <c r="O27" i="54"/>
  <c r="O27" i="53"/>
  <c r="O27" i="43"/>
  <c r="O27" i="52"/>
  <c r="O27" i="50"/>
  <c r="U31" i="54"/>
  <c r="U31" i="55"/>
  <c r="U31" i="53"/>
  <c r="U31" i="52"/>
  <c r="U31" i="50"/>
  <c r="U31" i="43"/>
  <c r="U31" i="51"/>
  <c r="O32" i="54"/>
  <c r="O32" i="53"/>
  <c r="O32" i="55"/>
  <c r="O32" i="50"/>
  <c r="O32" i="51"/>
  <c r="O32" i="43"/>
  <c r="O32" i="52"/>
  <c r="AE39" i="41"/>
  <c r="N39" i="41"/>
  <c r="R39" i="41"/>
  <c r="O39" i="41"/>
  <c r="S39" i="41"/>
  <c r="P39" i="41"/>
  <c r="T39" i="41"/>
  <c r="Q39" i="41"/>
  <c r="U39" i="41"/>
  <c r="AE35" i="41"/>
  <c r="N35" i="41"/>
  <c r="R35" i="41"/>
  <c r="O35" i="41"/>
  <c r="S35" i="41"/>
  <c r="P35" i="41"/>
  <c r="T35" i="41"/>
  <c r="Q35" i="41"/>
  <c r="U35" i="41"/>
  <c r="D31" i="41"/>
  <c r="H31" i="41" s="1"/>
  <c r="N31" i="41" s="1"/>
  <c r="R31" i="41"/>
  <c r="O31" i="41"/>
  <c r="S31" i="41"/>
  <c r="P31" i="41"/>
  <c r="T31" i="41"/>
  <c r="Q31" i="41"/>
  <c r="U31" i="41"/>
  <c r="D27" i="41"/>
  <c r="H27" i="41" s="1"/>
  <c r="S27" i="41" s="1"/>
  <c r="O27" i="41"/>
  <c r="Q27" i="41"/>
  <c r="N27" i="41"/>
  <c r="R27" i="41"/>
  <c r="D23" i="41"/>
  <c r="H23" i="41" s="1"/>
  <c r="U23" i="41" s="1"/>
  <c r="Z23" i="41"/>
  <c r="X23" i="41"/>
  <c r="AE20" i="41"/>
  <c r="Q20" i="41"/>
  <c r="U20" i="41"/>
  <c r="N20" i="41"/>
  <c r="P20" i="41"/>
  <c r="R20" i="41"/>
  <c r="AE16" i="41"/>
  <c r="AE12" i="41"/>
  <c r="D8" i="41"/>
  <c r="H8" i="41" s="1"/>
  <c r="Q8" i="41"/>
  <c r="N8" i="41"/>
  <c r="P8" i="41"/>
  <c r="R8" i="41"/>
  <c r="AD33" i="46"/>
  <c r="AD35" i="52"/>
  <c r="AD33" i="55"/>
  <c r="AD35" i="53"/>
  <c r="AD33" i="54"/>
  <c r="AD38" i="55"/>
  <c r="AA36" i="54"/>
  <c r="AD36" i="54" s="1"/>
  <c r="AD37" i="54"/>
  <c r="AD37" i="55"/>
  <c r="AA36" i="55"/>
  <c r="AD36" i="55" s="1"/>
  <c r="AA35" i="55"/>
  <c r="AD35" i="55" s="1"/>
  <c r="AD33" i="52"/>
  <c r="AD36" i="52"/>
  <c r="AD38" i="52"/>
  <c r="AA34" i="52"/>
  <c r="AD34" i="52" s="1"/>
  <c r="AA39" i="52"/>
  <c r="AD39" i="52" s="1"/>
  <c r="AD33" i="51"/>
  <c r="AD37" i="51"/>
  <c r="AD39" i="51"/>
  <c r="AD36" i="51"/>
  <c r="AD34" i="51"/>
  <c r="AA35" i="51"/>
  <c r="AD35" i="51" s="1"/>
  <c r="AD34" i="50"/>
  <c r="AD33" i="50"/>
  <c r="AD36" i="50"/>
  <c r="AA35" i="50"/>
  <c r="AD35" i="50" s="1"/>
  <c r="AD37" i="50"/>
  <c r="AD39" i="50"/>
  <c r="AD38" i="50"/>
  <c r="AA33" i="48"/>
  <c r="AD33" i="48" s="1"/>
  <c r="AD39" i="48"/>
  <c r="AD35" i="48"/>
  <c r="AD36" i="48"/>
  <c r="AD37" i="48"/>
  <c r="AA34" i="48"/>
  <c r="AD34" i="48" s="1"/>
  <c r="AD34" i="47"/>
  <c r="AD39" i="44"/>
  <c r="AA36" i="46"/>
  <c r="AD36" i="46" s="1"/>
  <c r="AA38" i="46"/>
  <c r="AD38" i="46" s="1"/>
  <c r="AD37" i="46"/>
  <c r="AD35" i="46"/>
  <c r="AD39" i="46"/>
  <c r="AD33" i="44"/>
  <c r="AD38" i="44"/>
  <c r="AD34" i="44"/>
  <c r="AA37" i="44"/>
  <c r="AD37" i="44" s="1"/>
  <c r="AD36" i="44"/>
  <c r="AA34" i="43"/>
  <c r="AD34" i="43" s="1"/>
  <c r="AA36" i="43"/>
  <c r="AD36" i="43" s="1"/>
  <c r="AD39" i="43"/>
  <c r="AD35" i="43"/>
  <c r="AD37" i="43"/>
  <c r="AA38" i="43"/>
  <c r="AD38" i="43" s="1"/>
  <c r="AD33" i="43"/>
  <c r="AE32" i="41"/>
  <c r="AG32" i="41"/>
  <c r="AH32" i="41" s="1"/>
  <c r="AH29" i="41"/>
  <c r="AG29" i="41"/>
  <c r="AG28" i="41"/>
  <c r="AH28" i="41" s="1"/>
  <c r="Z30" i="49"/>
  <c r="AG30" i="49" s="1"/>
  <c r="AH30" i="49" s="1"/>
  <c r="D30" i="41"/>
  <c r="H30" i="41" s="1"/>
  <c r="AG13" i="41"/>
  <c r="AH13" i="41" s="1"/>
  <c r="D38" i="41"/>
  <c r="H38" i="41" s="1"/>
  <c r="D26" i="41"/>
  <c r="H26" i="41" s="1"/>
  <c r="AH5" i="41"/>
  <c r="AG24" i="41"/>
  <c r="AH24" i="41" s="1"/>
  <c r="AF21" i="41"/>
  <c r="AH21" i="41" s="1"/>
  <c r="AH19" i="41"/>
  <c r="AF17" i="41"/>
  <c r="AH17" i="41" s="1"/>
  <c r="AH15" i="41"/>
  <c r="AH11" i="41"/>
  <c r="AF9" i="41"/>
  <c r="AH9" i="41" s="1"/>
  <c r="AH25" i="41"/>
  <c r="AH27" i="41"/>
  <c r="D37" i="41"/>
  <c r="H37" i="41" s="1"/>
  <c r="D22" i="41"/>
  <c r="H22" i="41" s="1"/>
  <c r="AH26" i="41"/>
  <c r="AH22" i="41"/>
  <c r="AE8" i="41"/>
  <c r="AH23" i="41"/>
  <c r="AH14" i="41"/>
  <c r="AH7" i="41"/>
  <c r="D12" i="41"/>
  <c r="H12" i="41" s="1"/>
  <c r="AH10" i="41"/>
  <c r="AH8" i="41"/>
  <c r="D34" i="41"/>
  <c r="H34" i="41" s="1"/>
  <c r="AE24" i="41"/>
  <c r="AH20" i="41"/>
  <c r="AE5" i="41"/>
  <c r="AE36" i="41"/>
  <c r="AE29" i="41"/>
  <c r="D29" i="41"/>
  <c r="H29" i="41" s="1"/>
  <c r="AE25" i="41"/>
  <c r="D25" i="41"/>
  <c r="H25" i="41" s="1"/>
  <c r="AE28" i="41"/>
  <c r="D18" i="41"/>
  <c r="H18" i="41" s="1"/>
  <c r="D10" i="41"/>
  <c r="H10" i="41" s="1"/>
  <c r="AE31" i="41"/>
  <c r="AE27" i="41"/>
  <c r="AE23" i="41"/>
  <c r="AE19" i="41"/>
  <c r="AE15" i="41"/>
  <c r="AE11" i="41"/>
  <c r="AE7" i="41"/>
  <c r="D14" i="41"/>
  <c r="H14" i="41" s="1"/>
  <c r="D6" i="41"/>
  <c r="H6" i="41" s="1"/>
  <c r="D21" i="41"/>
  <c r="H21" i="41" s="1"/>
  <c r="AE17" i="41"/>
  <c r="AE9" i="41"/>
  <c r="D39" i="41"/>
  <c r="H39" i="41" s="1"/>
  <c r="D35" i="41"/>
  <c r="H35" i="41" s="1"/>
  <c r="D32" i="41"/>
  <c r="H32" i="41" s="1"/>
  <c r="O32" i="41" s="1"/>
  <c r="D16" i="41"/>
  <c r="H16" i="41" s="1"/>
  <c r="L11" i="41"/>
  <c r="Z11" i="41" s="1"/>
  <c r="K11" i="41"/>
  <c r="W11" i="41" s="1"/>
  <c r="X11" i="41" s="1"/>
  <c r="L19" i="41"/>
  <c r="Z19" i="41" s="1"/>
  <c r="K19" i="41"/>
  <c r="W19" i="41" s="1"/>
  <c r="X19" i="41" s="1"/>
  <c r="L27" i="41"/>
  <c r="Z27" i="41" s="1"/>
  <c r="K27" i="41"/>
  <c r="K8" i="41"/>
  <c r="L8" i="41"/>
  <c r="Z8" i="41" s="1"/>
  <c r="K12" i="41"/>
  <c r="W12" i="41" s="1"/>
  <c r="X12" i="41" s="1"/>
  <c r="L12" i="41"/>
  <c r="Z12" i="41" s="1"/>
  <c r="K16" i="41"/>
  <c r="L16" i="41"/>
  <c r="Z16" i="41" s="1"/>
  <c r="K20" i="41"/>
  <c r="L20" i="41"/>
  <c r="Z20" i="41" s="1"/>
  <c r="K24" i="41"/>
  <c r="L24" i="41"/>
  <c r="K28" i="41"/>
  <c r="L28" i="41"/>
  <c r="Z28" i="41" s="1"/>
  <c r="K32" i="41"/>
  <c r="L32" i="41"/>
  <c r="L7" i="41"/>
  <c r="Z7" i="41" s="1"/>
  <c r="K7" i="41"/>
  <c r="W7" i="41" s="1"/>
  <c r="X7" i="41" s="1"/>
  <c r="L15" i="41"/>
  <c r="Z15" i="41" s="1"/>
  <c r="K15" i="41"/>
  <c r="W15" i="41" s="1"/>
  <c r="X15" i="41" s="1"/>
  <c r="L23" i="41"/>
  <c r="K23" i="41"/>
  <c r="K5" i="41"/>
  <c r="W5" i="41" s="1"/>
  <c r="X5" i="41" s="1"/>
  <c r="L5" i="41"/>
  <c r="Z5" i="41" s="1"/>
  <c r="L9" i="41"/>
  <c r="Z9" i="41" s="1"/>
  <c r="K9" i="41"/>
  <c r="W9" i="41" s="1"/>
  <c r="X9" i="41" s="1"/>
  <c r="L13" i="41"/>
  <c r="Z13" i="41" s="1"/>
  <c r="K13" i="41"/>
  <c r="W13" i="41" s="1"/>
  <c r="X13" i="41" s="1"/>
  <c r="L17" i="41"/>
  <c r="Z17" i="41" s="1"/>
  <c r="K17" i="41"/>
  <c r="W17" i="41" s="1"/>
  <c r="X17" i="41" s="1"/>
  <c r="L21" i="41"/>
  <c r="K21" i="41"/>
  <c r="L25" i="41"/>
  <c r="Z25" i="41" s="1"/>
  <c r="K25" i="41"/>
  <c r="L29" i="41"/>
  <c r="Z29" i="41" s="1"/>
  <c r="K29" i="41"/>
  <c r="L33" i="41"/>
  <c r="Z33" i="41" s="1"/>
  <c r="K33" i="41"/>
  <c r="W33" i="41" s="1"/>
  <c r="X33" i="41" s="1"/>
  <c r="L31" i="41"/>
  <c r="Z31" i="41" s="1"/>
  <c r="K31" i="41"/>
  <c r="K6" i="41"/>
  <c r="W6" i="41" s="1"/>
  <c r="X6" i="41" s="1"/>
  <c r="L6" i="41"/>
  <c r="Z6" i="41" s="1"/>
  <c r="K10" i="41"/>
  <c r="W10" i="41" s="1"/>
  <c r="X10" i="41" s="1"/>
  <c r="L10" i="41"/>
  <c r="Z10" i="41" s="1"/>
  <c r="K14" i="41"/>
  <c r="W14" i="41" s="1"/>
  <c r="X14" i="41" s="1"/>
  <c r="L14" i="41"/>
  <c r="Z14" i="41" s="1"/>
  <c r="K18" i="41"/>
  <c r="W18" i="41" s="1"/>
  <c r="X18" i="41" s="1"/>
  <c r="L18" i="41"/>
  <c r="Z18" i="41" s="1"/>
  <c r="K22" i="41"/>
  <c r="L22" i="41"/>
  <c r="K26" i="41"/>
  <c r="L26" i="41"/>
  <c r="Z26" i="41" s="1"/>
  <c r="K30" i="41"/>
  <c r="W30" i="41" s="1"/>
  <c r="X30" i="41" s="1"/>
  <c r="L30" i="41"/>
  <c r="Z30" i="41" s="1"/>
  <c r="K34" i="41"/>
  <c r="W34" i="41" s="1"/>
  <c r="X34" i="41" s="1"/>
  <c r="L34" i="41"/>
  <c r="Z34" i="41" s="1"/>
  <c r="K39" i="41"/>
  <c r="W39" i="41" s="1"/>
  <c r="X39" i="41" s="1"/>
  <c r="L39" i="41"/>
  <c r="Z39" i="41" s="1"/>
  <c r="L38" i="41"/>
  <c r="Z38" i="41" s="1"/>
  <c r="K38" i="41"/>
  <c r="W38" i="41" s="1"/>
  <c r="X38" i="41" s="1"/>
  <c r="K37" i="41"/>
  <c r="W37" i="41" s="1"/>
  <c r="X37" i="41" s="1"/>
  <c r="L37" i="41"/>
  <c r="Z37" i="41" s="1"/>
  <c r="L36" i="41"/>
  <c r="Z36" i="41" s="1"/>
  <c r="K36" i="41"/>
  <c r="W36" i="41" s="1"/>
  <c r="X36" i="41" s="1"/>
  <c r="K35" i="41"/>
  <c r="W35" i="41" s="1"/>
  <c r="X35" i="41" s="1"/>
  <c r="L35" i="41"/>
  <c r="Z35" i="41" s="1"/>
  <c r="Z31" i="49"/>
  <c r="Z28" i="49"/>
  <c r="S19" i="49" a="1"/>
  <c r="S19" i="49" s="1"/>
  <c r="S20" i="49" a="1"/>
  <c r="S20" i="49" s="1"/>
  <c r="S21" i="49" a="1"/>
  <c r="S21" i="49" s="1"/>
  <c r="S22" i="49" a="1"/>
  <c r="S22" i="49" s="1"/>
  <c r="S23" i="49" a="1"/>
  <c r="S23" i="49" s="1"/>
  <c r="S24" i="49" a="1"/>
  <c r="S24" i="49" s="1"/>
  <c r="Y24" i="49"/>
  <c r="AP36" i="52"/>
  <c r="AP36" i="54"/>
  <c r="AR36" i="55"/>
  <c r="AQ36" i="51"/>
  <c r="AQ36" i="55"/>
  <c r="AK36" i="52"/>
  <c r="AJ36" i="52" s="1"/>
  <c r="AB40" i="55"/>
  <c r="AC40" i="54"/>
  <c r="AB40" i="54"/>
  <c r="AQ34" i="50"/>
  <c r="AK34" i="50"/>
  <c r="AP34" i="50"/>
  <c r="AQ36" i="50"/>
  <c r="AP36" i="50"/>
  <c r="AP36" i="51"/>
  <c r="AK36" i="50"/>
  <c r="AJ36" i="50" s="1"/>
  <c r="AK36" i="51"/>
  <c r="AJ36" i="51" s="1"/>
  <c r="AR36" i="52"/>
  <c r="AR36" i="50"/>
  <c r="AJ34" i="51"/>
  <c r="AB40" i="52"/>
  <c r="AC40" i="52"/>
  <c r="AK35" i="51"/>
  <c r="AJ35" i="51" s="1"/>
  <c r="AB40" i="51"/>
  <c r="AC40" i="50"/>
  <c r="I5" i="45"/>
  <c r="T19" i="41" l="1"/>
  <c r="R19" i="41"/>
  <c r="Q19" i="41"/>
  <c r="P23" i="41"/>
  <c r="Q23" i="41"/>
  <c r="N23" i="41"/>
  <c r="T23" i="41"/>
  <c r="S23" i="41"/>
  <c r="R23" i="41"/>
  <c r="Q7" i="41"/>
  <c r="P7" i="41"/>
  <c r="S7" i="41"/>
  <c r="T7" i="41"/>
  <c r="N24" i="41"/>
  <c r="R24" i="41"/>
  <c r="Q24" i="41"/>
  <c r="Z32" i="49"/>
  <c r="V30" i="48"/>
  <c r="AA30" i="48" s="1"/>
  <c r="AD30" i="48" s="1"/>
  <c r="V30" i="43"/>
  <c r="AA30" i="43" s="1"/>
  <c r="AD30" i="43" s="1"/>
  <c r="V30" i="46"/>
  <c r="AA30" i="46" s="1"/>
  <c r="AD30" i="46" s="1"/>
  <c r="V30" i="50"/>
  <c r="AA30" i="50" s="1"/>
  <c r="AD30" i="50" s="1"/>
  <c r="V30" i="51"/>
  <c r="AA30" i="51" s="1"/>
  <c r="AD30" i="51" s="1"/>
  <c r="U24" i="55"/>
  <c r="U24" i="53"/>
  <c r="U24" i="54"/>
  <c r="U24" i="51"/>
  <c r="U24" i="52"/>
  <c r="U24" i="50"/>
  <c r="U24" i="43"/>
  <c r="U24" i="41"/>
  <c r="Z22" i="49"/>
  <c r="O22" i="53"/>
  <c r="V22" i="53" s="1"/>
  <c r="O22" i="54"/>
  <c r="V22" i="54" s="1"/>
  <c r="O22" i="55"/>
  <c r="V22" i="55" s="1"/>
  <c r="V22" i="47"/>
  <c r="O22" i="50"/>
  <c r="V22" i="50" s="1"/>
  <c r="O22" i="52"/>
  <c r="V22" i="52" s="1"/>
  <c r="V22" i="48"/>
  <c r="Y22" i="48" s="1"/>
  <c r="V22" i="46"/>
  <c r="Y22" i="46" s="1"/>
  <c r="O22" i="51"/>
  <c r="V22" i="51" s="1"/>
  <c r="AA22" i="51" s="1"/>
  <c r="O22" i="43"/>
  <c r="V22" i="43" s="1"/>
  <c r="V22" i="44"/>
  <c r="O22" i="41"/>
  <c r="R21" i="41"/>
  <c r="Q21" i="41"/>
  <c r="N21" i="41"/>
  <c r="U21" i="41"/>
  <c r="P21" i="41"/>
  <c r="T12" i="41"/>
  <c r="R12" i="41"/>
  <c r="S12" i="41"/>
  <c r="N12" i="41"/>
  <c r="Q12" i="41"/>
  <c r="P12" i="41"/>
  <c r="W21" i="49"/>
  <c r="X21" i="49"/>
  <c r="O21" i="55"/>
  <c r="O21" i="54"/>
  <c r="O21" i="52"/>
  <c r="O21" i="51"/>
  <c r="O21" i="50"/>
  <c r="O21" i="53"/>
  <c r="O21" i="43"/>
  <c r="O21" i="41"/>
  <c r="S6" i="41"/>
  <c r="T6" i="41"/>
  <c r="R6" i="41"/>
  <c r="N6" i="41"/>
  <c r="Q6" i="41"/>
  <c r="P6" i="41"/>
  <c r="O25" i="41"/>
  <c r="R25" i="41"/>
  <c r="Q25" i="41"/>
  <c r="N25" i="41"/>
  <c r="U25" i="41"/>
  <c r="P25" i="41"/>
  <c r="T32" i="41"/>
  <c r="W24" i="49"/>
  <c r="X24" i="49"/>
  <c r="O24" i="54"/>
  <c r="O24" i="55"/>
  <c r="O24" i="53"/>
  <c r="O24" i="52"/>
  <c r="O24" i="51"/>
  <c r="O24" i="50"/>
  <c r="O24" i="43"/>
  <c r="O24" i="41"/>
  <c r="W20" i="49"/>
  <c r="X20" i="49"/>
  <c r="O20" i="55"/>
  <c r="O20" i="54"/>
  <c r="O20" i="53"/>
  <c r="O20" i="51"/>
  <c r="O20" i="50"/>
  <c r="O20" i="52"/>
  <c r="O20" i="43"/>
  <c r="O20" i="41"/>
  <c r="P16" i="41"/>
  <c r="R16" i="41"/>
  <c r="Q16" i="41"/>
  <c r="N16" i="41"/>
  <c r="Q14" i="41"/>
  <c r="P14" i="41"/>
  <c r="S14" i="41"/>
  <c r="T14" i="41"/>
  <c r="R14" i="41"/>
  <c r="N14" i="41"/>
  <c r="P10" i="41"/>
  <c r="S10" i="41"/>
  <c r="R10" i="41"/>
  <c r="T10" i="41"/>
  <c r="Q10" i="41"/>
  <c r="N10" i="41"/>
  <c r="R30" i="41"/>
  <c r="P30" i="41"/>
  <c r="O30" i="41"/>
  <c r="T30" i="41"/>
  <c r="S30" i="41"/>
  <c r="Q30" i="41"/>
  <c r="N30" i="41"/>
  <c r="U30" i="41"/>
  <c r="Q32" i="41"/>
  <c r="S26" i="41"/>
  <c r="Z23" i="49"/>
  <c r="O23" i="54"/>
  <c r="V23" i="54" s="1"/>
  <c r="O23" i="55"/>
  <c r="V23" i="55" s="1"/>
  <c r="O23" i="51"/>
  <c r="V23" i="51" s="1"/>
  <c r="V23" i="47"/>
  <c r="V23" i="44"/>
  <c r="O23" i="52"/>
  <c r="V23" i="52" s="1"/>
  <c r="V23" i="48"/>
  <c r="Y23" i="48" s="1"/>
  <c r="V23" i="46"/>
  <c r="Y23" i="46" s="1"/>
  <c r="O23" i="50"/>
  <c r="V23" i="50" s="1"/>
  <c r="O23" i="53"/>
  <c r="V23" i="53" s="1"/>
  <c r="O23" i="43"/>
  <c r="V23" i="43" s="1"/>
  <c r="O23" i="41"/>
  <c r="O19" i="53"/>
  <c r="V19" i="53" s="1"/>
  <c r="O19" i="54"/>
  <c r="V19" i="54" s="1"/>
  <c r="AA19" i="54" s="1"/>
  <c r="AD19" i="54" s="1"/>
  <c r="O19" i="52"/>
  <c r="V19" i="52" s="1"/>
  <c r="O19" i="50"/>
  <c r="V19" i="50" s="1"/>
  <c r="V19" i="48"/>
  <c r="AA19" i="48" s="1"/>
  <c r="AD19" i="48" s="1"/>
  <c r="O19" i="43"/>
  <c r="V19" i="43" s="1"/>
  <c r="AA19" i="43" s="1"/>
  <c r="AD19" i="43" s="1"/>
  <c r="O19" i="51"/>
  <c r="V19" i="51" s="1"/>
  <c r="AA19" i="51" s="1"/>
  <c r="AD19" i="51" s="1"/>
  <c r="V19" i="46"/>
  <c r="AA19" i="46" s="1"/>
  <c r="AD19" i="46" s="1"/>
  <c r="O19" i="55"/>
  <c r="V19" i="55" s="1"/>
  <c r="AA19" i="55" s="1"/>
  <c r="AD19" i="55" s="1"/>
  <c r="V19" i="47"/>
  <c r="V19" i="44"/>
  <c r="AA19" i="44" s="1"/>
  <c r="AD19" i="44" s="1"/>
  <c r="O19" i="41"/>
  <c r="T18" i="41"/>
  <c r="Q18" i="41"/>
  <c r="N18" i="41"/>
  <c r="P18" i="41"/>
  <c r="S18" i="41"/>
  <c r="R18" i="41"/>
  <c r="R29" i="41"/>
  <c r="T29" i="41"/>
  <c r="N29" i="41"/>
  <c r="S29" i="41"/>
  <c r="P29" i="41"/>
  <c r="Q29" i="41"/>
  <c r="O29" i="41"/>
  <c r="U29" i="41"/>
  <c r="U22" i="41"/>
  <c r="P22" i="41"/>
  <c r="T22" i="41"/>
  <c r="R22" i="41"/>
  <c r="S22" i="41"/>
  <c r="N22" i="41"/>
  <c r="Q22" i="41"/>
  <c r="Q26" i="41"/>
  <c r="P26" i="41"/>
  <c r="O26" i="41"/>
  <c r="U26" i="41"/>
  <c r="R26" i="41"/>
  <c r="N26" i="41"/>
  <c r="P27" i="41"/>
  <c r="U27" i="41"/>
  <c r="T25" i="54"/>
  <c r="T25" i="55"/>
  <c r="T25" i="53"/>
  <c r="T25" i="50"/>
  <c r="T25" i="52"/>
  <c r="T25" i="51"/>
  <c r="T25" i="43"/>
  <c r="S31" i="53"/>
  <c r="S31" i="54"/>
  <c r="S31" i="52"/>
  <c r="S31" i="51"/>
  <c r="S31" i="43"/>
  <c r="S31" i="50"/>
  <c r="S31" i="55"/>
  <c r="N11" i="41"/>
  <c r="S11" i="41"/>
  <c r="P19" i="41"/>
  <c r="U19" i="41"/>
  <c r="V30" i="53"/>
  <c r="AA30" i="53" s="1"/>
  <c r="AD30" i="53" s="1"/>
  <c r="T32" i="54"/>
  <c r="T32" i="53"/>
  <c r="T32" i="55"/>
  <c r="T32" i="51"/>
  <c r="T32" i="50"/>
  <c r="T32" i="52"/>
  <c r="T32" i="43"/>
  <c r="T26" i="54"/>
  <c r="T26" i="55"/>
  <c r="T26" i="53"/>
  <c r="T26" i="52"/>
  <c r="T26" i="51"/>
  <c r="T26" i="50"/>
  <c r="T26" i="43"/>
  <c r="S25" i="53"/>
  <c r="S25" i="54"/>
  <c r="S25" i="55"/>
  <c r="S25" i="51"/>
  <c r="S25" i="52"/>
  <c r="S25" i="50"/>
  <c r="S25" i="43"/>
  <c r="T26" i="41"/>
  <c r="V30" i="55"/>
  <c r="V30" i="47"/>
  <c r="T29" i="53"/>
  <c r="T29" i="54"/>
  <c r="T29" i="51"/>
  <c r="T29" i="50"/>
  <c r="T29" i="55"/>
  <c r="T29" i="43"/>
  <c r="T29" i="52"/>
  <c r="T27" i="41"/>
  <c r="S32" i="54"/>
  <c r="V32" i="54" s="1"/>
  <c r="S32" i="53"/>
  <c r="V32" i="53" s="1"/>
  <c r="S32" i="51"/>
  <c r="S32" i="50"/>
  <c r="S32" i="43"/>
  <c r="S32" i="55"/>
  <c r="S32" i="52"/>
  <c r="V32" i="46"/>
  <c r="Y32" i="46" s="1"/>
  <c r="T27" i="54"/>
  <c r="T27" i="55"/>
  <c r="T27" i="53"/>
  <c r="T27" i="51"/>
  <c r="T27" i="50"/>
  <c r="T27" i="52"/>
  <c r="T27" i="43"/>
  <c r="S26" i="55"/>
  <c r="S26" i="54"/>
  <c r="V26" i="54" s="1"/>
  <c r="S26" i="53"/>
  <c r="S26" i="50"/>
  <c r="S26" i="51"/>
  <c r="S26" i="52"/>
  <c r="S26" i="43"/>
  <c r="N17" i="41"/>
  <c r="T25" i="41"/>
  <c r="S25" i="41"/>
  <c r="N19" i="41"/>
  <c r="V30" i="54"/>
  <c r="AA30" i="54" s="1"/>
  <c r="AD30" i="54" s="1"/>
  <c r="S29" i="54"/>
  <c r="S29" i="53"/>
  <c r="S29" i="51"/>
  <c r="S29" i="50"/>
  <c r="S29" i="43"/>
  <c r="S29" i="52"/>
  <c r="S29" i="55"/>
  <c r="T28" i="54"/>
  <c r="T28" i="53"/>
  <c r="T28" i="51"/>
  <c r="T28" i="55"/>
  <c r="T28" i="43"/>
  <c r="T28" i="52"/>
  <c r="T28" i="50"/>
  <c r="S27" i="53"/>
  <c r="S27" i="54"/>
  <c r="S27" i="55"/>
  <c r="S27" i="52"/>
  <c r="S27" i="50"/>
  <c r="S27" i="51"/>
  <c r="S27" i="43"/>
  <c r="R17" i="41"/>
  <c r="T17" i="41"/>
  <c r="T31" i="54"/>
  <c r="T31" i="53"/>
  <c r="T31" i="55"/>
  <c r="T31" i="50"/>
  <c r="T31" i="43"/>
  <c r="T31" i="52"/>
  <c r="T31" i="51"/>
  <c r="V30" i="52"/>
  <c r="V30" i="44"/>
  <c r="S28" i="54"/>
  <c r="S28" i="53"/>
  <c r="S28" i="51"/>
  <c r="S28" i="52"/>
  <c r="S28" i="50"/>
  <c r="S28" i="43"/>
  <c r="S28" i="55"/>
  <c r="W29" i="55"/>
  <c r="X29" i="55" s="1"/>
  <c r="W22" i="51"/>
  <c r="X22" i="51" s="1"/>
  <c r="Y22" i="51"/>
  <c r="W25" i="50"/>
  <c r="X25" i="50" s="1"/>
  <c r="W29" i="50"/>
  <c r="X29" i="50" s="1"/>
  <c r="W27" i="50"/>
  <c r="X27" i="50" s="1"/>
  <c r="P32" i="41"/>
  <c r="R32" i="41"/>
  <c r="S32" i="41"/>
  <c r="N32" i="41"/>
  <c r="U32" i="41"/>
  <c r="AB32" i="49"/>
  <c r="Z26" i="49"/>
  <c r="AG26" i="49" s="1"/>
  <c r="AH26" i="49" s="1"/>
  <c r="Z25" i="49"/>
  <c r="AA25" i="49" s="1"/>
  <c r="Z27" i="49"/>
  <c r="AG27" i="49" s="1"/>
  <c r="AH27" i="49" s="1"/>
  <c r="Z29" i="49"/>
  <c r="AE30" i="49"/>
  <c r="AF30" i="49" s="1"/>
  <c r="Z21" i="49"/>
  <c r="Z24" i="49"/>
  <c r="V36" i="41"/>
  <c r="AA36" i="41" s="1"/>
  <c r="Y36" i="41"/>
  <c r="Y38" i="41"/>
  <c r="Y31" i="41"/>
  <c r="Y29" i="41"/>
  <c r="Y13" i="41"/>
  <c r="Y15" i="41"/>
  <c r="Y19" i="41"/>
  <c r="Y35" i="41"/>
  <c r="Y37" i="41"/>
  <c r="Y39" i="41"/>
  <c r="Y30" i="41"/>
  <c r="Y14" i="41"/>
  <c r="Y6" i="41"/>
  <c r="Y28" i="41"/>
  <c r="Y20" i="41"/>
  <c r="Y12" i="41"/>
  <c r="Y33" i="41"/>
  <c r="Y25" i="41"/>
  <c r="Y17" i="41"/>
  <c r="Y9" i="41"/>
  <c r="Y7" i="41"/>
  <c r="Y27" i="41"/>
  <c r="Y11" i="41"/>
  <c r="Y34" i="41"/>
  <c r="Y26" i="41"/>
  <c r="Y18" i="41"/>
  <c r="Y10" i="41"/>
  <c r="Y5" i="41"/>
  <c r="Y16" i="41"/>
  <c r="Y8" i="41"/>
  <c r="V35" i="41"/>
  <c r="AA35" i="41" s="1"/>
  <c r="V33" i="41"/>
  <c r="AA33" i="41" s="1"/>
  <c r="V39" i="41"/>
  <c r="AA39" i="41" s="1"/>
  <c r="V37" i="41"/>
  <c r="AA37" i="41" s="1"/>
  <c r="V38" i="41"/>
  <c r="AA38" i="41" s="1"/>
  <c r="V34" i="41"/>
  <c r="AA34" i="41" s="1"/>
  <c r="V28" i="41"/>
  <c r="W28" i="41" s="1"/>
  <c r="X28" i="41" s="1"/>
  <c r="V31" i="41"/>
  <c r="W31" i="41" s="1"/>
  <c r="X31" i="41" s="1"/>
  <c r="AE28" i="49"/>
  <c r="AA28" i="49"/>
  <c r="AG28" i="49"/>
  <c r="AH28" i="49" s="1"/>
  <c r="AB28" i="49"/>
  <c r="AE31" i="49"/>
  <c r="AA31" i="49"/>
  <c r="AB31" i="49"/>
  <c r="AG31" i="49"/>
  <c r="AH31" i="49" s="1"/>
  <c r="AG22" i="49"/>
  <c r="AH22" i="49" s="1"/>
  <c r="AC22" i="49"/>
  <c r="AE22" i="49"/>
  <c r="AA22" i="49"/>
  <c r="AG23" i="49"/>
  <c r="AH23" i="49" s="1"/>
  <c r="AC23" i="49"/>
  <c r="AE23" i="49"/>
  <c r="AA23" i="49"/>
  <c r="Z19" i="49"/>
  <c r="AJ34" i="50"/>
  <c r="V31" i="54" l="1"/>
  <c r="V32" i="52"/>
  <c r="AA32" i="46"/>
  <c r="V23" i="41"/>
  <c r="W23" i="41" s="1"/>
  <c r="AD32" i="49"/>
  <c r="AC32" i="49"/>
  <c r="AE32" i="49"/>
  <c r="AA32" i="49"/>
  <c r="AG32" i="49"/>
  <c r="AH32" i="49" s="1"/>
  <c r="V28" i="48"/>
  <c r="AA28" i="48" s="1"/>
  <c r="V29" i="47"/>
  <c r="AA29" i="47" s="1"/>
  <c r="V25" i="51"/>
  <c r="AA25" i="51" s="1"/>
  <c r="V27" i="46"/>
  <c r="V29" i="44"/>
  <c r="AA29" i="44" s="1"/>
  <c r="V29" i="51"/>
  <c r="AA29" i="51" s="1"/>
  <c r="V26" i="53"/>
  <c r="AA26" i="53" s="1"/>
  <c r="V32" i="55"/>
  <c r="AA32" i="55" s="1"/>
  <c r="V25" i="43"/>
  <c r="W25" i="43" s="1"/>
  <c r="X25" i="43" s="1"/>
  <c r="V25" i="55"/>
  <c r="AA25" i="55" s="1"/>
  <c r="V26" i="50"/>
  <c r="AA26" i="50" s="1"/>
  <c r="V29" i="43"/>
  <c r="W29" i="43" s="1"/>
  <c r="X29" i="43" s="1"/>
  <c r="V29" i="53"/>
  <c r="AA29" i="53" s="1"/>
  <c r="V26" i="44"/>
  <c r="W26" i="44" s="1"/>
  <c r="X26" i="44" s="1"/>
  <c r="V25" i="48"/>
  <c r="AA25" i="48" s="1"/>
  <c r="V25" i="53"/>
  <c r="AA25" i="53" s="1"/>
  <c r="V26" i="41"/>
  <c r="AA26" i="41" s="1"/>
  <c r="V19" i="41"/>
  <c r="AA19" i="41" s="1"/>
  <c r="V31" i="43"/>
  <c r="W31" i="43" s="1"/>
  <c r="X31" i="43" s="1"/>
  <c r="V27" i="54"/>
  <c r="AA27" i="54" s="1"/>
  <c r="V25" i="46"/>
  <c r="V31" i="47"/>
  <c r="AA31" i="47" s="1"/>
  <c r="V26" i="48"/>
  <c r="AA26" i="48" s="1"/>
  <c r="V32" i="50"/>
  <c r="AA32" i="50" s="1"/>
  <c r="V28" i="51"/>
  <c r="AA28" i="51" s="1"/>
  <c r="V31" i="44"/>
  <c r="AA31" i="44" s="1"/>
  <c r="V27" i="48"/>
  <c r="AA27" i="48" s="1"/>
  <c r="V27" i="41"/>
  <c r="AA27" i="41" s="1"/>
  <c r="V30" i="41"/>
  <c r="AA30" i="41" s="1"/>
  <c r="V25" i="41"/>
  <c r="AA25" i="41" s="1"/>
  <c r="V28" i="52"/>
  <c r="AA28" i="52" s="1"/>
  <c r="V27" i="47"/>
  <c r="AA27" i="47" s="1"/>
  <c r="V27" i="55"/>
  <c r="AA27" i="55" s="1"/>
  <c r="V32" i="43"/>
  <c r="V29" i="48"/>
  <c r="AA29" i="48" s="1"/>
  <c r="V28" i="46"/>
  <c r="V28" i="43"/>
  <c r="V28" i="53"/>
  <c r="AA28" i="53" s="1"/>
  <c r="V27" i="51"/>
  <c r="AA27" i="51" s="1"/>
  <c r="V27" i="52"/>
  <c r="AA27" i="52" s="1"/>
  <c r="V29" i="52"/>
  <c r="AA29" i="52" s="1"/>
  <c r="V26" i="47"/>
  <c r="AA26" i="47" s="1"/>
  <c r="V32" i="44"/>
  <c r="W32" i="44" s="1"/>
  <c r="X32" i="44" s="1"/>
  <c r="V25" i="47"/>
  <c r="AA25" i="47" s="1"/>
  <c r="V26" i="51"/>
  <c r="AA26" i="51" s="1"/>
  <c r="V32" i="51"/>
  <c r="AA32" i="51" s="1"/>
  <c r="V27" i="43"/>
  <c r="W27" i="43" s="1"/>
  <c r="V26" i="43"/>
  <c r="AA26" i="43" s="1"/>
  <c r="V28" i="44"/>
  <c r="W28" i="44" s="1"/>
  <c r="X28" i="44" s="1"/>
  <c r="V27" i="44"/>
  <c r="V25" i="44"/>
  <c r="AA25" i="44" s="1"/>
  <c r="V25" i="54"/>
  <c r="AA25" i="54" s="1"/>
  <c r="V22" i="41"/>
  <c r="Y22" i="41" s="1"/>
  <c r="V29" i="55"/>
  <c r="AA29" i="55" s="1"/>
  <c r="V28" i="55"/>
  <c r="AA28" i="55" s="1"/>
  <c r="V26" i="55"/>
  <c r="AA26" i="55" s="1"/>
  <c r="V29" i="54"/>
  <c r="AA29" i="54" s="1"/>
  <c r="V28" i="54"/>
  <c r="AA28" i="54" s="1"/>
  <c r="V27" i="53"/>
  <c r="AA27" i="53" s="1"/>
  <c r="V31" i="53"/>
  <c r="AA31" i="53" s="1"/>
  <c r="V26" i="52"/>
  <c r="AA26" i="52" s="1"/>
  <c r="V25" i="52"/>
  <c r="AA25" i="52" s="1"/>
  <c r="V31" i="52"/>
  <c r="AA31" i="52" s="1"/>
  <c r="V27" i="50"/>
  <c r="AA27" i="50" s="1"/>
  <c r="V29" i="50"/>
  <c r="AA29" i="50" s="1"/>
  <c r="V25" i="50"/>
  <c r="AA25" i="50" s="1"/>
  <c r="V28" i="50"/>
  <c r="AA28" i="50" s="1"/>
  <c r="V32" i="48"/>
  <c r="Y32" i="48" s="1"/>
  <c r="V28" i="47"/>
  <c r="AA28" i="47" s="1"/>
  <c r="V32" i="47"/>
  <c r="V29" i="46"/>
  <c r="AA29" i="46" s="1"/>
  <c r="V26" i="46"/>
  <c r="AA26" i="46" s="1"/>
  <c r="W28" i="55"/>
  <c r="X28" i="55" s="1"/>
  <c r="W28" i="53"/>
  <c r="X28" i="53" s="1"/>
  <c r="AA31" i="54"/>
  <c r="W31" i="54"/>
  <c r="X31" i="54" s="1"/>
  <c r="W27" i="51"/>
  <c r="X27" i="51" s="1"/>
  <c r="W26" i="50"/>
  <c r="X26" i="50" s="1"/>
  <c r="AA32" i="53"/>
  <c r="W32" i="53"/>
  <c r="X32" i="53" s="1"/>
  <c r="W25" i="51"/>
  <c r="X25" i="51" s="1"/>
  <c r="W28" i="51"/>
  <c r="X28" i="51" s="1"/>
  <c r="W28" i="54"/>
  <c r="X28" i="54" s="1"/>
  <c r="W27" i="55"/>
  <c r="X27" i="55" s="1"/>
  <c r="W29" i="54"/>
  <c r="X29" i="54" s="1"/>
  <c r="W25" i="52"/>
  <c r="X25" i="52" s="1"/>
  <c r="W27" i="54"/>
  <c r="X27" i="54" s="1"/>
  <c r="W26" i="52"/>
  <c r="X26" i="52" s="1"/>
  <c r="W26" i="54"/>
  <c r="X26" i="54" s="1"/>
  <c r="AA26" i="54"/>
  <c r="W31" i="53"/>
  <c r="X31" i="53" s="1"/>
  <c r="W27" i="53"/>
  <c r="X27" i="53" s="1"/>
  <c r="W29" i="51"/>
  <c r="X29" i="51" s="1"/>
  <c r="W26" i="55"/>
  <c r="X26" i="55" s="1"/>
  <c r="W31" i="52"/>
  <c r="X31" i="52" s="1"/>
  <c r="AA32" i="54"/>
  <c r="W32" i="54"/>
  <c r="AA32" i="52"/>
  <c r="W32" i="52"/>
  <c r="X32" i="52" s="1"/>
  <c r="AA30" i="55"/>
  <c r="AD30" i="55" s="1"/>
  <c r="V31" i="55"/>
  <c r="V31" i="48"/>
  <c r="AA19" i="53"/>
  <c r="AD19" i="53" s="1"/>
  <c r="W23" i="50"/>
  <c r="X23" i="50" s="1"/>
  <c r="AA23" i="50"/>
  <c r="Y23" i="50"/>
  <c r="W23" i="44"/>
  <c r="X23" i="44" s="1"/>
  <c r="Y23" i="44"/>
  <c r="AA23" i="44"/>
  <c r="Y23" i="54"/>
  <c r="AA23" i="54"/>
  <c r="W23" i="54"/>
  <c r="S24" i="53"/>
  <c r="S24" i="54"/>
  <c r="S24" i="55"/>
  <c r="S24" i="50"/>
  <c r="S24" i="52"/>
  <c r="S24" i="51"/>
  <c r="S24" i="43"/>
  <c r="S24" i="41"/>
  <c r="AA22" i="44"/>
  <c r="W22" i="44"/>
  <c r="X22" i="44" s="1"/>
  <c r="Y22" i="44"/>
  <c r="AA22" i="48"/>
  <c r="Y22" i="55"/>
  <c r="W22" i="55"/>
  <c r="X22" i="55" s="1"/>
  <c r="AA22" i="55"/>
  <c r="AD22" i="51"/>
  <c r="W28" i="52"/>
  <c r="AA30" i="44"/>
  <c r="AD30" i="44" s="1"/>
  <c r="W26" i="53"/>
  <c r="X26" i="53" s="1"/>
  <c r="W32" i="51"/>
  <c r="X32" i="51" s="1"/>
  <c r="W25" i="54"/>
  <c r="X25" i="54" s="1"/>
  <c r="W32" i="55"/>
  <c r="X32" i="55" s="1"/>
  <c r="W32" i="50"/>
  <c r="X32" i="50" s="1"/>
  <c r="V31" i="46"/>
  <c r="V31" i="51"/>
  <c r="AA19" i="50"/>
  <c r="AD19" i="50" s="1"/>
  <c r="AA23" i="46"/>
  <c r="AA23" i="47"/>
  <c r="T20" i="54"/>
  <c r="T20" i="53"/>
  <c r="T20" i="50"/>
  <c r="T20" i="55"/>
  <c r="T20" i="51"/>
  <c r="T20" i="43"/>
  <c r="T20" i="52"/>
  <c r="T20" i="41"/>
  <c r="Y22" i="43"/>
  <c r="AA22" i="43"/>
  <c r="W22" i="43"/>
  <c r="X22" i="43" s="1"/>
  <c r="Y22" i="52"/>
  <c r="AA22" i="52"/>
  <c r="W22" i="52"/>
  <c r="AA22" i="54"/>
  <c r="W22" i="54"/>
  <c r="Y22" i="54"/>
  <c r="AA30" i="52"/>
  <c r="AD30" i="52" s="1"/>
  <c r="W25" i="55"/>
  <c r="X25" i="55" s="1"/>
  <c r="W27" i="52"/>
  <c r="W26" i="51"/>
  <c r="W25" i="53"/>
  <c r="V31" i="50"/>
  <c r="AA19" i="52"/>
  <c r="AD19" i="52" s="1"/>
  <c r="Y23" i="43"/>
  <c r="W23" i="43"/>
  <c r="X23" i="43" s="1"/>
  <c r="AA23" i="43"/>
  <c r="AA23" i="48"/>
  <c r="Y23" i="51"/>
  <c r="W23" i="51"/>
  <c r="AA23" i="51"/>
  <c r="S20" i="54"/>
  <c r="S20" i="53"/>
  <c r="S20" i="51"/>
  <c r="S20" i="50"/>
  <c r="S20" i="52"/>
  <c r="S20" i="55"/>
  <c r="S20" i="43"/>
  <c r="S20" i="41"/>
  <c r="Z20" i="49"/>
  <c r="T21" i="55"/>
  <c r="T21" i="53"/>
  <c r="T21" i="54"/>
  <c r="T21" i="52"/>
  <c r="T21" i="51"/>
  <c r="T21" i="50"/>
  <c r="T21" i="43"/>
  <c r="T21" i="41"/>
  <c r="W22" i="50"/>
  <c r="Y22" i="50"/>
  <c r="AA22" i="50"/>
  <c r="Y22" i="53"/>
  <c r="AA22" i="53"/>
  <c r="W22" i="53"/>
  <c r="X22" i="53" s="1"/>
  <c r="W28" i="50"/>
  <c r="W29" i="53"/>
  <c r="X29" i="53" s="1"/>
  <c r="W29" i="52"/>
  <c r="AA30" i="47"/>
  <c r="AD30" i="47" s="1"/>
  <c r="AA19" i="47"/>
  <c r="AD19" i="47" s="1"/>
  <c r="W23" i="53"/>
  <c r="AA23" i="53"/>
  <c r="Y23" i="53"/>
  <c r="W23" i="52"/>
  <c r="X23" i="52" s="1"/>
  <c r="AA23" i="52"/>
  <c r="Y23" i="52"/>
  <c r="Y23" i="55"/>
  <c r="AA23" i="55"/>
  <c r="W23" i="55"/>
  <c r="T24" i="51"/>
  <c r="T24" i="54"/>
  <c r="T24" i="55"/>
  <c r="T24" i="53"/>
  <c r="T24" i="52"/>
  <c r="T24" i="50"/>
  <c r="T24" i="43"/>
  <c r="T24" i="41"/>
  <c r="S21" i="54"/>
  <c r="S21" i="53"/>
  <c r="S21" i="55"/>
  <c r="S21" i="50"/>
  <c r="S21" i="52"/>
  <c r="S21" i="51"/>
  <c r="S21" i="43"/>
  <c r="S21" i="41"/>
  <c r="AA22" i="46"/>
  <c r="AA22" i="47"/>
  <c r="AC21" i="49"/>
  <c r="AE21" i="49"/>
  <c r="AA26" i="49"/>
  <c r="AF31" i="49"/>
  <c r="AE26" i="49"/>
  <c r="AB26" i="49"/>
  <c r="AE25" i="49"/>
  <c r="AG21" i="49"/>
  <c r="AH21" i="49" s="1"/>
  <c r="AB21" i="49"/>
  <c r="AD21" i="49"/>
  <c r="AA21" i="49"/>
  <c r="AB25" i="49"/>
  <c r="AF25" i="49" s="1"/>
  <c r="AG25" i="49"/>
  <c r="AH25" i="49" s="1"/>
  <c r="AF28" i="49"/>
  <c r="AB27" i="49"/>
  <c r="AA27" i="49"/>
  <c r="AF22" i="49"/>
  <c r="AC24" i="49"/>
  <c r="AA24" i="49"/>
  <c r="AB24" i="49"/>
  <c r="AD24" i="49"/>
  <c r="AG29" i="49"/>
  <c r="AH29" i="49" s="1"/>
  <c r="AB29" i="49"/>
  <c r="AE29" i="49"/>
  <c r="AA29" i="49"/>
  <c r="AE24" i="49"/>
  <c r="AG24" i="49"/>
  <c r="AH24" i="49" s="1"/>
  <c r="AE27" i="49"/>
  <c r="AF23" i="49"/>
  <c r="V29" i="41"/>
  <c r="W29" i="41" s="1"/>
  <c r="X29" i="41" s="1"/>
  <c r="AA28" i="41"/>
  <c r="AA31" i="41"/>
  <c r="Y23" i="41"/>
  <c r="V32" i="41"/>
  <c r="AG19" i="49"/>
  <c r="AH19" i="49" s="1"/>
  <c r="AE19" i="49"/>
  <c r="AF19" i="49" s="1"/>
  <c r="S15" i="49" a="1"/>
  <c r="S15" i="49" s="1"/>
  <c r="S16" i="49" a="1"/>
  <c r="S16" i="49" s="1"/>
  <c r="S17" i="49" a="1"/>
  <c r="S17" i="49" s="1"/>
  <c r="S18" i="49" a="1"/>
  <c r="S18" i="49" s="1"/>
  <c r="S35" i="49" a="1"/>
  <c r="S35" i="49" s="1"/>
  <c r="S37" i="49" a="1"/>
  <c r="S37" i="49" s="1"/>
  <c r="S38" i="49" a="1"/>
  <c r="S38" i="49" s="1"/>
  <c r="S39" i="49" a="1"/>
  <c r="S39" i="49" s="1"/>
  <c r="AA32" i="48" l="1"/>
  <c r="AD26" i="46"/>
  <c r="AD25" i="47"/>
  <c r="AA32" i="47"/>
  <c r="AD32" i="46"/>
  <c r="AA23" i="41"/>
  <c r="AD29" i="46"/>
  <c r="AA25" i="46"/>
  <c r="AA28" i="46"/>
  <c r="AA27" i="46"/>
  <c r="AA32" i="44"/>
  <c r="Y32" i="44"/>
  <c r="Z32" i="44"/>
  <c r="AA32" i="43"/>
  <c r="Y32" i="43"/>
  <c r="Z32" i="43"/>
  <c r="W32" i="43"/>
  <c r="X32" i="43" s="1"/>
  <c r="Z32" i="41"/>
  <c r="Y32" i="41"/>
  <c r="AF32" i="49"/>
  <c r="W25" i="41"/>
  <c r="X25" i="41" s="1"/>
  <c r="W31" i="44"/>
  <c r="X31" i="44" s="1"/>
  <c r="AA31" i="43"/>
  <c r="AD31" i="43" s="1"/>
  <c r="AA29" i="43"/>
  <c r="AD29" i="43" s="1"/>
  <c r="AA25" i="43"/>
  <c r="AD25" i="43" s="1"/>
  <c r="V20" i="43"/>
  <c r="AA20" i="43" s="1"/>
  <c r="W25" i="44"/>
  <c r="X25" i="44" s="1"/>
  <c r="AA27" i="43"/>
  <c r="V21" i="54"/>
  <c r="AA21" i="54" s="1"/>
  <c r="V21" i="48"/>
  <c r="AA21" i="48" s="1"/>
  <c r="W26" i="41"/>
  <c r="X26" i="41" s="1"/>
  <c r="W29" i="44"/>
  <c r="X29" i="44" s="1"/>
  <c r="AD29" i="44" s="1"/>
  <c r="V20" i="54"/>
  <c r="AA20" i="54" s="1"/>
  <c r="AD29" i="55"/>
  <c r="AA26" i="44"/>
  <c r="AD26" i="44" s="1"/>
  <c r="V21" i="53"/>
  <c r="AA21" i="53" s="1"/>
  <c r="AA28" i="44"/>
  <c r="AD28" i="44" s="1"/>
  <c r="W22" i="41"/>
  <c r="V21" i="46"/>
  <c r="AA21" i="46" s="1"/>
  <c r="V20" i="41"/>
  <c r="V24" i="46"/>
  <c r="AA24" i="46" s="1"/>
  <c r="V20" i="46"/>
  <c r="AA20" i="46" s="1"/>
  <c r="V20" i="52"/>
  <c r="AA20" i="52" s="1"/>
  <c r="V20" i="53"/>
  <c r="AA20" i="53" s="1"/>
  <c r="W27" i="41"/>
  <c r="X27" i="41" s="1"/>
  <c r="V24" i="47"/>
  <c r="AA24" i="47" s="1"/>
  <c r="V24" i="52"/>
  <c r="W26" i="43"/>
  <c r="X26" i="43" s="1"/>
  <c r="AD26" i="43" s="1"/>
  <c r="AA22" i="41"/>
  <c r="V24" i="53"/>
  <c r="AA24" i="53" s="1"/>
  <c r="AD29" i="50"/>
  <c r="V20" i="44"/>
  <c r="AA20" i="44" s="1"/>
  <c r="V21" i="43"/>
  <c r="W21" i="43" s="1"/>
  <c r="X21" i="43" s="1"/>
  <c r="V21" i="55"/>
  <c r="AA21" i="55" s="1"/>
  <c r="V24" i="43"/>
  <c r="AA24" i="43" s="1"/>
  <c r="V21" i="51"/>
  <c r="AA21" i="51" s="1"/>
  <c r="V24" i="54"/>
  <c r="AA24" i="54" s="1"/>
  <c r="AD32" i="50"/>
  <c r="V21" i="41"/>
  <c r="Y21" i="41" s="1"/>
  <c r="AD26" i="52"/>
  <c r="V20" i="51"/>
  <c r="AA20" i="51" s="1"/>
  <c r="W28" i="43"/>
  <c r="AA28" i="43"/>
  <c r="V21" i="47"/>
  <c r="AA21" i="47" s="1"/>
  <c r="V20" i="47"/>
  <c r="AA20" i="47" s="1"/>
  <c r="V21" i="52"/>
  <c r="AA21" i="52" s="1"/>
  <c r="AD27" i="50"/>
  <c r="V21" i="44"/>
  <c r="AA21" i="44" s="1"/>
  <c r="V21" i="50"/>
  <c r="AA21" i="50" s="1"/>
  <c r="AD25" i="51"/>
  <c r="AD27" i="51"/>
  <c r="AD27" i="53"/>
  <c r="AD26" i="55"/>
  <c r="W27" i="44"/>
  <c r="AA27" i="44"/>
  <c r="V24" i="50"/>
  <c r="AA24" i="50" s="1"/>
  <c r="AD31" i="53"/>
  <c r="AD29" i="54"/>
  <c r="AD22" i="47"/>
  <c r="AD23" i="43"/>
  <c r="AD22" i="44"/>
  <c r="AD25" i="52"/>
  <c r="V24" i="44"/>
  <c r="Y24" i="44" s="1"/>
  <c r="V20" i="55"/>
  <c r="AA20" i="55" s="1"/>
  <c r="V24" i="55"/>
  <c r="AA24" i="55" s="1"/>
  <c r="X23" i="55"/>
  <c r="AD23" i="55" s="1"/>
  <c r="AD28" i="55"/>
  <c r="AD25" i="55"/>
  <c r="AD22" i="55"/>
  <c r="X22" i="54"/>
  <c r="AD22" i="54" s="1"/>
  <c r="X23" i="54"/>
  <c r="AD23" i="54" s="1"/>
  <c r="AD31" i="54"/>
  <c r="AD26" i="54"/>
  <c r="AD27" i="54"/>
  <c r="X23" i="53"/>
  <c r="AD23" i="53" s="1"/>
  <c r="AD22" i="53"/>
  <c r="X22" i="52"/>
  <c r="AD22" i="52" s="1"/>
  <c r="X23" i="51"/>
  <c r="AD23" i="51" s="1"/>
  <c r="V24" i="51"/>
  <c r="AA24" i="51" s="1"/>
  <c r="AD29" i="51"/>
  <c r="AD28" i="51"/>
  <c r="X22" i="50"/>
  <c r="AD22" i="50" s="1"/>
  <c r="V20" i="50"/>
  <c r="AA20" i="50" s="1"/>
  <c r="AD25" i="50"/>
  <c r="V24" i="48"/>
  <c r="AA24" i="48" s="1"/>
  <c r="AD22" i="48"/>
  <c r="V20" i="48"/>
  <c r="AA20" i="48" s="1"/>
  <c r="AD31" i="47"/>
  <c r="AD23" i="47"/>
  <c r="AD22" i="46"/>
  <c r="Y21" i="50"/>
  <c r="Z21" i="50"/>
  <c r="W21" i="50"/>
  <c r="X21" i="50" s="1"/>
  <c r="AA24" i="52"/>
  <c r="Y24" i="52"/>
  <c r="W24" i="52"/>
  <c r="X24" i="52" s="1"/>
  <c r="Z24" i="52"/>
  <c r="Z24" i="51"/>
  <c r="W24" i="51"/>
  <c r="X24" i="51" s="1"/>
  <c r="Y24" i="51"/>
  <c r="W20" i="51"/>
  <c r="X20" i="51" s="1"/>
  <c r="W21" i="55"/>
  <c r="X21" i="55" s="1"/>
  <c r="Z21" i="55"/>
  <c r="Y21" i="55"/>
  <c r="W24" i="53"/>
  <c r="X24" i="53" s="1"/>
  <c r="Z24" i="53"/>
  <c r="Y24" i="53"/>
  <c r="W20" i="55"/>
  <c r="X20" i="55" s="1"/>
  <c r="Z21" i="51"/>
  <c r="W21" i="51"/>
  <c r="X21" i="51" s="1"/>
  <c r="Y21" i="51"/>
  <c r="Y24" i="55"/>
  <c r="Z24" i="55"/>
  <c r="W24" i="55"/>
  <c r="X24" i="55" s="1"/>
  <c r="W20" i="53"/>
  <c r="X20" i="53" s="1"/>
  <c r="Y21" i="53"/>
  <c r="W21" i="53"/>
  <c r="X21" i="53" s="1"/>
  <c r="Z21" i="53"/>
  <c r="Y21" i="54"/>
  <c r="Z21" i="54"/>
  <c r="W21" i="54"/>
  <c r="X21" i="54" s="1"/>
  <c r="W24" i="54"/>
  <c r="X24" i="54" s="1"/>
  <c r="Y24" i="54"/>
  <c r="Z24" i="54"/>
  <c r="W20" i="50"/>
  <c r="X20" i="50" s="1"/>
  <c r="O17" i="55"/>
  <c r="O17" i="50"/>
  <c r="O17" i="53"/>
  <c r="O17" i="51"/>
  <c r="O17" i="54"/>
  <c r="O17" i="52"/>
  <c r="O17" i="43"/>
  <c r="O17" i="41"/>
  <c r="W20" i="54"/>
  <c r="X20" i="54" s="1"/>
  <c r="X27" i="43"/>
  <c r="X28" i="50"/>
  <c r="AD28" i="50" s="1"/>
  <c r="X27" i="52"/>
  <c r="AD27" i="52" s="1"/>
  <c r="AD22" i="43"/>
  <c r="AD32" i="55"/>
  <c r="AD25" i="54"/>
  <c r="AD32" i="51"/>
  <c r="AD23" i="44"/>
  <c r="AA31" i="55"/>
  <c r="W31" i="55"/>
  <c r="X31" i="55" s="1"/>
  <c r="AD32" i="52"/>
  <c r="AD31" i="52"/>
  <c r="AD27" i="55"/>
  <c r="AD26" i="50"/>
  <c r="AD28" i="53"/>
  <c r="W16" i="49"/>
  <c r="X16" i="49"/>
  <c r="O16" i="53"/>
  <c r="O16" i="54"/>
  <c r="O16" i="55"/>
  <c r="O16" i="50"/>
  <c r="O16" i="43"/>
  <c r="O16" i="51"/>
  <c r="O16" i="52"/>
  <c r="O16" i="41"/>
  <c r="AD26" i="48"/>
  <c r="AD27" i="48"/>
  <c r="AD25" i="48"/>
  <c r="AG20" i="49"/>
  <c r="AH20" i="49" s="1"/>
  <c r="AA20" i="49"/>
  <c r="AB20" i="49"/>
  <c r="AE20" i="49"/>
  <c r="AD23" i="48"/>
  <c r="W31" i="50"/>
  <c r="X31" i="50" s="1"/>
  <c r="AA31" i="50"/>
  <c r="V24" i="41"/>
  <c r="X32" i="54"/>
  <c r="AD32" i="54" s="1"/>
  <c r="AD28" i="54"/>
  <c r="AD28" i="48"/>
  <c r="O18" i="53"/>
  <c r="O18" i="55"/>
  <c r="O18" i="54"/>
  <c r="O18" i="50"/>
  <c r="O18" i="52"/>
  <c r="O18" i="51"/>
  <c r="O18" i="43"/>
  <c r="O18" i="41"/>
  <c r="O15" i="54"/>
  <c r="O15" i="51"/>
  <c r="O15" i="52"/>
  <c r="O15" i="55"/>
  <c r="O15" i="53"/>
  <c r="O15" i="50"/>
  <c r="O15" i="43"/>
  <c r="O15" i="41"/>
  <c r="AD23" i="52"/>
  <c r="X29" i="52"/>
  <c r="AD29" i="52" s="1"/>
  <c r="AD29" i="53"/>
  <c r="X25" i="53"/>
  <c r="AD25" i="53" s="1"/>
  <c r="AD23" i="46"/>
  <c r="W31" i="51"/>
  <c r="X31" i="51" s="1"/>
  <c r="AA31" i="51"/>
  <c r="AD29" i="48"/>
  <c r="AD26" i="53"/>
  <c r="AD23" i="50"/>
  <c r="AD27" i="47"/>
  <c r="AD32" i="53"/>
  <c r="Y21" i="52"/>
  <c r="Z21" i="52"/>
  <c r="W21" i="52"/>
  <c r="X21" i="52" s="1"/>
  <c r="Y24" i="50"/>
  <c r="W24" i="50"/>
  <c r="X24" i="50" s="1"/>
  <c r="Z24" i="50"/>
  <c r="W20" i="52"/>
  <c r="X26" i="51"/>
  <c r="AD26" i="51" s="1"/>
  <c r="AA31" i="46"/>
  <c r="X28" i="52"/>
  <c r="AD28" i="52" s="1"/>
  <c r="AA31" i="48"/>
  <c r="AD29" i="47"/>
  <c r="AF26" i="49"/>
  <c r="AF27" i="49"/>
  <c r="AF29" i="49"/>
  <c r="AF24" i="49"/>
  <c r="AA29" i="41"/>
  <c r="AA32" i="41"/>
  <c r="W32" i="41"/>
  <c r="X32" i="41" s="1"/>
  <c r="AD26" i="47" l="1"/>
  <c r="AD32" i="48"/>
  <c r="AD32" i="47"/>
  <c r="AD28" i="47"/>
  <c r="AD25" i="44"/>
  <c r="AD32" i="44"/>
  <c r="AD28" i="46"/>
  <c r="AD25" i="46"/>
  <c r="AD27" i="46"/>
  <c r="AD32" i="43"/>
  <c r="AD31" i="44"/>
  <c r="W20" i="43"/>
  <c r="X20" i="43" s="1"/>
  <c r="W20" i="44"/>
  <c r="X20" i="44" s="1"/>
  <c r="AD20" i="44" s="1"/>
  <c r="AA21" i="41"/>
  <c r="AD27" i="43"/>
  <c r="Y24" i="43"/>
  <c r="W24" i="43"/>
  <c r="X24" i="43" s="1"/>
  <c r="Z24" i="43"/>
  <c r="W21" i="41"/>
  <c r="X21" i="41" s="1"/>
  <c r="Z21" i="41"/>
  <c r="W21" i="44"/>
  <c r="X21" i="44" s="1"/>
  <c r="Z21" i="43"/>
  <c r="Y21" i="44"/>
  <c r="AA21" i="43"/>
  <c r="Y21" i="43"/>
  <c r="Z21" i="44"/>
  <c r="AA20" i="41"/>
  <c r="W20" i="41"/>
  <c r="X20" i="41" s="1"/>
  <c r="AD20" i="50"/>
  <c r="AD31" i="55"/>
  <c r="Z40" i="51"/>
  <c r="AD20" i="47"/>
  <c r="X28" i="43"/>
  <c r="AD28" i="43" s="1"/>
  <c r="W24" i="44"/>
  <c r="X24" i="44" s="1"/>
  <c r="AD31" i="46"/>
  <c r="Z24" i="44"/>
  <c r="Y40" i="51"/>
  <c r="AA24" i="44"/>
  <c r="AD21" i="50"/>
  <c r="X27" i="44"/>
  <c r="AD27" i="44" s="1"/>
  <c r="AD21" i="52"/>
  <c r="AD24" i="52"/>
  <c r="AD31" i="48"/>
  <c r="AD21" i="55"/>
  <c r="AD20" i="55"/>
  <c r="AD21" i="53"/>
  <c r="AD20" i="53"/>
  <c r="AD20" i="51"/>
  <c r="AD31" i="51"/>
  <c r="AD24" i="50"/>
  <c r="AD31" i="50"/>
  <c r="AD21" i="48"/>
  <c r="AD21" i="47"/>
  <c r="X20" i="52"/>
  <c r="AD20" i="52" s="1"/>
  <c r="AA24" i="41"/>
  <c r="Z24" i="41"/>
  <c r="Y24" i="41"/>
  <c r="W24" i="41"/>
  <c r="X24" i="41" s="1"/>
  <c r="AD20" i="54"/>
  <c r="AD24" i="54"/>
  <c r="T16" i="50"/>
  <c r="T16" i="53"/>
  <c r="T16" i="54"/>
  <c r="T16" i="55"/>
  <c r="T16" i="43"/>
  <c r="T16" i="52"/>
  <c r="T16" i="51"/>
  <c r="T16" i="41"/>
  <c r="AF20" i="49"/>
  <c r="S16" i="55"/>
  <c r="S16" i="53"/>
  <c r="S16" i="54"/>
  <c r="S16" i="51"/>
  <c r="S16" i="52"/>
  <c r="S16" i="50"/>
  <c r="S16" i="43"/>
  <c r="S16" i="41"/>
  <c r="AD21" i="54"/>
  <c r="AD24" i="55"/>
  <c r="AD21" i="51"/>
  <c r="AD24" i="53"/>
  <c r="AD24" i="48"/>
  <c r="AD24" i="51"/>
  <c r="Z40" i="54"/>
  <c r="Z40" i="50"/>
  <c r="Y40" i="52"/>
  <c r="Y40" i="53"/>
  <c r="Z40" i="53"/>
  <c r="Y40" i="54"/>
  <c r="Z40" i="52"/>
  <c r="Y40" i="50"/>
  <c r="AD39" i="49"/>
  <c r="AC39" i="49"/>
  <c r="AB39" i="49"/>
  <c r="AA39" i="49"/>
  <c r="AD38" i="49"/>
  <c r="AC38" i="49"/>
  <c r="AB38" i="49"/>
  <c r="AA38" i="49"/>
  <c r="AD37" i="49"/>
  <c r="AC37" i="49"/>
  <c r="AB37" i="49"/>
  <c r="AA37" i="49"/>
  <c r="AD18" i="49"/>
  <c r="AC18" i="49"/>
  <c r="AB18" i="49"/>
  <c r="AA18" i="49"/>
  <c r="AD17" i="49"/>
  <c r="AC17" i="49"/>
  <c r="AB17" i="49"/>
  <c r="AA17" i="49"/>
  <c r="AD16" i="49"/>
  <c r="AC16" i="49"/>
  <c r="AD15" i="49"/>
  <c r="AC15" i="49"/>
  <c r="AB15" i="49"/>
  <c r="AA15" i="49"/>
  <c r="AD14" i="49"/>
  <c r="AC14" i="49"/>
  <c r="AB14" i="49"/>
  <c r="AA14" i="49"/>
  <c r="AD13" i="49"/>
  <c r="AC13" i="49"/>
  <c r="AB13" i="49"/>
  <c r="AA13" i="49"/>
  <c r="AD12" i="49"/>
  <c r="AC12" i="49"/>
  <c r="AB12" i="49"/>
  <c r="AA12" i="49"/>
  <c r="AD11" i="49"/>
  <c r="AC11" i="49"/>
  <c r="AB11" i="49"/>
  <c r="AA11" i="49"/>
  <c r="AD10" i="49"/>
  <c r="AC10" i="49"/>
  <c r="AB10" i="49"/>
  <c r="AA10" i="49"/>
  <c r="AD9" i="49"/>
  <c r="AC9" i="49"/>
  <c r="AD8" i="49"/>
  <c r="AC8" i="49"/>
  <c r="AD7" i="49"/>
  <c r="AC7" i="49"/>
  <c r="AB7" i="49"/>
  <c r="AA7" i="49"/>
  <c r="AD6" i="49"/>
  <c r="AC6" i="49"/>
  <c r="AD5" i="49"/>
  <c r="AA5" i="49"/>
  <c r="Y39" i="49"/>
  <c r="U39" i="49"/>
  <c r="Y38" i="49"/>
  <c r="U38" i="49"/>
  <c r="Y37" i="49"/>
  <c r="U37" i="49"/>
  <c r="U35" i="49"/>
  <c r="Y18" i="49"/>
  <c r="R18" i="49"/>
  <c r="Y17" i="49"/>
  <c r="R17" i="49"/>
  <c r="Y16" i="49"/>
  <c r="R16" i="49"/>
  <c r="Y15" i="49"/>
  <c r="R15" i="49"/>
  <c r="Y14" i="49"/>
  <c r="S14" i="49" a="1"/>
  <c r="S14" i="49" s="1"/>
  <c r="R14" i="49"/>
  <c r="Y13" i="49"/>
  <c r="S13" i="49" a="1"/>
  <c r="S13" i="49" s="1"/>
  <c r="R13" i="49"/>
  <c r="Y12" i="49"/>
  <c r="S12" i="49" a="1"/>
  <c r="S12" i="49" s="1"/>
  <c r="R12" i="49"/>
  <c r="Y11" i="49"/>
  <c r="S11" i="49" a="1"/>
  <c r="S11" i="49" s="1"/>
  <c r="R11" i="49"/>
  <c r="Y10" i="49"/>
  <c r="S10" i="49" a="1"/>
  <c r="S10" i="49" s="1"/>
  <c r="R10" i="49"/>
  <c r="Y9" i="49"/>
  <c r="S9" i="49" a="1"/>
  <c r="S9" i="49" s="1"/>
  <c r="R9" i="49"/>
  <c r="Y8" i="49"/>
  <c r="S8" i="49" a="1"/>
  <c r="S8" i="49" s="1"/>
  <c r="R8" i="49"/>
  <c r="Y7" i="49"/>
  <c r="R7" i="49"/>
  <c r="Y6" i="49"/>
  <c r="R6" i="49"/>
  <c r="R5" i="49"/>
  <c r="AD24" i="47" l="1"/>
  <c r="AD24" i="46"/>
  <c r="AD20" i="48"/>
  <c r="AD20" i="46"/>
  <c r="AD21" i="46"/>
  <c r="AD20" i="43"/>
  <c r="AD24" i="43"/>
  <c r="AD21" i="43"/>
  <c r="AD21" i="44"/>
  <c r="AD24" i="44"/>
  <c r="O9" i="55"/>
  <c r="O9" i="54"/>
  <c r="O9" i="53"/>
  <c r="O9" i="43"/>
  <c r="O9" i="50"/>
  <c r="O9" i="52"/>
  <c r="O9" i="51"/>
  <c r="O9" i="41"/>
  <c r="O11" i="54"/>
  <c r="O11" i="51"/>
  <c r="O11" i="50"/>
  <c r="O11" i="55"/>
  <c r="O11" i="53"/>
  <c r="O11" i="52"/>
  <c r="O11" i="43"/>
  <c r="O11" i="41"/>
  <c r="U7" i="55"/>
  <c r="U7" i="54"/>
  <c r="U7" i="53"/>
  <c r="U7" i="50"/>
  <c r="U7" i="51"/>
  <c r="U7" i="52"/>
  <c r="U7" i="43"/>
  <c r="U7" i="41"/>
  <c r="O10" i="53"/>
  <c r="O10" i="54"/>
  <c r="O10" i="55"/>
  <c r="O10" i="50"/>
  <c r="O10" i="43"/>
  <c r="O10" i="51"/>
  <c r="O10" i="52"/>
  <c r="O10" i="41"/>
  <c r="U11" i="54"/>
  <c r="U11" i="51"/>
  <c r="U11" i="53"/>
  <c r="U11" i="50"/>
  <c r="U11" i="55"/>
  <c r="U11" i="52"/>
  <c r="U11" i="43"/>
  <c r="U11" i="41"/>
  <c r="O14" i="55"/>
  <c r="O14" i="54"/>
  <c r="O14" i="50"/>
  <c r="O14" i="53"/>
  <c r="O14" i="43"/>
  <c r="O14" i="52"/>
  <c r="O14" i="51"/>
  <c r="O14" i="41"/>
  <c r="U10" i="53"/>
  <c r="U10" i="54"/>
  <c r="U10" i="55"/>
  <c r="U10" i="50"/>
  <c r="U10" i="51"/>
  <c r="U10" i="43"/>
  <c r="U10" i="52"/>
  <c r="U10" i="41"/>
  <c r="O13" i="55"/>
  <c r="O13" i="53"/>
  <c r="O13" i="50"/>
  <c r="O13" i="54"/>
  <c r="O13" i="51"/>
  <c r="O13" i="43"/>
  <c r="O13" i="52"/>
  <c r="O13" i="41"/>
  <c r="U14" i="54"/>
  <c r="U14" i="55"/>
  <c r="U14" i="53"/>
  <c r="U14" i="50"/>
  <c r="U14" i="51"/>
  <c r="U14" i="52"/>
  <c r="U14" i="43"/>
  <c r="U14" i="41"/>
  <c r="U16" i="54"/>
  <c r="V16" i="54" s="1"/>
  <c r="U16" i="53"/>
  <c r="V16" i="53" s="1"/>
  <c r="U16" i="55"/>
  <c r="V16" i="55" s="1"/>
  <c r="V16" i="48"/>
  <c r="U16" i="50"/>
  <c r="V16" i="50" s="1"/>
  <c r="U16" i="52"/>
  <c r="V16" i="52" s="1"/>
  <c r="U16" i="51"/>
  <c r="V16" i="51" s="1"/>
  <c r="V16" i="44"/>
  <c r="V16" i="47"/>
  <c r="V16" i="46"/>
  <c r="U16" i="43"/>
  <c r="V16" i="43" s="1"/>
  <c r="U16" i="41"/>
  <c r="V16" i="41" s="1"/>
  <c r="U18" i="53"/>
  <c r="V18" i="53" s="1"/>
  <c r="U18" i="54"/>
  <c r="V18" i="54" s="1"/>
  <c r="AA18" i="54" s="1"/>
  <c r="AD18" i="54" s="1"/>
  <c r="U18" i="55"/>
  <c r="V18" i="55" s="1"/>
  <c r="V18" i="48"/>
  <c r="AA18" i="48" s="1"/>
  <c r="AD18" i="48" s="1"/>
  <c r="U18" i="52"/>
  <c r="V18" i="52" s="1"/>
  <c r="AA18" i="52" s="1"/>
  <c r="AD18" i="52" s="1"/>
  <c r="U18" i="50"/>
  <c r="V18" i="50" s="1"/>
  <c r="V18" i="47"/>
  <c r="V18" i="46"/>
  <c r="AA18" i="46" s="1"/>
  <c r="AD18" i="46" s="1"/>
  <c r="U18" i="51"/>
  <c r="V18" i="51" s="1"/>
  <c r="V18" i="44"/>
  <c r="AA18" i="44" s="1"/>
  <c r="AD18" i="44" s="1"/>
  <c r="U18" i="43"/>
  <c r="V18" i="43" s="1"/>
  <c r="AA18" i="43" s="1"/>
  <c r="AD18" i="43" s="1"/>
  <c r="U18" i="41"/>
  <c r="V18" i="41" s="1"/>
  <c r="AA18" i="41" s="1"/>
  <c r="U6" i="55"/>
  <c r="U6" i="54"/>
  <c r="U6" i="53"/>
  <c r="U6" i="50"/>
  <c r="U6" i="52"/>
  <c r="U6" i="51"/>
  <c r="U6" i="43"/>
  <c r="U6" i="41"/>
  <c r="W8" i="49"/>
  <c r="X8" i="49"/>
  <c r="O8" i="54"/>
  <c r="O8" i="53"/>
  <c r="O8" i="55"/>
  <c r="O8" i="50"/>
  <c r="O8" i="43"/>
  <c r="O8" i="52"/>
  <c r="O8" i="51"/>
  <c r="O8" i="41"/>
  <c r="U9" i="54"/>
  <c r="U9" i="55"/>
  <c r="U9" i="53"/>
  <c r="U9" i="50"/>
  <c r="U9" i="51"/>
  <c r="U9" i="52"/>
  <c r="U9" i="43"/>
  <c r="U9" i="41"/>
  <c r="O12" i="50"/>
  <c r="O12" i="54"/>
  <c r="O12" i="55"/>
  <c r="O12" i="53"/>
  <c r="O12" i="51"/>
  <c r="O12" i="52"/>
  <c r="O12" i="43"/>
  <c r="O12" i="41"/>
  <c r="U13" i="55"/>
  <c r="U13" i="53"/>
  <c r="U13" i="54"/>
  <c r="U13" i="50"/>
  <c r="U13" i="51"/>
  <c r="U13" i="52"/>
  <c r="U13" i="43"/>
  <c r="U13" i="41"/>
  <c r="U8" i="54"/>
  <c r="U8" i="53"/>
  <c r="U8" i="55"/>
  <c r="U8" i="50"/>
  <c r="U8" i="52"/>
  <c r="U8" i="51"/>
  <c r="U8" i="43"/>
  <c r="U8" i="41"/>
  <c r="U12" i="54"/>
  <c r="U12" i="55"/>
  <c r="U12" i="53"/>
  <c r="U12" i="50"/>
  <c r="U12" i="51"/>
  <c r="U12" i="52"/>
  <c r="U12" i="43"/>
  <c r="U12" i="41"/>
  <c r="U15" i="53"/>
  <c r="V15" i="53" s="1"/>
  <c r="U15" i="55"/>
  <c r="V15" i="55" s="1"/>
  <c r="AA15" i="55" s="1"/>
  <c r="AD15" i="55" s="1"/>
  <c r="U15" i="54"/>
  <c r="V15" i="54" s="1"/>
  <c r="U15" i="51"/>
  <c r="V15" i="51" s="1"/>
  <c r="V15" i="48"/>
  <c r="AA15" i="48" s="1"/>
  <c r="AD15" i="48" s="1"/>
  <c r="U15" i="52"/>
  <c r="V15" i="52" s="1"/>
  <c r="AA15" i="52" s="1"/>
  <c r="AD15" i="52" s="1"/>
  <c r="V15" i="46"/>
  <c r="V15" i="44"/>
  <c r="U15" i="50"/>
  <c r="V15" i="50" s="1"/>
  <c r="AA15" i="50" s="1"/>
  <c r="AD15" i="50" s="1"/>
  <c r="V15" i="47"/>
  <c r="U15" i="43"/>
  <c r="V15" i="43" s="1"/>
  <c r="AA15" i="43" s="1"/>
  <c r="AD15" i="43" s="1"/>
  <c r="U15" i="41"/>
  <c r="V15" i="41" s="1"/>
  <c r="AA15" i="41" s="1"/>
  <c r="U17" i="55"/>
  <c r="V17" i="55" s="1"/>
  <c r="U17" i="54"/>
  <c r="V17" i="54" s="1"/>
  <c r="AA17" i="54" s="1"/>
  <c r="AD17" i="54" s="1"/>
  <c r="U17" i="53"/>
  <c r="V17" i="53" s="1"/>
  <c r="U17" i="51"/>
  <c r="V17" i="51" s="1"/>
  <c r="U17" i="50"/>
  <c r="V17" i="50" s="1"/>
  <c r="AA17" i="50" s="1"/>
  <c r="AD17" i="50" s="1"/>
  <c r="U17" i="52"/>
  <c r="V17" i="52" s="1"/>
  <c r="AA17" i="52" s="1"/>
  <c r="AD17" i="52" s="1"/>
  <c r="V17" i="47"/>
  <c r="U17" i="43"/>
  <c r="V17" i="43" s="1"/>
  <c r="AA17" i="43" s="1"/>
  <c r="AD17" i="43" s="1"/>
  <c r="V17" i="48"/>
  <c r="AA17" i="48" s="1"/>
  <c r="AD17" i="48" s="1"/>
  <c r="V17" i="46"/>
  <c r="V17" i="44"/>
  <c r="AA17" i="44" s="1"/>
  <c r="AD17" i="44" s="1"/>
  <c r="U17" i="41"/>
  <c r="V17" i="41" s="1"/>
  <c r="AA17" i="41" s="1"/>
  <c r="S5" i="49" a="1"/>
  <c r="S5" i="49" s="1"/>
  <c r="S6" i="49" a="1"/>
  <c r="S6" i="49" s="1"/>
  <c r="S7" i="49" a="1"/>
  <c r="S7" i="49" s="1"/>
  <c r="V12" i="50" l="1"/>
  <c r="AA12" i="50" s="1"/>
  <c r="AD12" i="50" s="1"/>
  <c r="V14" i="47"/>
  <c r="AA14" i="47" s="1"/>
  <c r="AD14" i="47" s="1"/>
  <c r="V10" i="44"/>
  <c r="AA10" i="44" s="1"/>
  <c r="AD10" i="44" s="1"/>
  <c r="V10" i="43"/>
  <c r="AA10" i="43" s="1"/>
  <c r="AD10" i="43" s="1"/>
  <c r="V11" i="43"/>
  <c r="AA11" i="43" s="1"/>
  <c r="AD11" i="43" s="1"/>
  <c r="V11" i="48"/>
  <c r="AA11" i="48" s="1"/>
  <c r="AD11" i="48" s="1"/>
  <c r="V11" i="51"/>
  <c r="AA11" i="51" s="1"/>
  <c r="AD11" i="51" s="1"/>
  <c r="V14" i="50"/>
  <c r="AA14" i="50" s="1"/>
  <c r="AD14" i="50" s="1"/>
  <c r="V12" i="47"/>
  <c r="AA12" i="47" s="1"/>
  <c r="AD12" i="47" s="1"/>
  <c r="V14" i="46"/>
  <c r="AA14" i="46" s="1"/>
  <c r="AD14" i="46" s="1"/>
  <c r="AA16" i="41"/>
  <c r="W16" i="41"/>
  <c r="X16" i="41" s="1"/>
  <c r="AA16" i="44"/>
  <c r="W16" i="44"/>
  <c r="X16" i="44" s="1"/>
  <c r="AA16" i="48"/>
  <c r="AA16" i="43"/>
  <c r="W16" i="43"/>
  <c r="X16" i="43" s="1"/>
  <c r="AA16" i="51"/>
  <c r="W16" i="51"/>
  <c r="X16" i="51" s="1"/>
  <c r="AA16" i="55"/>
  <c r="W16" i="55"/>
  <c r="X16" i="55" s="1"/>
  <c r="AA16" i="46"/>
  <c r="AA16" i="52"/>
  <c r="W16" i="52"/>
  <c r="X16" i="52" s="1"/>
  <c r="AA16" i="53"/>
  <c r="W16" i="53"/>
  <c r="X16" i="53" s="1"/>
  <c r="AA16" i="47"/>
  <c r="W16" i="50"/>
  <c r="X16" i="50" s="1"/>
  <c r="AA16" i="50"/>
  <c r="AA16" i="54"/>
  <c r="W16" i="54"/>
  <c r="X16" i="54" s="1"/>
  <c r="AA17" i="55"/>
  <c r="AD17" i="55" s="1"/>
  <c r="O6" i="54"/>
  <c r="V6" i="54" s="1"/>
  <c r="AA6" i="54" s="1"/>
  <c r="AD6" i="54" s="1"/>
  <c r="O6" i="50"/>
  <c r="V6" i="50" s="1"/>
  <c r="O6" i="53"/>
  <c r="V6" i="53" s="1"/>
  <c r="AA6" i="53" s="1"/>
  <c r="AD6" i="53" s="1"/>
  <c r="V6" i="48"/>
  <c r="V6" i="46"/>
  <c r="AA6" i="46" s="1"/>
  <c r="AD6" i="46" s="1"/>
  <c r="O6" i="55"/>
  <c r="V6" i="55" s="1"/>
  <c r="AA6" i="55" s="1"/>
  <c r="AD6" i="55" s="1"/>
  <c r="O6" i="51"/>
  <c r="V6" i="51" s="1"/>
  <c r="V6" i="47"/>
  <c r="V6" i="44"/>
  <c r="AA6" i="44" s="1"/>
  <c r="AD6" i="44" s="1"/>
  <c r="O6" i="52"/>
  <c r="V6" i="52" s="1"/>
  <c r="AA6" i="52" s="1"/>
  <c r="AD6" i="52" s="1"/>
  <c r="O6" i="43"/>
  <c r="V6" i="43" s="1"/>
  <c r="AA6" i="43" s="1"/>
  <c r="AD6" i="43" s="1"/>
  <c r="O6" i="41"/>
  <c r="V6" i="41" s="1"/>
  <c r="AA6" i="41" s="1"/>
  <c r="AA17" i="46"/>
  <c r="AD17" i="46" s="1"/>
  <c r="AA15" i="47"/>
  <c r="AD15" i="47" s="1"/>
  <c r="V12" i="44"/>
  <c r="AA12" i="44" s="1"/>
  <c r="AD12" i="44" s="1"/>
  <c r="V12" i="51"/>
  <c r="V12" i="54"/>
  <c r="AA12" i="54" s="1"/>
  <c r="AD12" i="54" s="1"/>
  <c r="V13" i="41"/>
  <c r="AA13" i="41" s="1"/>
  <c r="V13" i="43"/>
  <c r="V13" i="54"/>
  <c r="AA13" i="54" s="1"/>
  <c r="AD13" i="54" s="1"/>
  <c r="V14" i="41"/>
  <c r="AA14" i="41" s="1"/>
  <c r="V14" i="44"/>
  <c r="AA14" i="44" s="1"/>
  <c r="AD14" i="44" s="1"/>
  <c r="V14" i="53"/>
  <c r="AA14" i="53" s="1"/>
  <c r="AD14" i="53" s="1"/>
  <c r="V10" i="41"/>
  <c r="AA10" i="41" s="1"/>
  <c r="V10" i="51"/>
  <c r="AA10" i="51" s="1"/>
  <c r="AD10" i="51" s="1"/>
  <c r="V10" i="50"/>
  <c r="AA10" i="50" s="1"/>
  <c r="AD10" i="50" s="1"/>
  <c r="V11" i="41"/>
  <c r="AA11" i="41" s="1"/>
  <c r="V11" i="53"/>
  <c r="AA11" i="53" s="1"/>
  <c r="AD11" i="53" s="1"/>
  <c r="V11" i="44"/>
  <c r="AA11" i="44" s="1"/>
  <c r="AD11" i="44" s="1"/>
  <c r="V9" i="41"/>
  <c r="AA9" i="41" s="1"/>
  <c r="V9" i="52"/>
  <c r="AA9" i="52" s="1"/>
  <c r="AD9" i="52" s="1"/>
  <c r="V9" i="48"/>
  <c r="AA9" i="48" s="1"/>
  <c r="AD9" i="48" s="1"/>
  <c r="O5" i="55"/>
  <c r="V5" i="55" s="1"/>
  <c r="AA5" i="55" s="1"/>
  <c r="AD5" i="55" s="1"/>
  <c r="O5" i="53"/>
  <c r="V5" i="53" s="1"/>
  <c r="AA5" i="53" s="1"/>
  <c r="AD5" i="53" s="1"/>
  <c r="O5" i="52"/>
  <c r="V5" i="52" s="1"/>
  <c r="AA5" i="52" s="1"/>
  <c r="AD5" i="52" s="1"/>
  <c r="V5" i="46"/>
  <c r="V5" i="44"/>
  <c r="AA5" i="44" s="1"/>
  <c r="AD5" i="44" s="1"/>
  <c r="O5" i="43"/>
  <c r="V5" i="43" s="1"/>
  <c r="AA5" i="43" s="1"/>
  <c r="AD5" i="43" s="1"/>
  <c r="V5" i="47"/>
  <c r="AA5" i="47" s="1"/>
  <c r="AD5" i="47" s="1"/>
  <c r="O5" i="51"/>
  <c r="V5" i="51" s="1"/>
  <c r="O5" i="50"/>
  <c r="V5" i="50" s="1"/>
  <c r="AA5" i="50" s="1"/>
  <c r="AD5" i="50" s="1"/>
  <c r="V5" i="48"/>
  <c r="AA5" i="48" s="1"/>
  <c r="AD5" i="48" s="1"/>
  <c r="O5" i="54"/>
  <c r="V5" i="54" s="1"/>
  <c r="AA5" i="54" s="1"/>
  <c r="AD5" i="54" s="1"/>
  <c r="AA18" i="47"/>
  <c r="AD18" i="47" s="1"/>
  <c r="AA18" i="55"/>
  <c r="AD18" i="55" s="1"/>
  <c r="V13" i="48"/>
  <c r="V13" i="46"/>
  <c r="AA13" i="46" s="1"/>
  <c r="AD13" i="46" s="1"/>
  <c r="V13" i="50"/>
  <c r="AA13" i="50" s="1"/>
  <c r="AD13" i="50" s="1"/>
  <c r="V10" i="55"/>
  <c r="V9" i="44"/>
  <c r="AA9" i="44" s="1"/>
  <c r="AD9" i="44" s="1"/>
  <c r="V9" i="50"/>
  <c r="AA9" i="50" s="1"/>
  <c r="AD9" i="50" s="1"/>
  <c r="V9" i="53"/>
  <c r="AA9" i="53" s="1"/>
  <c r="AD9" i="53" s="1"/>
  <c r="AA15" i="53"/>
  <c r="AD15" i="53" s="1"/>
  <c r="V12" i="48"/>
  <c r="AA17" i="51"/>
  <c r="AD17" i="51" s="1"/>
  <c r="AA15" i="44"/>
  <c r="AD15" i="44" s="1"/>
  <c r="AA15" i="51"/>
  <c r="AD15" i="51" s="1"/>
  <c r="V12" i="41"/>
  <c r="AA12" i="41" s="1"/>
  <c r="V12" i="46"/>
  <c r="V12" i="53"/>
  <c r="T8" i="54"/>
  <c r="T8" i="53"/>
  <c r="T8" i="55"/>
  <c r="T8" i="50"/>
  <c r="T8" i="43"/>
  <c r="T8" i="51"/>
  <c r="T8" i="52"/>
  <c r="T8" i="41"/>
  <c r="AA18" i="50"/>
  <c r="AD18" i="50" s="1"/>
  <c r="V13" i="44"/>
  <c r="AA13" i="44" s="1"/>
  <c r="AD13" i="44" s="1"/>
  <c r="V13" i="51"/>
  <c r="AA13" i="51" s="1"/>
  <c r="AD13" i="51" s="1"/>
  <c r="V13" i="53"/>
  <c r="V14" i="48"/>
  <c r="V14" i="52"/>
  <c r="AA14" i="52" s="1"/>
  <c r="AD14" i="52" s="1"/>
  <c r="V14" i="54"/>
  <c r="AA14" i="54" s="1"/>
  <c r="AD14" i="54" s="1"/>
  <c r="V10" i="47"/>
  <c r="V10" i="46"/>
  <c r="V10" i="54"/>
  <c r="AA10" i="54" s="1"/>
  <c r="AD10" i="54" s="1"/>
  <c r="V11" i="47"/>
  <c r="V11" i="55"/>
  <c r="AA11" i="55" s="1"/>
  <c r="AD11" i="55" s="1"/>
  <c r="V11" i="46"/>
  <c r="AA11" i="46" s="1"/>
  <c r="AD11" i="46" s="1"/>
  <c r="V9" i="46"/>
  <c r="V9" i="43"/>
  <c r="AA9" i="43" s="1"/>
  <c r="AD9" i="43" s="1"/>
  <c r="V9" i="54"/>
  <c r="AA9" i="54" s="1"/>
  <c r="AD9" i="54" s="1"/>
  <c r="O7" i="53"/>
  <c r="V7" i="53" s="1"/>
  <c r="AA7" i="53" s="1"/>
  <c r="AD7" i="53" s="1"/>
  <c r="O7" i="50"/>
  <c r="V7" i="50" s="1"/>
  <c r="AA7" i="50" s="1"/>
  <c r="AD7" i="50" s="1"/>
  <c r="O7" i="43"/>
  <c r="V7" i="43" s="1"/>
  <c r="AA7" i="43" s="1"/>
  <c r="AD7" i="43" s="1"/>
  <c r="O7" i="54"/>
  <c r="V7" i="54" s="1"/>
  <c r="AA7" i="54" s="1"/>
  <c r="AD7" i="54" s="1"/>
  <c r="O7" i="55"/>
  <c r="V7" i="55" s="1"/>
  <c r="AA7" i="55" s="1"/>
  <c r="AD7" i="55" s="1"/>
  <c r="V7" i="46"/>
  <c r="O7" i="52"/>
  <c r="V7" i="52" s="1"/>
  <c r="AA7" i="52" s="1"/>
  <c r="AD7" i="52" s="1"/>
  <c r="V7" i="47"/>
  <c r="V7" i="44"/>
  <c r="AA7" i="44" s="1"/>
  <c r="AD7" i="44" s="1"/>
  <c r="O7" i="51"/>
  <c r="V7" i="51" s="1"/>
  <c r="V7" i="48"/>
  <c r="AA7" i="48" s="1"/>
  <c r="AD7" i="48" s="1"/>
  <c r="O7" i="41"/>
  <c r="V7" i="41" s="1"/>
  <c r="AA7" i="41" s="1"/>
  <c r="AA17" i="47"/>
  <c r="AD17" i="47" s="1"/>
  <c r="AA17" i="53"/>
  <c r="AD17" i="53" s="1"/>
  <c r="AA15" i="46"/>
  <c r="AD15" i="46" s="1"/>
  <c r="AA15" i="54"/>
  <c r="AD15" i="54" s="1"/>
  <c r="V12" i="43"/>
  <c r="AA12" i="43" s="1"/>
  <c r="AD12" i="43" s="1"/>
  <c r="V12" i="52"/>
  <c r="AA12" i="52" s="1"/>
  <c r="AD12" i="52" s="1"/>
  <c r="V12" i="55"/>
  <c r="AA12" i="55" s="1"/>
  <c r="AD12" i="55" s="1"/>
  <c r="S8" i="53"/>
  <c r="S8" i="54"/>
  <c r="S8" i="55"/>
  <c r="S8" i="50"/>
  <c r="S8" i="51"/>
  <c r="S8" i="52"/>
  <c r="S8" i="43"/>
  <c r="S8" i="41"/>
  <c r="AA18" i="51"/>
  <c r="AD18" i="51" s="1"/>
  <c r="AA18" i="53"/>
  <c r="AD18" i="53" s="1"/>
  <c r="V13" i="52"/>
  <c r="AA13" i="52" s="1"/>
  <c r="AD13" i="52" s="1"/>
  <c r="V13" i="47"/>
  <c r="AA13" i="47" s="1"/>
  <c r="AD13" i="47" s="1"/>
  <c r="V13" i="55"/>
  <c r="AA13" i="55" s="1"/>
  <c r="AD13" i="55" s="1"/>
  <c r="V14" i="51"/>
  <c r="AA14" i="51" s="1"/>
  <c r="AD14" i="51" s="1"/>
  <c r="V14" i="43"/>
  <c r="AA14" i="43" s="1"/>
  <c r="AD14" i="43" s="1"/>
  <c r="V14" i="55"/>
  <c r="V10" i="52"/>
  <c r="AA10" i="52" s="1"/>
  <c r="AD10" i="52" s="1"/>
  <c r="V10" i="48"/>
  <c r="AA10" i="48" s="1"/>
  <c r="AD10" i="48" s="1"/>
  <c r="V10" i="53"/>
  <c r="AA10" i="53" s="1"/>
  <c r="AD10" i="53" s="1"/>
  <c r="V11" i="52"/>
  <c r="AA11" i="52" s="1"/>
  <c r="AD11" i="52" s="1"/>
  <c r="V11" i="50"/>
  <c r="AA11" i="50" s="1"/>
  <c r="AD11" i="50" s="1"/>
  <c r="V11" i="54"/>
  <c r="AA11" i="54" s="1"/>
  <c r="AD11" i="54" s="1"/>
  <c r="V9" i="51"/>
  <c r="V9" i="47"/>
  <c r="V9" i="55"/>
  <c r="V8" i="44" l="1"/>
  <c r="W8" i="44" s="1"/>
  <c r="X8" i="44" s="1"/>
  <c r="V8" i="47"/>
  <c r="AA8" i="47" s="1"/>
  <c r="V8" i="48"/>
  <c r="AA8" i="48" s="1"/>
  <c r="V8" i="53"/>
  <c r="V40" i="53" s="1"/>
  <c r="V8" i="41"/>
  <c r="W8" i="41" s="1"/>
  <c r="X8" i="41" s="1"/>
  <c r="V8" i="46"/>
  <c r="AA8" i="46" s="1"/>
  <c r="AD16" i="55"/>
  <c r="V8" i="43"/>
  <c r="W8" i="43" s="1"/>
  <c r="X8" i="43" s="1"/>
  <c r="V8" i="50"/>
  <c r="AA8" i="50" s="1"/>
  <c r="AD16" i="53"/>
  <c r="V8" i="51"/>
  <c r="AA8" i="51" s="1"/>
  <c r="V8" i="54"/>
  <c r="V40" i="54" s="1"/>
  <c r="V8" i="55"/>
  <c r="AA8" i="55" s="1"/>
  <c r="AD16" i="52"/>
  <c r="V8" i="52"/>
  <c r="V40" i="52" s="1"/>
  <c r="AD16" i="50"/>
  <c r="W8" i="52"/>
  <c r="X8" i="52" s="1"/>
  <c r="X40" i="52" s="1"/>
  <c r="W8" i="55"/>
  <c r="X8" i="55" s="1"/>
  <c r="W8" i="51"/>
  <c r="X8" i="51" s="1"/>
  <c r="X40" i="51" s="1"/>
  <c r="W8" i="54"/>
  <c r="W8" i="50"/>
  <c r="X8" i="50" s="1"/>
  <c r="X40" i="50" s="1"/>
  <c r="W8" i="53"/>
  <c r="X8" i="53" s="1"/>
  <c r="X40" i="53" s="1"/>
  <c r="AA8" i="44"/>
  <c r="AA9" i="55"/>
  <c r="AD9" i="55" s="1"/>
  <c r="AA9" i="51"/>
  <c r="AD9" i="51" s="1"/>
  <c r="AA11" i="47"/>
  <c r="AD11" i="47" s="1"/>
  <c r="AA12" i="46"/>
  <c r="AD12" i="46" s="1"/>
  <c r="AA12" i="48"/>
  <c r="AD12" i="48" s="1"/>
  <c r="AA5" i="51"/>
  <c r="AD5" i="51" s="1"/>
  <c r="AA5" i="46"/>
  <c r="AD5" i="46" s="1"/>
  <c r="AD16" i="54"/>
  <c r="AD16" i="48"/>
  <c r="AA7" i="51"/>
  <c r="AD7" i="51" s="1"/>
  <c r="AA7" i="46"/>
  <c r="AD7" i="46" s="1"/>
  <c r="AA9" i="46"/>
  <c r="AD9" i="46" s="1"/>
  <c r="AA13" i="48"/>
  <c r="AD13" i="48" s="1"/>
  <c r="AA13" i="43"/>
  <c r="AD13" i="43" s="1"/>
  <c r="AA6" i="47"/>
  <c r="AD6" i="47" s="1"/>
  <c r="AA6" i="48"/>
  <c r="AD6" i="48" s="1"/>
  <c r="AD16" i="47"/>
  <c r="AD16" i="46"/>
  <c r="AA10" i="46"/>
  <c r="AD10" i="46" s="1"/>
  <c r="AA14" i="48"/>
  <c r="AD14" i="48" s="1"/>
  <c r="AA10" i="55"/>
  <c r="AD10" i="55" s="1"/>
  <c r="AA6" i="51"/>
  <c r="AD6" i="51" s="1"/>
  <c r="AA9" i="47"/>
  <c r="AD9" i="47" s="1"/>
  <c r="AA14" i="55"/>
  <c r="AD14" i="55" s="1"/>
  <c r="AA7" i="47"/>
  <c r="AD7" i="47" s="1"/>
  <c r="AA10" i="47"/>
  <c r="AD10" i="47" s="1"/>
  <c r="AA13" i="53"/>
  <c r="AD13" i="53" s="1"/>
  <c r="AA12" i="53"/>
  <c r="AD12" i="53" s="1"/>
  <c r="AA12" i="51"/>
  <c r="AD12" i="51" s="1"/>
  <c r="AA6" i="50"/>
  <c r="AD6" i="50" s="1"/>
  <c r="AD16" i="51"/>
  <c r="AD16" i="43"/>
  <c r="AD16" i="44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J21" i="40" s="1"/>
  <c r="B22" i="40"/>
  <c r="K22" i="40" s="1"/>
  <c r="B23" i="40"/>
  <c r="B24" i="40"/>
  <c r="L24" i="40" s="1"/>
  <c r="B25" i="40"/>
  <c r="M25" i="40" s="1"/>
  <c r="B26" i="40"/>
  <c r="O26" i="40" s="1"/>
  <c r="B27" i="40"/>
  <c r="B28" i="40"/>
  <c r="M28" i="40" s="1"/>
  <c r="B29" i="40"/>
  <c r="J29" i="40" s="1"/>
  <c r="B30" i="40"/>
  <c r="K30" i="40" s="1"/>
  <c r="B31" i="40"/>
  <c r="L31" i="40" s="1"/>
  <c r="B32" i="40"/>
  <c r="M32" i="40" s="1"/>
  <c r="B33" i="40"/>
  <c r="M33" i="40" s="1"/>
  <c r="B34" i="40"/>
  <c r="B35" i="40"/>
  <c r="B36" i="40"/>
  <c r="B37" i="40"/>
  <c r="B38" i="40"/>
  <c r="B39" i="40"/>
  <c r="B5" i="40"/>
  <c r="AA8" i="53" l="1"/>
  <c r="AD8" i="53" s="1"/>
  <c r="AD40" i="53" s="1"/>
  <c r="AA8" i="41"/>
  <c r="AA8" i="52"/>
  <c r="AA40" i="52" s="1"/>
  <c r="V40" i="50"/>
  <c r="W40" i="53"/>
  <c r="W40" i="52"/>
  <c r="AA8" i="43"/>
  <c r="AD8" i="43" s="1"/>
  <c r="AA8" i="54"/>
  <c r="AA40" i="54" s="1"/>
  <c r="V40" i="51"/>
  <c r="AA40" i="50"/>
  <c r="AD8" i="55"/>
  <c r="AD8" i="44"/>
  <c r="AD8" i="51"/>
  <c r="AD40" i="51" s="1"/>
  <c r="W40" i="51"/>
  <c r="W40" i="50"/>
  <c r="AD8" i="50"/>
  <c r="AD40" i="50" s="1"/>
  <c r="AA40" i="51"/>
  <c r="X8" i="54"/>
  <c r="X40" i="54" s="1"/>
  <c r="W40" i="54"/>
  <c r="AA40" i="53"/>
  <c r="AP34" i="48"/>
  <c r="AQ34" i="48"/>
  <c r="AR34" i="48"/>
  <c r="AK34" i="48"/>
  <c r="AJ34" i="48" s="1"/>
  <c r="AR34" i="47"/>
  <c r="AQ34" i="47"/>
  <c r="AP34" i="47"/>
  <c r="AK34" i="47"/>
  <c r="AJ34" i="47" s="1"/>
  <c r="AQ36" i="48"/>
  <c r="AR36" i="48"/>
  <c r="AK36" i="48"/>
  <c r="AJ36" i="48" s="1"/>
  <c r="AP36" i="48"/>
  <c r="AP36" i="47"/>
  <c r="AQ36" i="47"/>
  <c r="AK36" i="47"/>
  <c r="AJ36" i="47" s="1"/>
  <c r="AR36" i="47"/>
  <c r="K37" i="40"/>
  <c r="X37" i="40"/>
  <c r="Y37" i="40" s="1" a="1"/>
  <c r="Y37" i="40" s="1"/>
  <c r="N17" i="40"/>
  <c r="J13" i="40"/>
  <c r="M9" i="40"/>
  <c r="L5" i="40"/>
  <c r="M20" i="40"/>
  <c r="L16" i="40"/>
  <c r="M12" i="40"/>
  <c r="L8" i="40"/>
  <c r="K39" i="40"/>
  <c r="X39" i="40"/>
  <c r="Y39" i="40" s="1" a="1"/>
  <c r="Y39" i="40" s="1"/>
  <c r="K35" i="40"/>
  <c r="L7" i="40"/>
  <c r="M38" i="40"/>
  <c r="X38" i="40"/>
  <c r="Y38" i="40" s="1" a="1"/>
  <c r="Y38" i="40" s="1"/>
  <c r="O18" i="40"/>
  <c r="K14" i="40"/>
  <c r="O10" i="40"/>
  <c r="K6" i="40"/>
  <c r="M36" i="40"/>
  <c r="O34" i="40"/>
  <c r="N39" i="40"/>
  <c r="J39" i="40"/>
  <c r="L38" i="40"/>
  <c r="N37" i="40"/>
  <c r="J37" i="40"/>
  <c r="L36" i="40"/>
  <c r="N35" i="40"/>
  <c r="J35" i="40"/>
  <c r="L32" i="40"/>
  <c r="N25" i="40"/>
  <c r="M17" i="40"/>
  <c r="M8" i="40"/>
  <c r="M39" i="40"/>
  <c r="O38" i="40"/>
  <c r="K38" i="40"/>
  <c r="M37" i="40"/>
  <c r="O36" i="40"/>
  <c r="K36" i="40"/>
  <c r="M35" i="40"/>
  <c r="N33" i="40"/>
  <c r="M16" i="40"/>
  <c r="K5" i="40"/>
  <c r="L39" i="40"/>
  <c r="N38" i="40"/>
  <c r="J38" i="40"/>
  <c r="L37" i="40"/>
  <c r="N36" i="40"/>
  <c r="J36" i="40"/>
  <c r="L35" i="40"/>
  <c r="M24" i="40"/>
  <c r="N9" i="40"/>
  <c r="O39" i="40"/>
  <c r="O37" i="40"/>
  <c r="O35" i="40"/>
  <c r="M31" i="40"/>
  <c r="J31" i="40"/>
  <c r="N31" i="40"/>
  <c r="O31" i="40"/>
  <c r="K31" i="40"/>
  <c r="M27" i="40"/>
  <c r="J27" i="40"/>
  <c r="N27" i="40"/>
  <c r="K27" i="40"/>
  <c r="L27" i="40"/>
  <c r="O27" i="40"/>
  <c r="M23" i="40"/>
  <c r="J23" i="40"/>
  <c r="N23" i="40"/>
  <c r="O23" i="40"/>
  <c r="K23" i="40"/>
  <c r="M19" i="40"/>
  <c r="J19" i="40"/>
  <c r="N19" i="40"/>
  <c r="K19" i="40"/>
  <c r="L19" i="40"/>
  <c r="O19" i="40"/>
  <c r="M15" i="40"/>
  <c r="J15" i="40"/>
  <c r="N15" i="40"/>
  <c r="O15" i="40"/>
  <c r="K15" i="40"/>
  <c r="M11" i="40"/>
  <c r="J11" i="40"/>
  <c r="N11" i="40"/>
  <c r="K11" i="40"/>
  <c r="L11" i="40"/>
  <c r="O11" i="40"/>
  <c r="M7" i="40"/>
  <c r="J7" i="40"/>
  <c r="N7" i="40"/>
  <c r="O7" i="40"/>
  <c r="K7" i="40"/>
  <c r="L23" i="40"/>
  <c r="L15" i="40"/>
  <c r="L34" i="40"/>
  <c r="M34" i="40"/>
  <c r="L30" i="40"/>
  <c r="M30" i="40"/>
  <c r="L26" i="40"/>
  <c r="M26" i="40"/>
  <c r="L22" i="40"/>
  <c r="M22" i="40"/>
  <c r="L18" i="40"/>
  <c r="M18" i="40"/>
  <c r="L14" i="40"/>
  <c r="M14" i="40"/>
  <c r="L10" i="40"/>
  <c r="M10" i="40"/>
  <c r="L6" i="40"/>
  <c r="M6" i="40"/>
  <c r="N34" i="40"/>
  <c r="J30" i="40"/>
  <c r="N26" i="40"/>
  <c r="J22" i="40"/>
  <c r="N18" i="40"/>
  <c r="J14" i="40"/>
  <c r="N10" i="40"/>
  <c r="J6" i="40"/>
  <c r="K33" i="40"/>
  <c r="O33" i="40"/>
  <c r="L33" i="40"/>
  <c r="K29" i="40"/>
  <c r="O29" i="40"/>
  <c r="L29" i="40"/>
  <c r="K25" i="40"/>
  <c r="O25" i="40"/>
  <c r="L25" i="40"/>
  <c r="K21" i="40"/>
  <c r="O21" i="40"/>
  <c r="L21" i="40"/>
  <c r="K17" i="40"/>
  <c r="O17" i="40"/>
  <c r="L17" i="40"/>
  <c r="K13" i="40"/>
  <c r="O13" i="40"/>
  <c r="L13" i="40"/>
  <c r="K9" i="40"/>
  <c r="O9" i="40"/>
  <c r="L9" i="40"/>
  <c r="K34" i="40"/>
  <c r="J33" i="40"/>
  <c r="O30" i="40"/>
  <c r="N29" i="40"/>
  <c r="K26" i="40"/>
  <c r="J25" i="40"/>
  <c r="O22" i="40"/>
  <c r="N21" i="40"/>
  <c r="K18" i="40"/>
  <c r="J17" i="40"/>
  <c r="O14" i="40"/>
  <c r="N13" i="40"/>
  <c r="K10" i="40"/>
  <c r="J9" i="40"/>
  <c r="O6" i="40"/>
  <c r="N5" i="40"/>
  <c r="J5" i="40"/>
  <c r="M5" i="40"/>
  <c r="J32" i="40"/>
  <c r="N32" i="40"/>
  <c r="K32" i="40"/>
  <c r="O32" i="40"/>
  <c r="J28" i="40"/>
  <c r="N28" i="40"/>
  <c r="K28" i="40"/>
  <c r="O28" i="40"/>
  <c r="J24" i="40"/>
  <c r="N24" i="40"/>
  <c r="K24" i="40"/>
  <c r="O24" i="40"/>
  <c r="J20" i="40"/>
  <c r="N20" i="40"/>
  <c r="K20" i="40"/>
  <c r="O20" i="40"/>
  <c r="J16" i="40"/>
  <c r="N16" i="40"/>
  <c r="K16" i="40"/>
  <c r="O16" i="40"/>
  <c r="J12" i="40"/>
  <c r="N12" i="40"/>
  <c r="K12" i="40"/>
  <c r="O12" i="40"/>
  <c r="J8" i="40"/>
  <c r="N8" i="40"/>
  <c r="K8" i="40"/>
  <c r="O8" i="40"/>
  <c r="J34" i="40"/>
  <c r="N30" i="40"/>
  <c r="M29" i="40"/>
  <c r="L28" i="40"/>
  <c r="J26" i="40"/>
  <c r="N22" i="40"/>
  <c r="M21" i="40"/>
  <c r="L20" i="40"/>
  <c r="J18" i="40"/>
  <c r="N14" i="40"/>
  <c r="M13" i="40"/>
  <c r="L12" i="40"/>
  <c r="J10" i="40"/>
  <c r="N6" i="40"/>
  <c r="E2" i="45"/>
  <c r="AD8" i="47" l="1"/>
  <c r="AD8" i="48"/>
  <c r="AD8" i="46"/>
  <c r="AD8" i="52"/>
  <c r="AD40" i="52" s="1"/>
  <c r="AD8" i="54"/>
  <c r="AD40" i="54" s="1"/>
  <c r="AK36" i="44"/>
  <c r="AJ36" i="44" s="1"/>
  <c r="AK37" i="44"/>
  <c r="AJ37" i="44" s="1"/>
  <c r="AK38" i="44"/>
  <c r="AJ38" i="44" s="1"/>
  <c r="AK39" i="44"/>
  <c r="AJ39" i="44" s="1"/>
  <c r="AP34" i="44"/>
  <c r="AQ34" i="44"/>
  <c r="AR34" i="44"/>
  <c r="AP36" i="44"/>
  <c r="AQ36" i="44"/>
  <c r="AR36" i="44"/>
  <c r="AP37" i="44"/>
  <c r="AQ37" i="44"/>
  <c r="AR37" i="44"/>
  <c r="AP38" i="44"/>
  <c r="AQ38" i="44"/>
  <c r="AR38" i="44"/>
  <c r="AP39" i="44"/>
  <c r="AQ39" i="44"/>
  <c r="AR39" i="44"/>
  <c r="AC40" i="47"/>
  <c r="AC40" i="44"/>
  <c r="AC40" i="43"/>
  <c r="AC40" i="46" l="1"/>
  <c r="AC5" i="41"/>
  <c r="AC40" i="41" s="1"/>
  <c r="AB5" i="41"/>
  <c r="AK34" i="46"/>
  <c r="G6" i="45"/>
  <c r="H6" i="45"/>
  <c r="G7" i="45"/>
  <c r="H7" i="45"/>
  <c r="G8" i="45"/>
  <c r="H8" i="45"/>
  <c r="G9" i="45"/>
  <c r="H9" i="45"/>
  <c r="G10" i="45"/>
  <c r="H10" i="45"/>
  <c r="G11" i="45"/>
  <c r="H11" i="45"/>
  <c r="G12" i="45"/>
  <c r="H12" i="45"/>
  <c r="G13" i="45"/>
  <c r="H13" i="45"/>
  <c r="G14" i="45"/>
  <c r="H14" i="45"/>
  <c r="G15" i="45"/>
  <c r="H15" i="45"/>
  <c r="G16" i="45"/>
  <c r="H16" i="45"/>
  <c r="G17" i="45"/>
  <c r="H17" i="45"/>
  <c r="G18" i="45"/>
  <c r="H18" i="45"/>
  <c r="G19" i="45"/>
  <c r="H19" i="45"/>
  <c r="G20" i="45"/>
  <c r="H20" i="45"/>
  <c r="G21" i="45"/>
  <c r="H21" i="45"/>
  <c r="G22" i="45"/>
  <c r="H22" i="45"/>
  <c r="G23" i="45"/>
  <c r="H23" i="45"/>
  <c r="G24" i="45"/>
  <c r="H24" i="45"/>
  <c r="G25" i="45"/>
  <c r="H25" i="45"/>
  <c r="G26" i="45"/>
  <c r="H26" i="45"/>
  <c r="G27" i="45"/>
  <c r="H27" i="45"/>
  <c r="G28" i="45"/>
  <c r="H28" i="45"/>
  <c r="G29" i="45"/>
  <c r="H29" i="45"/>
  <c r="G30" i="45"/>
  <c r="H30" i="45"/>
  <c r="G31" i="45"/>
  <c r="H31" i="45"/>
  <c r="G32" i="45"/>
  <c r="H32" i="45"/>
  <c r="G33" i="45"/>
  <c r="H33" i="45"/>
  <c r="G34" i="45"/>
  <c r="I34" i="45" s="1"/>
  <c r="H34" i="45"/>
  <c r="G35" i="45"/>
  <c r="H35" i="45"/>
  <c r="G36" i="45"/>
  <c r="I36" i="45" s="1"/>
  <c r="H36" i="45"/>
  <c r="G37" i="45"/>
  <c r="H37" i="45"/>
  <c r="G38" i="45"/>
  <c r="I38" i="45" s="1"/>
  <c r="H38" i="45"/>
  <c r="G39" i="45"/>
  <c r="H39" i="45"/>
  <c r="D2" i="45"/>
  <c r="I39" i="45" l="1"/>
  <c r="I35" i="45"/>
  <c r="I37" i="45"/>
  <c r="I32" i="45"/>
  <c r="I30" i="45"/>
  <c r="I28" i="45"/>
  <c r="I26" i="45"/>
  <c r="I24" i="45"/>
  <c r="I22" i="45"/>
  <c r="I20" i="45"/>
  <c r="I18" i="45"/>
  <c r="I14" i="45"/>
  <c r="I12" i="45"/>
  <c r="I8" i="45"/>
  <c r="AR33" i="55"/>
  <c r="AP33" i="54"/>
  <c r="AQ34" i="54"/>
  <c r="AR33" i="53"/>
  <c r="AP33" i="55"/>
  <c r="AR34" i="55"/>
  <c r="AQ33" i="54"/>
  <c r="AQ33" i="53"/>
  <c r="AQ33" i="55"/>
  <c r="AR33" i="54"/>
  <c r="AP34" i="53"/>
  <c r="AP34" i="55"/>
  <c r="AP34" i="54"/>
  <c r="AQ34" i="53"/>
  <c r="AQ34" i="55"/>
  <c r="AR34" i="54"/>
  <c r="AR34" i="53"/>
  <c r="AP33" i="53"/>
  <c r="AP34" i="51"/>
  <c r="AP34" i="52"/>
  <c r="AQ34" i="51"/>
  <c r="AR34" i="51"/>
  <c r="AR34" i="52"/>
  <c r="AQ34" i="52"/>
  <c r="AP34" i="46"/>
  <c r="AQ34" i="46"/>
  <c r="AR34" i="46"/>
  <c r="AR36" i="46"/>
  <c r="AP36" i="46"/>
  <c r="AQ36" i="46"/>
  <c r="AQ32" i="50"/>
  <c r="AR32" i="48"/>
  <c r="AP32" i="46"/>
  <c r="AR32" i="50"/>
  <c r="AP32" i="47"/>
  <c r="AQ32" i="46"/>
  <c r="AR32" i="47"/>
  <c r="AP32" i="48"/>
  <c r="AQ32" i="47"/>
  <c r="AR32" i="46"/>
  <c r="AP32" i="50"/>
  <c r="AQ32" i="48"/>
  <c r="AK28" i="47"/>
  <c r="AK27" i="47"/>
  <c r="AP35" i="50"/>
  <c r="AR35" i="50"/>
  <c r="AQ35" i="50"/>
  <c r="AR35" i="47"/>
  <c r="AP35" i="47"/>
  <c r="AQ35" i="47"/>
  <c r="AP35" i="48"/>
  <c r="AQ35" i="48"/>
  <c r="AR35" i="48"/>
  <c r="AQ35" i="46"/>
  <c r="AP35" i="46"/>
  <c r="AR35" i="46"/>
  <c r="AC40" i="48"/>
  <c r="I33" i="45"/>
  <c r="I31" i="45"/>
  <c r="I29" i="45"/>
  <c r="AK37" i="46"/>
  <c r="AJ37" i="46" s="1"/>
  <c r="AJ34" i="46"/>
  <c r="AK38" i="46"/>
  <c r="AJ38" i="46" s="1"/>
  <c r="AK35" i="46"/>
  <c r="AJ35" i="46" s="1"/>
  <c r="AK39" i="46"/>
  <c r="AJ39" i="46" s="1"/>
  <c r="AK36" i="46"/>
  <c r="AJ36" i="46" s="1"/>
  <c r="I27" i="45"/>
  <c r="I25" i="45"/>
  <c r="I23" i="45"/>
  <c r="I21" i="45"/>
  <c r="I19" i="45"/>
  <c r="I17" i="45"/>
  <c r="I16" i="45"/>
  <c r="I15" i="45"/>
  <c r="I13" i="45"/>
  <c r="I11" i="45"/>
  <c r="I10" i="45"/>
  <c r="I9" i="45"/>
  <c r="I7" i="45"/>
  <c r="I6" i="45"/>
  <c r="AB40" i="43"/>
  <c r="AB40" i="41"/>
  <c r="AB40" i="44"/>
  <c r="AB40" i="46"/>
  <c r="AB40" i="47"/>
  <c r="AB40" i="48"/>
  <c r="Z37" i="49"/>
  <c r="Z16" i="49"/>
  <c r="X16" i="40" s="1"/>
  <c r="Y16" i="40" s="1" a="1"/>
  <c r="Y16" i="40" s="1"/>
  <c r="Z18" i="49"/>
  <c r="X32" i="40"/>
  <c r="Y32" i="40" s="1" a="1"/>
  <c r="Y32" i="40" s="1"/>
  <c r="Z38" i="49"/>
  <c r="AE38" i="49" s="1"/>
  <c r="Z6" i="49"/>
  <c r="X6" i="40" s="1"/>
  <c r="Y6" i="40" s="1" a="1"/>
  <c r="Y6" i="40" s="1"/>
  <c r="Z7" i="49"/>
  <c r="Z15" i="49"/>
  <c r="X15" i="40" s="1"/>
  <c r="Y15" i="40" s="1" a="1"/>
  <c r="Y15" i="40" s="1"/>
  <c r="X19" i="40"/>
  <c r="Y19" i="40" s="1" a="1"/>
  <c r="Y19" i="40" s="1"/>
  <c r="Z39" i="49"/>
  <c r="AE39" i="49" s="1"/>
  <c r="Z8" i="49"/>
  <c r="X8" i="40" s="1"/>
  <c r="Y8" i="40" s="1" a="1"/>
  <c r="Y8" i="40" s="1"/>
  <c r="Z13" i="49"/>
  <c r="AQ19" i="55"/>
  <c r="T20" i="40" l="1"/>
  <c r="AQ28" i="48"/>
  <c r="AQ25" i="50"/>
  <c r="AQ28" i="51"/>
  <c r="AR28" i="46"/>
  <c r="AP27" i="47"/>
  <c r="AP24" i="48"/>
  <c r="AP21" i="50"/>
  <c r="AQ22" i="46"/>
  <c r="AR30" i="47"/>
  <c r="AQ26" i="48"/>
  <c r="AP25" i="51"/>
  <c r="AR28" i="51"/>
  <c r="AR25" i="54"/>
  <c r="AP20" i="52"/>
  <c r="AP17" i="46"/>
  <c r="AP18" i="55"/>
  <c r="AP21" i="53"/>
  <c r="AQ22" i="55"/>
  <c r="AP19" i="52"/>
  <c r="AK37" i="43"/>
  <c r="AJ37" i="43" s="1"/>
  <c r="T18" i="40"/>
  <c r="T7" i="40"/>
  <c r="T14" i="40"/>
  <c r="T11" i="40"/>
  <c r="AQ30" i="46"/>
  <c r="AR20" i="47"/>
  <c r="AP27" i="48"/>
  <c r="AR21" i="48"/>
  <c r="AQ29" i="50"/>
  <c r="AP24" i="50"/>
  <c r="AQ32" i="51"/>
  <c r="AP27" i="51"/>
  <c r="AR21" i="51"/>
  <c r="AQ31" i="47"/>
  <c r="AQ27" i="46"/>
  <c r="AP22" i="46"/>
  <c r="AP31" i="47"/>
  <c r="AR25" i="47"/>
  <c r="AQ20" i="47"/>
  <c r="AP28" i="48"/>
  <c r="AR22" i="48"/>
  <c r="AQ30" i="50"/>
  <c r="AP25" i="50"/>
  <c r="AP32" i="51"/>
  <c r="AR26" i="51"/>
  <c r="AQ21" i="51"/>
  <c r="AP31" i="46"/>
  <c r="AR25" i="46"/>
  <c r="AQ20" i="46"/>
  <c r="AQ29" i="47"/>
  <c r="AP24" i="47"/>
  <c r="AR31" i="48"/>
  <c r="AR23" i="48"/>
  <c r="AQ31" i="50"/>
  <c r="AR24" i="50"/>
  <c r="AQ30" i="51"/>
  <c r="AR31" i="46"/>
  <c r="AP24" i="46"/>
  <c r="AP31" i="50"/>
  <c r="AQ23" i="51"/>
  <c r="AR15" i="54"/>
  <c r="AQ17" i="54"/>
  <c r="AR17" i="48"/>
  <c r="AP18" i="46"/>
  <c r="AQ27" i="55"/>
  <c r="AQ17" i="50"/>
  <c r="AR26" i="53"/>
  <c r="AP23" i="54"/>
  <c r="AP15" i="46"/>
  <c r="AP16" i="52"/>
  <c r="AQ30" i="52"/>
  <c r="AP31" i="53"/>
  <c r="AQ28" i="55"/>
  <c r="AK38" i="43"/>
  <c r="AJ38" i="43" s="1"/>
  <c r="T5" i="40"/>
  <c r="AP23" i="48"/>
  <c r="AP20" i="50"/>
  <c r="AR23" i="46"/>
  <c r="AQ29" i="48"/>
  <c r="AQ26" i="50"/>
  <c r="AR22" i="51"/>
  <c r="AR21" i="46"/>
  <c r="AP20" i="47"/>
  <c r="AR31" i="51"/>
  <c r="AP21" i="47"/>
  <c r="AQ27" i="52"/>
  <c r="AR18" i="53"/>
  <c r="AP30" i="54"/>
  <c r="AQ24" i="52"/>
  <c r="AQ16" i="50"/>
  <c r="AQ6" i="55"/>
  <c r="AR7" i="55"/>
  <c r="AP9" i="55"/>
  <c r="AQ10" i="55"/>
  <c r="AR11" i="55"/>
  <c r="AP13" i="55"/>
  <c r="AQ14" i="55"/>
  <c r="AP5" i="55"/>
  <c r="AR6" i="54"/>
  <c r="AP8" i="54"/>
  <c r="AQ9" i="54"/>
  <c r="AR10" i="54"/>
  <c r="AP12" i="54"/>
  <c r="AQ13" i="54"/>
  <c r="AR14" i="54"/>
  <c r="AP5" i="54"/>
  <c r="AR6" i="53"/>
  <c r="AP8" i="53"/>
  <c r="AQ9" i="53"/>
  <c r="AR10" i="53"/>
  <c r="AP12" i="53"/>
  <c r="AQ13" i="53"/>
  <c r="AR14" i="53"/>
  <c r="AQ5" i="53"/>
  <c r="AP6" i="52"/>
  <c r="AQ7" i="52"/>
  <c r="AR8" i="52"/>
  <c r="AP10" i="52"/>
  <c r="AQ11" i="52"/>
  <c r="AR12" i="52"/>
  <c r="AP14" i="52"/>
  <c r="AR5" i="52"/>
  <c r="AP7" i="51"/>
  <c r="AQ8" i="51"/>
  <c r="AR9" i="51"/>
  <c r="AP11" i="51"/>
  <c r="AQ12" i="51"/>
  <c r="AR13" i="51"/>
  <c r="AP6" i="50"/>
  <c r="AQ7" i="50"/>
  <c r="AR8" i="50"/>
  <c r="AP10" i="50"/>
  <c r="AQ11" i="50"/>
  <c r="AR12" i="50"/>
  <c r="AP14" i="50"/>
  <c r="AR5" i="50"/>
  <c r="AQ6" i="48"/>
  <c r="AR7" i="48"/>
  <c r="AP9" i="48"/>
  <c r="AQ10" i="48"/>
  <c r="AR11" i="48"/>
  <c r="AP13" i="48"/>
  <c r="AQ14" i="48"/>
  <c r="AQ5" i="48"/>
  <c r="AR6" i="47"/>
  <c r="AP8" i="47"/>
  <c r="AQ9" i="47"/>
  <c r="AR10" i="47"/>
  <c r="AP12" i="47"/>
  <c r="AQ13" i="47"/>
  <c r="AR14" i="47"/>
  <c r="AP5" i="47"/>
  <c r="AP7" i="46"/>
  <c r="AQ8" i="46"/>
  <c r="AR9" i="46"/>
  <c r="AP11" i="46"/>
  <c r="AQ12" i="46"/>
  <c r="AR13" i="46"/>
  <c r="AR6" i="55"/>
  <c r="AP8" i="55"/>
  <c r="AQ9" i="55"/>
  <c r="AR10" i="55"/>
  <c r="AP12" i="55"/>
  <c r="AQ13" i="55"/>
  <c r="AR14" i="55"/>
  <c r="AP7" i="54"/>
  <c r="AQ8" i="54"/>
  <c r="AR9" i="54"/>
  <c r="AP11" i="54"/>
  <c r="AQ12" i="54"/>
  <c r="AR13" i="54"/>
  <c r="AP7" i="53"/>
  <c r="AQ8" i="53"/>
  <c r="AR9" i="53"/>
  <c r="AP11" i="53"/>
  <c r="AQ12" i="53"/>
  <c r="AR13" i="53"/>
  <c r="AP5" i="53"/>
  <c r="AQ6" i="52"/>
  <c r="AR7" i="52"/>
  <c r="AP9" i="52"/>
  <c r="AQ10" i="52"/>
  <c r="AR11" i="52"/>
  <c r="AP13" i="52"/>
  <c r="AQ14" i="52"/>
  <c r="AQ5" i="52"/>
  <c r="AP6" i="51"/>
  <c r="AQ7" i="51"/>
  <c r="AR8" i="51"/>
  <c r="AP10" i="51"/>
  <c r="AQ11" i="51"/>
  <c r="AR12" i="51"/>
  <c r="AP14" i="51"/>
  <c r="AR5" i="51"/>
  <c r="AQ6" i="50"/>
  <c r="AR7" i="50"/>
  <c r="AP9" i="50"/>
  <c r="AQ10" i="50"/>
  <c r="AR11" i="50"/>
  <c r="AP13" i="50"/>
  <c r="AQ14" i="50"/>
  <c r="AQ5" i="50"/>
  <c r="AR6" i="48"/>
  <c r="AP8" i="48"/>
  <c r="AQ9" i="48"/>
  <c r="AR10" i="48"/>
  <c r="AP12" i="48"/>
  <c r="AQ13" i="48"/>
  <c r="AR14" i="48"/>
  <c r="AP5" i="48"/>
  <c r="AP7" i="47"/>
  <c r="AQ8" i="47"/>
  <c r="AR9" i="47"/>
  <c r="AP11" i="47"/>
  <c r="AQ12" i="47"/>
  <c r="AR13" i="47"/>
  <c r="AP6" i="46"/>
  <c r="AQ7" i="46"/>
  <c r="AR8" i="46"/>
  <c r="AP10" i="46"/>
  <c r="AQ11" i="46"/>
  <c r="AR12" i="46"/>
  <c r="AP14" i="46"/>
  <c r="AR5" i="46"/>
  <c r="AP14" i="55"/>
  <c r="AP7" i="55"/>
  <c r="AQ8" i="55"/>
  <c r="AR9" i="55"/>
  <c r="AP11" i="55"/>
  <c r="AQ12" i="55"/>
  <c r="AR13" i="55"/>
  <c r="AR5" i="55"/>
  <c r="AP6" i="54"/>
  <c r="AQ7" i="54"/>
  <c r="AR8" i="54"/>
  <c r="AP10" i="54"/>
  <c r="AQ11" i="54"/>
  <c r="AR12" i="54"/>
  <c r="AP14" i="54"/>
  <c r="AR5" i="54"/>
  <c r="AP6" i="53"/>
  <c r="AQ7" i="53"/>
  <c r="AR8" i="53"/>
  <c r="AP10" i="53"/>
  <c r="AQ11" i="53"/>
  <c r="AR12" i="53"/>
  <c r="AP14" i="53"/>
  <c r="AR6" i="52"/>
  <c r="AP8" i="52"/>
  <c r="AQ9" i="52"/>
  <c r="AR10" i="52"/>
  <c r="AP12" i="52"/>
  <c r="AQ13" i="52"/>
  <c r="AR14" i="52"/>
  <c r="AP5" i="52"/>
  <c r="AQ6" i="51"/>
  <c r="AR7" i="51"/>
  <c r="AP9" i="51"/>
  <c r="AQ10" i="51"/>
  <c r="AR11" i="51"/>
  <c r="AP13" i="51"/>
  <c r="AQ14" i="51"/>
  <c r="AQ5" i="51"/>
  <c r="AR6" i="50"/>
  <c r="AP8" i="50"/>
  <c r="AQ9" i="50"/>
  <c r="AR10" i="50"/>
  <c r="AP12" i="50"/>
  <c r="AQ13" i="50"/>
  <c r="AR14" i="50"/>
  <c r="AP5" i="50"/>
  <c r="AP7" i="48"/>
  <c r="AQ8" i="48"/>
  <c r="AR9" i="48"/>
  <c r="AP11" i="48"/>
  <c r="AQ12" i="48"/>
  <c r="AR13" i="48"/>
  <c r="AP6" i="47"/>
  <c r="AQ7" i="47"/>
  <c r="AR8" i="47"/>
  <c r="AP10" i="47"/>
  <c r="AQ11" i="47"/>
  <c r="AR12" i="47"/>
  <c r="AP14" i="47"/>
  <c r="AR5" i="47"/>
  <c r="AQ6" i="46"/>
  <c r="AR7" i="46"/>
  <c r="AP9" i="46"/>
  <c r="AQ10" i="46"/>
  <c r="AR11" i="46"/>
  <c r="AP13" i="46"/>
  <c r="AQ14" i="46"/>
  <c r="AQ5" i="46"/>
  <c r="AP6" i="55"/>
  <c r="AQ7" i="55"/>
  <c r="AR8" i="55"/>
  <c r="AP10" i="55"/>
  <c r="AQ11" i="55"/>
  <c r="AR12" i="55"/>
  <c r="AQ5" i="55"/>
  <c r="AQ6" i="54"/>
  <c r="AR11" i="54"/>
  <c r="AQ5" i="54"/>
  <c r="AP9" i="53"/>
  <c r="AQ14" i="53"/>
  <c r="AP11" i="52"/>
  <c r="AQ9" i="51"/>
  <c r="AR14" i="51"/>
  <c r="AQ8" i="50"/>
  <c r="AR13" i="50"/>
  <c r="AR8" i="48"/>
  <c r="AP14" i="48"/>
  <c r="AR7" i="47"/>
  <c r="AP13" i="47"/>
  <c r="AR6" i="46"/>
  <c r="AP12" i="46"/>
  <c r="AP5" i="46"/>
  <c r="AR7" i="53"/>
  <c r="AR9" i="52"/>
  <c r="AQ13" i="51"/>
  <c r="AQ7" i="48"/>
  <c r="AR11" i="47"/>
  <c r="AR7" i="54"/>
  <c r="AP13" i="54"/>
  <c r="AQ10" i="53"/>
  <c r="AP7" i="52"/>
  <c r="AQ12" i="52"/>
  <c r="AR10" i="51"/>
  <c r="AR9" i="50"/>
  <c r="AP10" i="48"/>
  <c r="AP9" i="47"/>
  <c r="AQ14" i="47"/>
  <c r="AP8" i="46"/>
  <c r="AQ13" i="46"/>
  <c r="AP13" i="53"/>
  <c r="AR5" i="53"/>
  <c r="AP7" i="50"/>
  <c r="AR12" i="48"/>
  <c r="AQ5" i="47"/>
  <c r="AP9" i="54"/>
  <c r="AQ14" i="54"/>
  <c r="AQ6" i="53"/>
  <c r="AR11" i="53"/>
  <c r="AQ8" i="52"/>
  <c r="AR13" i="52"/>
  <c r="AR6" i="51"/>
  <c r="AP12" i="51"/>
  <c r="AP5" i="51"/>
  <c r="AP11" i="50"/>
  <c r="AP6" i="48"/>
  <c r="AQ11" i="48"/>
  <c r="AR5" i="48"/>
  <c r="AQ10" i="47"/>
  <c r="AQ9" i="46"/>
  <c r="AR14" i="46"/>
  <c r="AQ10" i="54"/>
  <c r="AP8" i="51"/>
  <c r="AQ12" i="50"/>
  <c r="AQ6" i="47"/>
  <c r="AR10" i="46"/>
  <c r="AR19" i="55"/>
  <c r="AR19" i="52"/>
  <c r="AQ19" i="52"/>
  <c r="AR17" i="55"/>
  <c r="AQ24" i="55"/>
  <c r="AR29" i="55"/>
  <c r="AP17" i="54"/>
  <c r="AR23" i="54"/>
  <c r="AP29" i="54"/>
  <c r="AR21" i="53"/>
  <c r="AP27" i="53"/>
  <c r="AQ32" i="53"/>
  <c r="AP21" i="52"/>
  <c r="AQ26" i="52"/>
  <c r="AR31" i="52"/>
  <c r="AR17" i="50"/>
  <c r="AQ18" i="47"/>
  <c r="AP24" i="55"/>
  <c r="AQ31" i="55"/>
  <c r="AR17" i="54"/>
  <c r="AP26" i="54"/>
  <c r="AR22" i="53"/>
  <c r="AP30" i="53"/>
  <c r="AR17" i="52"/>
  <c r="AP26" i="52"/>
  <c r="AQ17" i="51"/>
  <c r="AR18" i="48"/>
  <c r="AR16" i="46"/>
  <c r="AP21" i="55"/>
  <c r="AP28" i="55"/>
  <c r="AQ16" i="54"/>
  <c r="AR24" i="54"/>
  <c r="AP32" i="54"/>
  <c r="AQ21" i="53"/>
  <c r="AR28" i="53"/>
  <c r="AQ16" i="52"/>
  <c r="AR24" i="52"/>
  <c r="AP32" i="52"/>
  <c r="AQ17" i="48"/>
  <c r="AR16" i="55"/>
  <c r="AP25" i="55"/>
  <c r="AP32" i="55"/>
  <c r="AP20" i="54"/>
  <c r="AP27" i="54"/>
  <c r="AP20" i="53"/>
  <c r="AQ27" i="53"/>
  <c r="AR21" i="52"/>
  <c r="AR28" i="52"/>
  <c r="AQ18" i="51"/>
  <c r="AQ29" i="53"/>
  <c r="AP16" i="50"/>
  <c r="AQ15" i="55"/>
  <c r="AR25" i="52"/>
  <c r="AQ20" i="54"/>
  <c r="AQ16" i="47"/>
  <c r="AP24" i="54"/>
  <c r="AP24" i="52"/>
  <c r="AP18" i="47"/>
  <c r="AR15" i="53"/>
  <c r="AQ18" i="48"/>
  <c r="AQ27" i="54"/>
  <c r="AQ17" i="52"/>
  <c r="AP16" i="48"/>
  <c r="AQ15" i="54"/>
  <c r="AP15" i="52"/>
  <c r="AP15" i="54"/>
  <c r="AR15" i="47"/>
  <c r="AQ15" i="48"/>
  <c r="AP19" i="50"/>
  <c r="AP19" i="47"/>
  <c r="AP19" i="48"/>
  <c r="AR24" i="51"/>
  <c r="AP30" i="51"/>
  <c r="AR21" i="50"/>
  <c r="AP27" i="50"/>
  <c r="AR24" i="48"/>
  <c r="AP30" i="48"/>
  <c r="AQ22" i="47"/>
  <c r="AR27" i="47"/>
  <c r="AP20" i="46"/>
  <c r="AQ25" i="46"/>
  <c r="AR30" i="46"/>
  <c r="AR19" i="46"/>
  <c r="AP21" i="51"/>
  <c r="AQ19" i="53"/>
  <c r="AP19" i="53"/>
  <c r="AP19" i="51"/>
  <c r="AQ19" i="54"/>
  <c r="AQ20" i="55"/>
  <c r="AR25" i="55"/>
  <c r="AP31" i="55"/>
  <c r="AQ18" i="54"/>
  <c r="AP25" i="54"/>
  <c r="AQ30" i="54"/>
  <c r="AQ16" i="53"/>
  <c r="AP23" i="53"/>
  <c r="AQ28" i="53"/>
  <c r="AQ22" i="52"/>
  <c r="AR27" i="52"/>
  <c r="AR16" i="51"/>
  <c r="AR16" i="48"/>
  <c r="AP16" i="46"/>
  <c r="AQ17" i="55"/>
  <c r="AP26" i="55"/>
  <c r="AR20" i="54"/>
  <c r="AP28" i="54"/>
  <c r="AP16" i="53"/>
  <c r="AR24" i="53"/>
  <c r="AR31" i="53"/>
  <c r="AR20" i="52"/>
  <c r="AP28" i="52"/>
  <c r="AP17" i="50"/>
  <c r="AR16" i="47"/>
  <c r="AQ18" i="46"/>
  <c r="AR22" i="55"/>
  <c r="AP30" i="55"/>
  <c r="AP18" i="54"/>
  <c r="AR26" i="54"/>
  <c r="AQ23" i="53"/>
  <c r="AQ30" i="53"/>
  <c r="AP18" i="52"/>
  <c r="AR26" i="52"/>
  <c r="AP16" i="51"/>
  <c r="AQ17" i="47"/>
  <c r="AQ18" i="55"/>
  <c r="AR26" i="55"/>
  <c r="AR21" i="54"/>
  <c r="AR28" i="54"/>
  <c r="AQ15" i="53"/>
  <c r="AP22" i="53"/>
  <c r="AP29" i="53"/>
  <c r="AR16" i="52"/>
  <c r="AQ23" i="52"/>
  <c r="AR30" i="52"/>
  <c r="AR18" i="55"/>
  <c r="AP22" i="54"/>
  <c r="AP22" i="52"/>
  <c r="AQ16" i="48"/>
  <c r="AR30" i="55"/>
  <c r="AQ16" i="46"/>
  <c r="AR17" i="46"/>
  <c r="AP31" i="54"/>
  <c r="AP31" i="52"/>
  <c r="AR15" i="46"/>
  <c r="AP16" i="47"/>
  <c r="AQ17" i="53"/>
  <c r="AQ20" i="52"/>
  <c r="AP15" i="51"/>
  <c r="AP15" i="53"/>
  <c r="AR15" i="51"/>
  <c r="AR15" i="55"/>
  <c r="AP15" i="48"/>
  <c r="AP15" i="47"/>
  <c r="AR19" i="50"/>
  <c r="AR19" i="47"/>
  <c r="AR20" i="51"/>
  <c r="AP26" i="51"/>
  <c r="AQ31" i="51"/>
  <c r="AP23" i="50"/>
  <c r="AQ28" i="50"/>
  <c r="AR20" i="48"/>
  <c r="AP26" i="48"/>
  <c r="AQ31" i="48"/>
  <c r="AR23" i="47"/>
  <c r="AP29" i="47"/>
  <c r="AQ21" i="46"/>
  <c r="AR26" i="46"/>
  <c r="AP21" i="46"/>
  <c r="AQ22" i="51"/>
  <c r="AR19" i="53"/>
  <c r="AR19" i="51"/>
  <c r="AP19" i="54"/>
  <c r="AP19" i="55"/>
  <c r="AR21" i="55"/>
  <c r="AP27" i="55"/>
  <c r="AQ32" i="55"/>
  <c r="AP21" i="54"/>
  <c r="AQ26" i="54"/>
  <c r="AR31" i="54"/>
  <c r="AR17" i="53"/>
  <c r="AQ24" i="53"/>
  <c r="AR29" i="53"/>
  <c r="AP17" i="52"/>
  <c r="AR23" i="52"/>
  <c r="AP29" i="52"/>
  <c r="AP18" i="51"/>
  <c r="AP18" i="48"/>
  <c r="AQ17" i="46"/>
  <c r="AR20" i="55"/>
  <c r="AR27" i="55"/>
  <c r="AR22" i="54"/>
  <c r="AR29" i="54"/>
  <c r="AP18" i="53"/>
  <c r="AQ26" i="53"/>
  <c r="AR22" i="52"/>
  <c r="AR29" i="52"/>
  <c r="AR18" i="50"/>
  <c r="AR18" i="47"/>
  <c r="AP16" i="55"/>
  <c r="AR24" i="55"/>
  <c r="AR31" i="55"/>
  <c r="AQ21" i="54"/>
  <c r="AQ28" i="54"/>
  <c r="AR16" i="53"/>
  <c r="AP25" i="53"/>
  <c r="AP32" i="53"/>
  <c r="AQ21" i="52"/>
  <c r="AQ28" i="52"/>
  <c r="AR17" i="51"/>
  <c r="AQ15" i="46"/>
  <c r="AQ21" i="55"/>
  <c r="AR28" i="55"/>
  <c r="AR16" i="54"/>
  <c r="AQ23" i="54"/>
  <c r="AR30" i="54"/>
  <c r="AP17" i="53"/>
  <c r="AR23" i="53"/>
  <c r="AR30" i="53"/>
  <c r="AR18" i="52"/>
  <c r="AQ25" i="52"/>
  <c r="AQ32" i="52"/>
  <c r="AP20" i="55"/>
  <c r="AQ29" i="54"/>
  <c r="AQ29" i="52"/>
  <c r="AR17" i="47"/>
  <c r="AR32" i="54"/>
  <c r="AP17" i="55"/>
  <c r="AP22" i="55"/>
  <c r="AP24" i="53"/>
  <c r="AR16" i="50"/>
  <c r="AR23" i="55"/>
  <c r="AR32" i="52"/>
  <c r="AR32" i="55"/>
  <c r="AR20" i="53"/>
  <c r="AP17" i="51"/>
  <c r="AR15" i="52"/>
  <c r="AQ15" i="51"/>
  <c r="AR15" i="50"/>
  <c r="AQ15" i="52"/>
  <c r="AR15" i="48"/>
  <c r="AQ19" i="50"/>
  <c r="AR19" i="48"/>
  <c r="AP22" i="51"/>
  <c r="AQ27" i="51"/>
  <c r="AR32" i="51"/>
  <c r="AQ24" i="50"/>
  <c r="AR29" i="50"/>
  <c r="AP22" i="48"/>
  <c r="AQ27" i="48"/>
  <c r="AP25" i="47"/>
  <c r="AQ30" i="47"/>
  <c r="AR22" i="46"/>
  <c r="AP28" i="46"/>
  <c r="AQ23" i="47"/>
  <c r="AQ26" i="46"/>
  <c r="AR23" i="51"/>
  <c r="AP29" i="51"/>
  <c r="AP22" i="50"/>
  <c r="AQ27" i="50"/>
  <c r="AP25" i="48"/>
  <c r="AQ30" i="48"/>
  <c r="AK36" i="43"/>
  <c r="AJ36" i="43" s="1"/>
  <c r="T15" i="40"/>
  <c r="T19" i="40"/>
  <c r="T8" i="40"/>
  <c r="T9" i="40"/>
  <c r="AP25" i="46"/>
  <c r="AR25" i="48"/>
  <c r="AQ20" i="48"/>
  <c r="AP28" i="50"/>
  <c r="AR22" i="50"/>
  <c r="AP31" i="51"/>
  <c r="AR25" i="51"/>
  <c r="AQ20" i="51"/>
  <c r="AP26" i="47"/>
  <c r="AQ31" i="46"/>
  <c r="AP26" i="46"/>
  <c r="AR20" i="46"/>
  <c r="AR29" i="47"/>
  <c r="AQ24" i="47"/>
  <c r="AR26" i="48"/>
  <c r="AQ21" i="48"/>
  <c r="AP29" i="50"/>
  <c r="AR23" i="50"/>
  <c r="AR30" i="51"/>
  <c r="AQ25" i="51"/>
  <c r="AP20" i="51"/>
  <c r="AQ27" i="47"/>
  <c r="AR29" i="46"/>
  <c r="AQ24" i="46"/>
  <c r="AP19" i="46"/>
  <c r="AP28" i="47"/>
  <c r="AR22" i="47"/>
  <c r="AP29" i="48"/>
  <c r="AQ22" i="48"/>
  <c r="AP30" i="50"/>
  <c r="AQ23" i="50"/>
  <c r="AR27" i="51"/>
  <c r="AR28" i="47"/>
  <c r="AR31" i="47"/>
  <c r="AR28" i="48"/>
  <c r="AR25" i="50"/>
  <c r="AQ19" i="47"/>
  <c r="AQ15" i="47"/>
  <c r="AP15" i="50"/>
  <c r="AP18" i="50"/>
  <c r="AQ31" i="53"/>
  <c r="AR18" i="51"/>
  <c r="AQ16" i="51"/>
  <c r="AR32" i="53"/>
  <c r="AQ32" i="54"/>
  <c r="AQ30" i="55"/>
  <c r="AP30" i="52"/>
  <c r="AQ18" i="53"/>
  <c r="AP17" i="48"/>
  <c r="AQ31" i="54"/>
  <c r="AR18" i="46"/>
  <c r="AP25" i="52"/>
  <c r="AR25" i="53"/>
  <c r="AR27" i="54"/>
  <c r="AP23" i="55"/>
  <c r="AR19" i="54"/>
  <c r="T10" i="40"/>
  <c r="T6" i="40"/>
  <c r="AR24" i="47"/>
  <c r="AR30" i="50"/>
  <c r="AP23" i="51"/>
  <c r="AQ23" i="46"/>
  <c r="AR21" i="47"/>
  <c r="AR31" i="50"/>
  <c r="AP28" i="51"/>
  <c r="AP27" i="46"/>
  <c r="AQ25" i="47"/>
  <c r="AP26" i="50"/>
  <c r="AQ29" i="46"/>
  <c r="AP15" i="55"/>
  <c r="AR27" i="53"/>
  <c r="AP26" i="53"/>
  <c r="AR18" i="54"/>
  <c r="AP16" i="54"/>
  <c r="AK39" i="43"/>
  <c r="AJ39" i="43" s="1"/>
  <c r="T12" i="40"/>
  <c r="T13" i="40"/>
  <c r="T16" i="40"/>
  <c r="T17" i="40"/>
  <c r="AP30" i="47"/>
  <c r="AR29" i="48"/>
  <c r="AQ24" i="48"/>
  <c r="AR26" i="50"/>
  <c r="AQ21" i="50"/>
  <c r="AR29" i="51"/>
  <c r="AQ24" i="51"/>
  <c r="AP29" i="46"/>
  <c r="AP31" i="48"/>
  <c r="AP30" i="46"/>
  <c r="AR24" i="46"/>
  <c r="AQ19" i="46"/>
  <c r="AQ28" i="47"/>
  <c r="AP23" i="47"/>
  <c r="AR30" i="48"/>
  <c r="AQ25" i="48"/>
  <c r="AP20" i="48"/>
  <c r="AR27" i="50"/>
  <c r="AQ22" i="50"/>
  <c r="AQ29" i="51"/>
  <c r="AP24" i="51"/>
  <c r="AR27" i="46"/>
  <c r="AP22" i="47"/>
  <c r="AQ28" i="46"/>
  <c r="AP23" i="46"/>
  <c r="AR26" i="47"/>
  <c r="AQ21" i="47"/>
  <c r="AR27" i="48"/>
  <c r="AP21" i="48"/>
  <c r="AR28" i="50"/>
  <c r="AR20" i="50"/>
  <c r="AQ26" i="51"/>
  <c r="AQ26" i="47"/>
  <c r="AQ23" i="48"/>
  <c r="AQ20" i="50"/>
  <c r="AQ19" i="48"/>
  <c r="AQ15" i="50"/>
  <c r="AQ18" i="50"/>
  <c r="AP29" i="55"/>
  <c r="AQ25" i="55"/>
  <c r="AQ22" i="53"/>
  <c r="AP27" i="52"/>
  <c r="AQ25" i="53"/>
  <c r="AQ25" i="54"/>
  <c r="AQ23" i="55"/>
  <c r="AP23" i="52"/>
  <c r="AQ26" i="55"/>
  <c r="AQ31" i="52"/>
  <c r="AP28" i="53"/>
  <c r="AQ24" i="54"/>
  <c r="AQ29" i="55"/>
  <c r="AP17" i="47"/>
  <c r="AQ18" i="52"/>
  <c r="AQ20" i="53"/>
  <c r="AQ22" i="54"/>
  <c r="AQ16" i="55"/>
  <c r="AQ19" i="51"/>
  <c r="X36" i="40"/>
  <c r="Y36" i="40" s="1" a="1"/>
  <c r="Y36" i="40" s="1"/>
  <c r="X35" i="40"/>
  <c r="Y35" i="40" s="1" a="1"/>
  <c r="Y35" i="40" s="1"/>
  <c r="AQ35" i="51"/>
  <c r="AQ35" i="52"/>
  <c r="AP33" i="52"/>
  <c r="AR35" i="52"/>
  <c r="AR33" i="52"/>
  <c r="AP35" i="52"/>
  <c r="AQ33" i="52"/>
  <c r="AP35" i="51"/>
  <c r="AR35" i="51"/>
  <c r="AJ28" i="47"/>
  <c r="AK28" i="48"/>
  <c r="AJ27" i="47"/>
  <c r="AK27" i="48"/>
  <c r="AK35" i="47"/>
  <c r="T38" i="40"/>
  <c r="AR33" i="48"/>
  <c r="AQ33" i="47"/>
  <c r="AP33" i="46"/>
  <c r="AR33" i="46"/>
  <c r="AP33" i="51"/>
  <c r="AP33" i="50"/>
  <c r="AR33" i="47"/>
  <c r="AQ33" i="46"/>
  <c r="AQ33" i="51"/>
  <c r="AQ33" i="50"/>
  <c r="AP33" i="48"/>
  <c r="AR33" i="51"/>
  <c r="AR33" i="50"/>
  <c r="AQ33" i="48"/>
  <c r="AP33" i="47"/>
  <c r="AQ35" i="44"/>
  <c r="AR35" i="44"/>
  <c r="AP35" i="44"/>
  <c r="AK35" i="43"/>
  <c r="AJ35" i="43" s="1"/>
  <c r="X24" i="40"/>
  <c r="Y24" i="40" s="1" a="1"/>
  <c r="Y24" i="40" s="1"/>
  <c r="X31" i="40"/>
  <c r="Y31" i="40" s="1" a="1"/>
  <c r="Y31" i="40" s="1"/>
  <c r="X28" i="40"/>
  <c r="Y28" i="40" s="1" a="1"/>
  <c r="Y28" i="40" s="1"/>
  <c r="X26" i="40"/>
  <c r="Y26" i="40" s="1" a="1"/>
  <c r="Y26" i="40" s="1"/>
  <c r="X23" i="40"/>
  <c r="Y23" i="40" s="1" a="1"/>
  <c r="Y23" i="40" s="1"/>
  <c r="X25" i="40"/>
  <c r="Y25" i="40" s="1" a="1"/>
  <c r="Y25" i="40" s="1"/>
  <c r="X30" i="40"/>
  <c r="Y30" i="40" s="1" a="1"/>
  <c r="Y30" i="40" s="1"/>
  <c r="X22" i="40"/>
  <c r="Y22" i="40" s="1" a="1"/>
  <c r="Y22" i="40" s="1"/>
  <c r="X29" i="40"/>
  <c r="Y29" i="40" s="1" a="1"/>
  <c r="Y29" i="40" s="1"/>
  <c r="T37" i="40"/>
  <c r="T34" i="40"/>
  <c r="T30" i="40"/>
  <c r="T32" i="40"/>
  <c r="T31" i="40"/>
  <c r="T23" i="40"/>
  <c r="T25" i="40"/>
  <c r="T28" i="40"/>
  <c r="T29" i="40"/>
  <c r="T22" i="40"/>
  <c r="T27" i="40"/>
  <c r="T24" i="40"/>
  <c r="T21" i="40"/>
  <c r="T26" i="40"/>
  <c r="T33" i="40"/>
  <c r="T35" i="40"/>
  <c r="T39" i="40"/>
  <c r="T36" i="40"/>
  <c r="X27" i="40"/>
  <c r="Y27" i="40" s="1" a="1"/>
  <c r="Y27" i="40" s="1"/>
  <c r="AE13" i="49"/>
  <c r="AF13" i="49" s="1"/>
  <c r="X13" i="40"/>
  <c r="Y13" i="40" s="1" a="1"/>
  <c r="Y13" i="40" s="1"/>
  <c r="X20" i="40"/>
  <c r="Y20" i="40" s="1" a="1"/>
  <c r="Y20" i="40" s="1"/>
  <c r="X33" i="40"/>
  <c r="Y33" i="40" s="1" a="1"/>
  <c r="Y33" i="40" s="1"/>
  <c r="AE7" i="49"/>
  <c r="AF7" i="49" s="1"/>
  <c r="X7" i="40"/>
  <c r="Y7" i="40" s="1" a="1"/>
  <c r="Y7" i="40" s="1"/>
  <c r="AE18" i="49"/>
  <c r="AF18" i="49" s="1"/>
  <c r="X18" i="40"/>
  <c r="Y18" i="40" s="1" a="1"/>
  <c r="Y18" i="40" s="1"/>
  <c r="AG37" i="49"/>
  <c r="AH37" i="49" s="1"/>
  <c r="AE37" i="49"/>
  <c r="AF37" i="49" s="1"/>
  <c r="AB8" i="49"/>
  <c r="AE8" i="49"/>
  <c r="AA8" i="49"/>
  <c r="AE6" i="49"/>
  <c r="AA6" i="49"/>
  <c r="AB6" i="49"/>
  <c r="AE15" i="49"/>
  <c r="AF15" i="49" s="1"/>
  <c r="AB16" i="49"/>
  <c r="AE16" i="49"/>
  <c r="AA16" i="49"/>
  <c r="AK19" i="43"/>
  <c r="AG25" i="43"/>
  <c r="AK25" i="43"/>
  <c r="AH25" i="43"/>
  <c r="AF25" i="43"/>
  <c r="AK18" i="43"/>
  <c r="AK11" i="43"/>
  <c r="AK34" i="43"/>
  <c r="AF27" i="43"/>
  <c r="AK27" i="43"/>
  <c r="AG27" i="43"/>
  <c r="AH27" i="43"/>
  <c r="AF24" i="43"/>
  <c r="AG24" i="43"/>
  <c r="AH24" i="43"/>
  <c r="AK24" i="43"/>
  <c r="AK20" i="43"/>
  <c r="AK17" i="43"/>
  <c r="AK13" i="43"/>
  <c r="AK10" i="43"/>
  <c r="AK6" i="43"/>
  <c r="AK21" i="43"/>
  <c r="AK7" i="43"/>
  <c r="AH26" i="43"/>
  <c r="AK26" i="43"/>
  <c r="AG26" i="43"/>
  <c r="AF26" i="43"/>
  <c r="AF23" i="43"/>
  <c r="AK23" i="43"/>
  <c r="AG23" i="43"/>
  <c r="AH23" i="43"/>
  <c r="AK16" i="43"/>
  <c r="AK9" i="43"/>
  <c r="AK14" i="43"/>
  <c r="AQ6" i="44"/>
  <c r="AR7" i="44"/>
  <c r="AP9" i="44"/>
  <c r="AQ10" i="44"/>
  <c r="AR11" i="44"/>
  <c r="AP13" i="44"/>
  <c r="AQ14" i="44"/>
  <c r="AR15" i="44"/>
  <c r="AP17" i="44"/>
  <c r="AQ18" i="44"/>
  <c r="AR19" i="44"/>
  <c r="AP21" i="44"/>
  <c r="AQ22" i="44"/>
  <c r="AR23" i="44"/>
  <c r="AP25" i="44"/>
  <c r="AQ26" i="44"/>
  <c r="AR27" i="44"/>
  <c r="AP29" i="44"/>
  <c r="AQ30" i="44"/>
  <c r="AR31" i="44"/>
  <c r="AP33" i="44"/>
  <c r="AP6" i="44"/>
  <c r="AR8" i="44"/>
  <c r="AQ11" i="44"/>
  <c r="AQ15" i="44"/>
  <c r="AQ19" i="44"/>
  <c r="AQ23" i="44"/>
  <c r="AQ27" i="44"/>
  <c r="AP30" i="44"/>
  <c r="AR6" i="44"/>
  <c r="AP8" i="44"/>
  <c r="AQ9" i="44"/>
  <c r="AR10" i="44"/>
  <c r="AP12" i="44"/>
  <c r="AQ13" i="44"/>
  <c r="AR14" i="44"/>
  <c r="AP16" i="44"/>
  <c r="AQ17" i="44"/>
  <c r="AR18" i="44"/>
  <c r="AP20" i="44"/>
  <c r="AQ21" i="44"/>
  <c r="AR22" i="44"/>
  <c r="AP24" i="44"/>
  <c r="AQ25" i="44"/>
  <c r="AR26" i="44"/>
  <c r="AP28" i="44"/>
  <c r="AQ29" i="44"/>
  <c r="AR30" i="44"/>
  <c r="AP32" i="44"/>
  <c r="AQ33" i="44"/>
  <c r="AR5" i="44"/>
  <c r="AQ7" i="44"/>
  <c r="AR12" i="44"/>
  <c r="AR16" i="44"/>
  <c r="AR20" i="44"/>
  <c r="AR24" i="44"/>
  <c r="AR28" i="44"/>
  <c r="AR32" i="44"/>
  <c r="AP5" i="44"/>
  <c r="AP7" i="44"/>
  <c r="AQ8" i="44"/>
  <c r="AR9" i="44"/>
  <c r="AP11" i="44"/>
  <c r="AQ12" i="44"/>
  <c r="AR13" i="44"/>
  <c r="AP15" i="44"/>
  <c r="AQ16" i="44"/>
  <c r="AR17" i="44"/>
  <c r="AP19" i="44"/>
  <c r="AQ20" i="44"/>
  <c r="AR21" i="44"/>
  <c r="AP23" i="44"/>
  <c r="AQ24" i="44"/>
  <c r="AR25" i="44"/>
  <c r="AP27" i="44"/>
  <c r="AQ28" i="44"/>
  <c r="AR29" i="44"/>
  <c r="AP31" i="44"/>
  <c r="AQ32" i="44"/>
  <c r="AR33" i="44"/>
  <c r="AQ5" i="44"/>
  <c r="AP10" i="44"/>
  <c r="AP14" i="44"/>
  <c r="AP18" i="44"/>
  <c r="AP22" i="44"/>
  <c r="AP26" i="44"/>
  <c r="AQ31" i="44"/>
  <c r="AP5" i="43"/>
  <c r="AK22" i="43"/>
  <c r="AK15" i="43"/>
  <c r="AK12" i="43"/>
  <c r="AK8" i="43"/>
  <c r="AG6" i="49"/>
  <c r="AH6" i="49" s="1"/>
  <c r="AG38" i="49"/>
  <c r="AH38" i="49" s="1"/>
  <c r="AG16" i="49"/>
  <c r="AH16" i="49" s="1"/>
  <c r="Z17" i="49"/>
  <c r="X21" i="40"/>
  <c r="Y21" i="40" s="1" a="1"/>
  <c r="Y21" i="40" s="1"/>
  <c r="Z11" i="49"/>
  <c r="X11" i="40" s="1"/>
  <c r="Y11" i="40" s="1" a="1"/>
  <c r="Y11" i="40" s="1"/>
  <c r="AG18" i="49"/>
  <c r="AG15" i="49"/>
  <c r="AG8" i="49"/>
  <c r="AG39" i="49"/>
  <c r="AH39" i="49" s="1"/>
  <c r="AF39" i="49"/>
  <c r="AG13" i="49"/>
  <c r="AG7" i="49"/>
  <c r="AQ39" i="43"/>
  <c r="AP39" i="43"/>
  <c r="AR39" i="43"/>
  <c r="AR7" i="43"/>
  <c r="AP7" i="43"/>
  <c r="AQ7" i="43"/>
  <c r="AQ37" i="43"/>
  <c r="AP37" i="43"/>
  <c r="AR37" i="43"/>
  <c r="AQ31" i="43"/>
  <c r="AR31" i="43"/>
  <c r="AP31" i="43"/>
  <c r="AQ29" i="43"/>
  <c r="AR29" i="43"/>
  <c r="AP29" i="43"/>
  <c r="AP9" i="43"/>
  <c r="AR9" i="43"/>
  <c r="AQ9" i="43"/>
  <c r="AQ33" i="43"/>
  <c r="AP33" i="43"/>
  <c r="AR33" i="43"/>
  <c r="AR28" i="43"/>
  <c r="AP28" i="43"/>
  <c r="AQ28" i="43"/>
  <c r="AQ25" i="43"/>
  <c r="AP25" i="43"/>
  <c r="AR25" i="43"/>
  <c r="AQ6" i="43"/>
  <c r="AR6" i="43"/>
  <c r="AP6" i="43"/>
  <c r="AP13" i="43"/>
  <c r="AR13" i="43"/>
  <c r="AQ13" i="43"/>
  <c r="AR5" i="43"/>
  <c r="AQ5" i="43"/>
  <c r="AR32" i="43"/>
  <c r="AP32" i="43"/>
  <c r="AQ32" i="43"/>
  <c r="AR24" i="43"/>
  <c r="AP24" i="43"/>
  <c r="AQ24" i="43"/>
  <c r="AQ10" i="43"/>
  <c r="AR10" i="43"/>
  <c r="AP10" i="43"/>
  <c r="AR36" i="43"/>
  <c r="AP36" i="43"/>
  <c r="AQ36" i="43"/>
  <c r="AQ14" i="43"/>
  <c r="AP14" i="43"/>
  <c r="AR14" i="43"/>
  <c r="AR11" i="43"/>
  <c r="AP11" i="43"/>
  <c r="AQ11" i="43"/>
  <c r="AP38" i="43"/>
  <c r="AQ38" i="43"/>
  <c r="AR38" i="43"/>
  <c r="AQ35" i="43"/>
  <c r="AP35" i="43"/>
  <c r="AR35" i="43"/>
  <c r="AP30" i="43"/>
  <c r="AR30" i="43"/>
  <c r="AQ30" i="43"/>
  <c r="AQ27" i="43"/>
  <c r="AR27" i="43"/>
  <c r="AP27" i="43"/>
  <c r="AQ8" i="43"/>
  <c r="AP8" i="43"/>
  <c r="AR8" i="43"/>
  <c r="AP34" i="43"/>
  <c r="AR34" i="43"/>
  <c r="AQ34" i="43"/>
  <c r="AP26" i="43"/>
  <c r="AR26" i="43"/>
  <c r="AQ26" i="43"/>
  <c r="AQ12" i="43"/>
  <c r="AP12" i="43"/>
  <c r="AR12" i="43"/>
  <c r="AQ16" i="43"/>
  <c r="AR17" i="43"/>
  <c r="AP19" i="43"/>
  <c r="AQ20" i="43"/>
  <c r="AR21" i="43"/>
  <c r="AP17" i="43"/>
  <c r="AQ18" i="43"/>
  <c r="AP21" i="43"/>
  <c r="AR16" i="43"/>
  <c r="AP18" i="43"/>
  <c r="AQ19" i="43"/>
  <c r="AR20" i="43"/>
  <c r="AP22" i="43"/>
  <c r="AR19" i="43"/>
  <c r="AQ22" i="43"/>
  <c r="AP16" i="43"/>
  <c r="AQ17" i="43"/>
  <c r="AR18" i="43"/>
  <c r="AP20" i="43"/>
  <c r="AQ21" i="43"/>
  <c r="AR22" i="43"/>
  <c r="AP15" i="43"/>
  <c r="AR15" i="43"/>
  <c r="AQ15" i="43"/>
  <c r="AQ23" i="43"/>
  <c r="AR23" i="43"/>
  <c r="AP23" i="43"/>
  <c r="AJ27" i="48" l="1"/>
  <c r="AK27" i="50"/>
  <c r="AJ28" i="48"/>
  <c r="AK28" i="50"/>
  <c r="AJ35" i="47"/>
  <c r="AK35" i="48"/>
  <c r="X34" i="40"/>
  <c r="Y34" i="40" s="1" a="1"/>
  <c r="Y34" i="40" s="1"/>
  <c r="AJ12" i="43"/>
  <c r="AJ11" i="43"/>
  <c r="AJ15" i="43"/>
  <c r="AJ20" i="43"/>
  <c r="AJ18" i="43"/>
  <c r="AJ25" i="43"/>
  <c r="AJ27" i="43"/>
  <c r="AF22" i="43"/>
  <c r="AJ9" i="43"/>
  <c r="AK23" i="44"/>
  <c r="AJ23" i="44" s="1"/>
  <c r="AJ26" i="43"/>
  <c r="AJ10" i="43"/>
  <c r="AJ24" i="43"/>
  <c r="AJ34" i="43"/>
  <c r="AJ17" i="43"/>
  <c r="AJ8" i="43"/>
  <c r="AJ5" i="43"/>
  <c r="AJ16" i="43"/>
  <c r="AJ7" i="43"/>
  <c r="AJ13" i="43"/>
  <c r="AJ19" i="43"/>
  <c r="AE17" i="49"/>
  <c r="AF17" i="49" s="1"/>
  <c r="X17" i="40"/>
  <c r="Y17" i="40" s="1" a="1"/>
  <c r="Y17" i="40" s="1"/>
  <c r="AK27" i="44"/>
  <c r="AJ27" i="44" s="1"/>
  <c r="AK10" i="44"/>
  <c r="AJ10" i="44" s="1"/>
  <c r="AG11" i="49"/>
  <c r="AH11" i="49" s="1"/>
  <c r="AE11" i="49"/>
  <c r="AF11" i="49" s="1"/>
  <c r="AK11" i="44"/>
  <c r="AJ11" i="44" s="1"/>
  <c r="AF8" i="49"/>
  <c r="AF16" i="49"/>
  <c r="AK9" i="44"/>
  <c r="AJ9" i="44" s="1"/>
  <c r="AK18" i="44"/>
  <c r="AJ18" i="44" s="1"/>
  <c r="AK26" i="44"/>
  <c r="AJ26" i="44" s="1"/>
  <c r="AK5" i="44"/>
  <c r="AJ5" i="44" s="1"/>
  <c r="AK17" i="44"/>
  <c r="AJ17" i="44" s="1"/>
  <c r="AK16" i="44"/>
  <c r="AJ16" i="44" s="1"/>
  <c r="AK19" i="44"/>
  <c r="AJ19" i="44" s="1"/>
  <c r="AK13" i="44"/>
  <c r="AJ13" i="44" s="1"/>
  <c r="AK25" i="44"/>
  <c r="AJ25" i="44" s="1"/>
  <c r="AK20" i="44"/>
  <c r="AJ20" i="44" s="1"/>
  <c r="AK7" i="44"/>
  <c r="AJ7" i="44" s="1"/>
  <c r="AK24" i="44"/>
  <c r="AJ24" i="44" s="1"/>
  <c r="AK15" i="44"/>
  <c r="AJ15" i="44" s="1"/>
  <c r="AH22" i="43"/>
  <c r="AK14" i="44"/>
  <c r="AJ14" i="44" s="1"/>
  <c r="AJ14" i="43"/>
  <c r="AK12" i="44"/>
  <c r="AJ12" i="44" s="1"/>
  <c r="AJ23" i="43"/>
  <c r="AK8" i="44"/>
  <c r="AJ8" i="44" s="1"/>
  <c r="AG22" i="43"/>
  <c r="AJ22" i="43"/>
  <c r="AK22" i="44"/>
  <c r="AJ22" i="44" s="1"/>
  <c r="AJ21" i="44"/>
  <c r="AJ21" i="43"/>
  <c r="AK6" i="44"/>
  <c r="AJ6" i="44" s="1"/>
  <c r="AJ6" i="43"/>
  <c r="AG17" i="49"/>
  <c r="AH17" i="49" s="1"/>
  <c r="AF6" i="49"/>
  <c r="AF38" i="49"/>
  <c r="G32" i="40"/>
  <c r="I23" i="40"/>
  <c r="Z10" i="49"/>
  <c r="X10" i="40" s="1"/>
  <c r="Y10" i="40" s="1" a="1"/>
  <c r="Y10" i="40" s="1"/>
  <c r="Z14" i="49"/>
  <c r="Z9" i="49"/>
  <c r="X9" i="40" s="1"/>
  <c r="Y9" i="40" s="1" a="1"/>
  <c r="Y9" i="40" s="1"/>
  <c r="AH15" i="49"/>
  <c r="AH18" i="49"/>
  <c r="Z12" i="49"/>
  <c r="Z5" i="49"/>
  <c r="AG5" i="49" s="1"/>
  <c r="AH13" i="49"/>
  <c r="AH7" i="49"/>
  <c r="AH8" i="49"/>
  <c r="G34" i="40" l="1"/>
  <c r="F27" i="40"/>
  <c r="AJ28" i="50"/>
  <c r="AK28" i="51"/>
  <c r="AJ28" i="51" s="1"/>
  <c r="AK33" i="51"/>
  <c r="AJ33" i="51" s="1"/>
  <c r="AJ27" i="50"/>
  <c r="AK27" i="51"/>
  <c r="AJ27" i="51" s="1"/>
  <c r="AJ35" i="48"/>
  <c r="AK35" i="50"/>
  <c r="AJ35" i="50" s="1"/>
  <c r="I27" i="40"/>
  <c r="H27" i="40"/>
  <c r="G25" i="40"/>
  <c r="G28" i="40"/>
  <c r="G29" i="40"/>
  <c r="G30" i="40"/>
  <c r="G23" i="40"/>
  <c r="G24" i="40"/>
  <c r="G31" i="40"/>
  <c r="G27" i="40"/>
  <c r="G33" i="40"/>
  <c r="AK21" i="46"/>
  <c r="AJ21" i="46" s="1"/>
  <c r="AK8" i="46"/>
  <c r="AJ8" i="46" s="1"/>
  <c r="AK14" i="46"/>
  <c r="AJ14" i="46" s="1"/>
  <c r="AK7" i="46"/>
  <c r="AJ7" i="46" s="1"/>
  <c r="AK19" i="46"/>
  <c r="AK13" i="46"/>
  <c r="AJ13" i="46" s="1"/>
  <c r="AK22" i="46"/>
  <c r="AJ22" i="46" s="1"/>
  <c r="AK20" i="46"/>
  <c r="AJ20" i="46" s="1"/>
  <c r="AK16" i="46"/>
  <c r="AJ16" i="46" s="1"/>
  <c r="AK18" i="46"/>
  <c r="AJ18" i="46" s="1"/>
  <c r="AK11" i="46"/>
  <c r="AJ11" i="46" s="1"/>
  <c r="AK10" i="46"/>
  <c r="AJ10" i="46" s="1"/>
  <c r="AK23" i="46"/>
  <c r="AJ23" i="46" s="1"/>
  <c r="AK24" i="46"/>
  <c r="AJ24" i="46" s="1"/>
  <c r="AK5" i="46"/>
  <c r="AJ5" i="46" s="1"/>
  <c r="AK6" i="46"/>
  <c r="AJ6" i="46" s="1"/>
  <c r="AK12" i="46"/>
  <c r="AJ12" i="46" s="1"/>
  <c r="AK15" i="46"/>
  <c r="AJ15" i="46" s="1"/>
  <c r="AK17" i="46"/>
  <c r="AJ17" i="46" s="1"/>
  <c r="AK9" i="46"/>
  <c r="AJ9" i="46" s="1"/>
  <c r="I30" i="40"/>
  <c r="I24" i="40"/>
  <c r="I32" i="40"/>
  <c r="I28" i="40"/>
  <c r="I29" i="40"/>
  <c r="H23" i="40"/>
  <c r="H25" i="40"/>
  <c r="H24" i="40"/>
  <c r="H34" i="40"/>
  <c r="H32" i="40"/>
  <c r="H31" i="40"/>
  <c r="H29" i="40"/>
  <c r="H30" i="40"/>
  <c r="I34" i="40"/>
  <c r="AE5" i="49"/>
  <c r="X5" i="40"/>
  <c r="Y5" i="40" s="1" a="1"/>
  <c r="Y5" i="40" s="1"/>
  <c r="AE12" i="49"/>
  <c r="X12" i="40"/>
  <c r="Y12" i="40" s="1" a="1"/>
  <c r="Y12" i="40" s="1"/>
  <c r="AE14" i="49"/>
  <c r="AF14" i="49" s="1"/>
  <c r="X14" i="40"/>
  <c r="Y14" i="40" s="1" a="1"/>
  <c r="Y14" i="40" s="1"/>
  <c r="AE9" i="49"/>
  <c r="AA9" i="49"/>
  <c r="AB9" i="49"/>
  <c r="AG10" i="49"/>
  <c r="AH10" i="49" s="1"/>
  <c r="AE10" i="49"/>
  <c r="H28" i="40"/>
  <c r="AG14" i="49"/>
  <c r="AH14" i="49" s="1"/>
  <c r="I25" i="40"/>
  <c r="F29" i="40"/>
  <c r="I31" i="40"/>
  <c r="F32" i="40"/>
  <c r="F31" i="40"/>
  <c r="F30" i="40"/>
  <c r="F24" i="40"/>
  <c r="F28" i="40"/>
  <c r="F26" i="40"/>
  <c r="I33" i="40"/>
  <c r="F23" i="40"/>
  <c r="F33" i="40"/>
  <c r="F25" i="40"/>
  <c r="H33" i="40"/>
  <c r="AG9" i="49"/>
  <c r="AH9" i="49" s="1"/>
  <c r="AG12" i="49"/>
  <c r="AF6" i="43"/>
  <c r="AG6" i="43"/>
  <c r="AF7" i="43"/>
  <c r="AG7" i="43"/>
  <c r="AF8" i="43"/>
  <c r="AG8" i="43"/>
  <c r="AF9" i="43"/>
  <c r="AG9" i="43"/>
  <c r="AF10" i="43"/>
  <c r="AG10" i="43"/>
  <c r="AF11" i="43"/>
  <c r="AG11" i="43"/>
  <c r="AF12" i="43"/>
  <c r="AG12" i="43"/>
  <c r="AF13" i="43"/>
  <c r="AG13" i="43"/>
  <c r="AF14" i="43"/>
  <c r="AG14" i="43"/>
  <c r="AF15" i="43"/>
  <c r="AG15" i="43"/>
  <c r="AF16" i="43"/>
  <c r="AF17" i="43"/>
  <c r="AG17" i="43"/>
  <c r="AF18" i="43"/>
  <c r="AG18" i="43"/>
  <c r="AF19" i="43"/>
  <c r="AG19" i="43"/>
  <c r="AF20" i="43"/>
  <c r="AP23" i="41"/>
  <c r="AQ23" i="41"/>
  <c r="AR23" i="41"/>
  <c r="AP24" i="41"/>
  <c r="AQ24" i="41"/>
  <c r="AR24" i="41"/>
  <c r="AP25" i="41"/>
  <c r="AQ25" i="41"/>
  <c r="AR25" i="41"/>
  <c r="AP26" i="41"/>
  <c r="AQ26" i="41"/>
  <c r="AR26" i="41"/>
  <c r="AP28" i="41"/>
  <c r="AQ28" i="41"/>
  <c r="AR28" i="41"/>
  <c r="AP29" i="41"/>
  <c r="AQ29" i="41"/>
  <c r="AR29" i="41"/>
  <c r="AP30" i="41"/>
  <c r="AQ30" i="41"/>
  <c r="AR30" i="41"/>
  <c r="AP31" i="41"/>
  <c r="AQ31" i="41"/>
  <c r="AR31" i="41"/>
  <c r="AP32" i="41"/>
  <c r="AQ32" i="41"/>
  <c r="AR32" i="41"/>
  <c r="AP33" i="41"/>
  <c r="AQ33" i="41"/>
  <c r="AR33" i="41"/>
  <c r="AP34" i="41"/>
  <c r="AQ34" i="41"/>
  <c r="AR34" i="41"/>
  <c r="AP35" i="41"/>
  <c r="AQ35" i="41"/>
  <c r="AR35" i="41"/>
  <c r="AP36" i="41"/>
  <c r="AQ36" i="41"/>
  <c r="AR36" i="41"/>
  <c r="AP37" i="41"/>
  <c r="AQ37" i="41"/>
  <c r="AR37" i="41"/>
  <c r="AP38" i="41"/>
  <c r="AQ38" i="41"/>
  <c r="AR38" i="41"/>
  <c r="AP39" i="41"/>
  <c r="AQ39" i="41"/>
  <c r="AR39" i="41"/>
  <c r="AF5" i="43"/>
  <c r="AP27" i="41"/>
  <c r="AP10" i="41"/>
  <c r="AJ19" i="46" l="1"/>
  <c r="AK16" i="47"/>
  <c r="AJ16" i="47" s="1"/>
  <c r="AK22" i="47"/>
  <c r="AJ22" i="47" s="1"/>
  <c r="AK15" i="47"/>
  <c r="AJ15" i="47" s="1"/>
  <c r="AK23" i="47"/>
  <c r="AJ23" i="47" s="1"/>
  <c r="AK17" i="47"/>
  <c r="AJ17" i="47" s="1"/>
  <c r="AK20" i="47"/>
  <c r="AJ20" i="47" s="1"/>
  <c r="AK6" i="47"/>
  <c r="AJ6" i="47" s="1"/>
  <c r="AK24" i="47"/>
  <c r="AJ24" i="47" s="1"/>
  <c r="AK18" i="47"/>
  <c r="AJ18" i="47" s="1"/>
  <c r="AK19" i="47"/>
  <c r="AK21" i="47"/>
  <c r="AJ21" i="47" s="1"/>
  <c r="AK5" i="47"/>
  <c r="AJ5" i="47" s="1"/>
  <c r="AK14" i="47"/>
  <c r="AJ14" i="47" s="1"/>
  <c r="AK8" i="47"/>
  <c r="AJ8" i="47" s="1"/>
  <c r="AK13" i="47"/>
  <c r="AJ13" i="47" s="1"/>
  <c r="AK7" i="47"/>
  <c r="AJ7" i="47" s="1"/>
  <c r="AK12" i="47"/>
  <c r="AJ12" i="47" s="1"/>
  <c r="AK9" i="47"/>
  <c r="AJ9" i="47" s="1"/>
  <c r="AK10" i="47"/>
  <c r="AJ10" i="47" s="1"/>
  <c r="AK11" i="47"/>
  <c r="AJ11" i="47" s="1"/>
  <c r="AH20" i="43"/>
  <c r="AG20" i="43"/>
  <c r="AH16" i="43"/>
  <c r="AG16" i="43"/>
  <c r="AF10" i="49"/>
  <c r="AF9" i="49"/>
  <c r="AH6" i="43"/>
  <c r="AF12" i="49"/>
  <c r="AF5" i="49"/>
  <c r="AH12" i="49"/>
  <c r="AH5" i="49"/>
  <c r="F34" i="40"/>
  <c r="AR8" i="41"/>
  <c r="AQ19" i="41"/>
  <c r="AP14" i="41"/>
  <c r="AQ5" i="41"/>
  <c r="AP18" i="41"/>
  <c r="AR12" i="41"/>
  <c r="AQ7" i="41"/>
  <c r="AP22" i="41"/>
  <c r="AR16" i="41"/>
  <c r="AQ11" i="41"/>
  <c r="AP6" i="41"/>
  <c r="AR20" i="41"/>
  <c r="AQ15" i="41"/>
  <c r="AR5" i="41"/>
  <c r="AR21" i="41"/>
  <c r="AQ20" i="41"/>
  <c r="AP19" i="41"/>
  <c r="AR17" i="41"/>
  <c r="AQ16" i="41"/>
  <c r="AP15" i="41"/>
  <c r="AR13" i="41"/>
  <c r="AQ12" i="41"/>
  <c r="AP11" i="41"/>
  <c r="AR9" i="41"/>
  <c r="AQ8" i="41"/>
  <c r="AP7" i="41"/>
  <c r="AR22" i="41"/>
  <c r="AQ21" i="41"/>
  <c r="AP20" i="41"/>
  <c r="AR18" i="41"/>
  <c r="AQ17" i="41"/>
  <c r="AP16" i="41"/>
  <c r="AR14" i="41"/>
  <c r="AQ13" i="41"/>
  <c r="AP12" i="41"/>
  <c r="AR10" i="41"/>
  <c r="AQ9" i="41"/>
  <c r="AP8" i="41"/>
  <c r="AR6" i="41"/>
  <c r="AP5" i="41"/>
  <c r="AQ22" i="41"/>
  <c r="AP21" i="41"/>
  <c r="AR19" i="41"/>
  <c r="AQ18" i="41"/>
  <c r="AP17" i="41"/>
  <c r="AR15" i="41"/>
  <c r="AQ14" i="41"/>
  <c r="AP13" i="41"/>
  <c r="AR11" i="41"/>
  <c r="AQ10" i="41"/>
  <c r="AP9" i="41"/>
  <c r="AR7" i="41"/>
  <c r="AQ6" i="41"/>
  <c r="AR27" i="41"/>
  <c r="AQ27" i="41"/>
  <c r="AH12" i="43"/>
  <c r="AH8" i="43"/>
  <c r="AH17" i="43"/>
  <c r="AH18" i="43"/>
  <c r="AH13" i="43"/>
  <c r="AH9" i="43"/>
  <c r="AH10" i="43"/>
  <c r="AH19" i="43"/>
  <c r="AH15" i="43"/>
  <c r="AH14" i="43"/>
  <c r="AH11" i="43"/>
  <c r="AH7" i="43"/>
  <c r="H5" i="41"/>
  <c r="T40" i="40"/>
  <c r="AG20" i="44" l="1"/>
  <c r="AG20" i="46" s="1"/>
  <c r="AG20" i="47" s="1"/>
  <c r="AH8" i="44"/>
  <c r="AH8" i="46" s="1"/>
  <c r="AH8" i="47" s="1"/>
  <c r="U5" i="41"/>
  <c r="Q5" i="41"/>
  <c r="T5" i="41"/>
  <c r="P5" i="41"/>
  <c r="S5" i="41"/>
  <c r="O5" i="41"/>
  <c r="R5" i="41"/>
  <c r="N5" i="41"/>
  <c r="AJ19" i="47"/>
  <c r="AK18" i="48"/>
  <c r="AK6" i="48"/>
  <c r="AK22" i="48"/>
  <c r="AK9" i="48"/>
  <c r="AK12" i="48"/>
  <c r="AK13" i="48"/>
  <c r="AH8" i="48"/>
  <c r="AK8" i="48"/>
  <c r="AK5" i="48"/>
  <c r="AG20" i="48"/>
  <c r="AK20" i="48"/>
  <c r="AK15" i="48"/>
  <c r="AK11" i="48"/>
  <c r="AK14" i="48"/>
  <c r="AK21" i="48"/>
  <c r="AK24" i="48"/>
  <c r="AK16" i="48"/>
  <c r="AK23" i="48"/>
  <c r="AK10" i="48"/>
  <c r="AK7" i="48"/>
  <c r="AK19" i="48"/>
  <c r="AK17" i="48"/>
  <c r="F38" i="40"/>
  <c r="F35" i="40"/>
  <c r="F39" i="40"/>
  <c r="F36" i="40"/>
  <c r="F37" i="40"/>
  <c r="AH5" i="43"/>
  <c r="AG5" i="43"/>
  <c r="AG5" i="44" s="1"/>
  <c r="AG5" i="46" s="1"/>
  <c r="AG5" i="47" s="1"/>
  <c r="AG5" i="48" s="1"/>
  <c r="AK30" i="43"/>
  <c r="AF36" i="43"/>
  <c r="AF37" i="43"/>
  <c r="AH37" i="43"/>
  <c r="AG38" i="43"/>
  <c r="AG39" i="43"/>
  <c r="AG34" i="43"/>
  <c r="AG37" i="43"/>
  <c r="AH39" i="43"/>
  <c r="AF39" i="43"/>
  <c r="AG35" i="43"/>
  <c r="AH34" i="43"/>
  <c r="AF34" i="43"/>
  <c r="AH38" i="43"/>
  <c r="AF35" i="43"/>
  <c r="AH36" i="43"/>
  <c r="AG36" i="43"/>
  <c r="AF38" i="43"/>
  <c r="AH35" i="43"/>
  <c r="AK29" i="43"/>
  <c r="AK32" i="43"/>
  <c r="AK33" i="43"/>
  <c r="AH19" i="44" s="1"/>
  <c r="AH19" i="46" s="1"/>
  <c r="AH19" i="47" s="1"/>
  <c r="AH19" i="48" s="1"/>
  <c r="F21" i="40"/>
  <c r="F11" i="40"/>
  <c r="I26" i="40"/>
  <c r="H26" i="40"/>
  <c r="G26" i="40"/>
  <c r="F15" i="40"/>
  <c r="I15" i="40"/>
  <c r="I11" i="40"/>
  <c r="H11" i="40"/>
  <c r="G11" i="40"/>
  <c r="I6" i="40"/>
  <c r="G6" i="40"/>
  <c r="H6" i="40"/>
  <c r="AH7" i="44" l="1"/>
  <c r="AH7" i="46" s="1"/>
  <c r="AH7" i="47" s="1"/>
  <c r="AH7" i="48" s="1"/>
  <c r="AH18" i="44"/>
  <c r="AH18" i="46" s="1"/>
  <c r="AH18" i="47" s="1"/>
  <c r="AH18" i="48" s="1"/>
  <c r="AH5" i="44"/>
  <c r="AH5" i="46" s="1"/>
  <c r="AH5" i="47" s="1"/>
  <c r="AH5" i="48" s="1"/>
  <c r="AH9" i="44"/>
  <c r="AH9" i="46" s="1"/>
  <c r="AH9" i="47" s="1"/>
  <c r="AH9" i="48" s="1"/>
  <c r="AH17" i="44"/>
  <c r="AH17" i="46" s="1"/>
  <c r="AH17" i="47" s="1"/>
  <c r="AH17" i="48" s="1"/>
  <c r="AH13" i="44"/>
  <c r="AH13" i="46" s="1"/>
  <c r="AH13" i="47" s="1"/>
  <c r="AH13" i="48" s="1"/>
  <c r="AF23" i="44"/>
  <c r="AF23" i="46" s="1"/>
  <c r="AF23" i="47" s="1"/>
  <c r="AF23" i="48" s="1"/>
  <c r="AH26" i="44"/>
  <c r="AH24" i="44"/>
  <c r="AH24" i="46" s="1"/>
  <c r="AH24" i="47" s="1"/>
  <c r="AH24" i="48" s="1"/>
  <c r="AF26" i="44"/>
  <c r="AH25" i="44"/>
  <c r="AG27" i="44"/>
  <c r="AH23" i="44"/>
  <c r="AH23" i="46" s="1"/>
  <c r="AH23" i="47" s="1"/>
  <c r="AH23" i="48" s="1"/>
  <c r="AG26" i="44"/>
  <c r="AG24" i="44"/>
  <c r="AG24" i="46" s="1"/>
  <c r="AG24" i="47" s="1"/>
  <c r="AG24" i="48" s="1"/>
  <c r="AG23" i="44"/>
  <c r="AG23" i="46" s="1"/>
  <c r="AG23" i="47" s="1"/>
  <c r="AG23" i="48" s="1"/>
  <c r="AF25" i="44"/>
  <c r="AH27" i="44"/>
  <c r="AF24" i="44"/>
  <c r="AF24" i="46" s="1"/>
  <c r="AF24" i="47" s="1"/>
  <c r="AF24" i="48" s="1"/>
  <c r="AG25" i="44"/>
  <c r="AF27" i="44"/>
  <c r="AG22" i="44"/>
  <c r="AG22" i="46" s="1"/>
  <c r="AG22" i="47" s="1"/>
  <c r="AG22" i="48" s="1"/>
  <c r="AH22" i="44"/>
  <c r="AH22" i="46" s="1"/>
  <c r="AH22" i="47" s="1"/>
  <c r="AH22" i="48" s="1"/>
  <c r="AF22" i="44"/>
  <c r="AF22" i="46" s="1"/>
  <c r="AF22" i="47" s="1"/>
  <c r="AF22" i="48" s="1"/>
  <c r="AF16" i="44"/>
  <c r="AF16" i="46" s="1"/>
  <c r="AF16" i="47" s="1"/>
  <c r="AF16" i="48" s="1"/>
  <c r="AF12" i="44"/>
  <c r="AF12" i="46" s="1"/>
  <c r="AF12" i="47" s="1"/>
  <c r="AF12" i="48" s="1"/>
  <c r="AG11" i="44"/>
  <c r="AG11" i="46" s="1"/>
  <c r="AG11" i="47" s="1"/>
  <c r="AG11" i="48" s="1"/>
  <c r="AF13" i="44"/>
  <c r="AF13" i="46" s="1"/>
  <c r="AF13" i="47" s="1"/>
  <c r="AF13" i="48" s="1"/>
  <c r="AF5" i="44"/>
  <c r="AF5" i="46" s="1"/>
  <c r="AF5" i="47" s="1"/>
  <c r="AF5" i="48" s="1"/>
  <c r="AG13" i="44"/>
  <c r="AG13" i="46" s="1"/>
  <c r="AG13" i="47" s="1"/>
  <c r="AG13" i="48" s="1"/>
  <c r="AG14" i="44"/>
  <c r="AG14" i="46" s="1"/>
  <c r="AG14" i="47" s="1"/>
  <c r="AG14" i="48" s="1"/>
  <c r="AG6" i="44"/>
  <c r="AG6" i="46" s="1"/>
  <c r="AG6" i="47" s="1"/>
  <c r="AG6" i="48" s="1"/>
  <c r="AG18" i="44"/>
  <c r="AG18" i="46" s="1"/>
  <c r="AG18" i="47" s="1"/>
  <c r="AG18" i="48" s="1"/>
  <c r="AF15" i="44"/>
  <c r="AF15" i="46" s="1"/>
  <c r="AF15" i="47" s="1"/>
  <c r="AF15" i="48" s="1"/>
  <c r="AF17" i="44"/>
  <c r="AF17" i="46" s="1"/>
  <c r="AF17" i="47" s="1"/>
  <c r="AF17" i="48" s="1"/>
  <c r="AF8" i="44"/>
  <c r="AF8" i="46" s="1"/>
  <c r="AF8" i="47" s="1"/>
  <c r="AF8" i="48" s="1"/>
  <c r="AF6" i="44"/>
  <c r="AF6" i="46" s="1"/>
  <c r="AF6" i="47" s="1"/>
  <c r="AF6" i="48" s="1"/>
  <c r="AG19" i="44"/>
  <c r="AG19" i="46" s="1"/>
  <c r="AG19" i="47" s="1"/>
  <c r="AG19" i="48" s="1"/>
  <c r="AF11" i="44"/>
  <c r="AF11" i="46" s="1"/>
  <c r="AF11" i="47" s="1"/>
  <c r="AF11" i="48" s="1"/>
  <c r="AF14" i="44"/>
  <c r="AF14" i="46" s="1"/>
  <c r="AF14" i="47" s="1"/>
  <c r="AF14" i="48" s="1"/>
  <c r="AG7" i="44"/>
  <c r="AG7" i="46" s="1"/>
  <c r="AG7" i="47" s="1"/>
  <c r="AG7" i="48" s="1"/>
  <c r="AG12" i="44"/>
  <c r="AG12" i="46" s="1"/>
  <c r="AG12" i="47" s="1"/>
  <c r="AG12" i="48" s="1"/>
  <c r="AF7" i="44"/>
  <c r="AF7" i="46" s="1"/>
  <c r="AF7" i="47" s="1"/>
  <c r="AF7" i="48" s="1"/>
  <c r="AG8" i="44"/>
  <c r="AG8" i="46" s="1"/>
  <c r="AG8" i="47" s="1"/>
  <c r="AG8" i="48" s="1"/>
  <c r="AG9" i="44"/>
  <c r="AG9" i="46" s="1"/>
  <c r="AG9" i="47" s="1"/>
  <c r="AG9" i="48" s="1"/>
  <c r="AF20" i="44"/>
  <c r="AF20" i="46" s="1"/>
  <c r="AF20" i="47" s="1"/>
  <c r="AF20" i="48" s="1"/>
  <c r="AG17" i="44"/>
  <c r="AG17" i="46" s="1"/>
  <c r="AG17" i="47" s="1"/>
  <c r="AG17" i="48" s="1"/>
  <c r="AF9" i="44"/>
  <c r="AF9" i="46" s="1"/>
  <c r="AF9" i="47" s="1"/>
  <c r="AF9" i="48" s="1"/>
  <c r="AF10" i="44"/>
  <c r="AF10" i="46" s="1"/>
  <c r="AF10" i="47" s="1"/>
  <c r="AF10" i="48" s="1"/>
  <c r="AF19" i="44"/>
  <c r="AF19" i="46" s="1"/>
  <c r="AF19" i="47" s="1"/>
  <c r="AF19" i="48" s="1"/>
  <c r="AG10" i="44"/>
  <c r="AG10" i="46" s="1"/>
  <c r="AG10" i="47" s="1"/>
  <c r="AG10" i="48" s="1"/>
  <c r="AG15" i="44"/>
  <c r="AG15" i="46" s="1"/>
  <c r="AG15" i="47" s="1"/>
  <c r="AG15" i="48" s="1"/>
  <c r="AF18" i="44"/>
  <c r="AF18" i="46" s="1"/>
  <c r="AF18" i="47" s="1"/>
  <c r="AF18" i="48" s="1"/>
  <c r="AH14" i="44"/>
  <c r="AH14" i="46" s="1"/>
  <c r="AH14" i="47" s="1"/>
  <c r="AH14" i="48" s="1"/>
  <c r="AH10" i="44"/>
  <c r="AH10" i="46" s="1"/>
  <c r="AH10" i="47" s="1"/>
  <c r="AH10" i="48" s="1"/>
  <c r="AH16" i="44"/>
  <c r="AH16" i="46" s="1"/>
  <c r="AH16" i="47" s="1"/>
  <c r="AH16" i="48" s="1"/>
  <c r="AG16" i="44"/>
  <c r="AG16" i="46" s="1"/>
  <c r="AG16" i="47" s="1"/>
  <c r="AG16" i="48" s="1"/>
  <c r="AJ30" i="44"/>
  <c r="AH20" i="44"/>
  <c r="AH20" i="46" s="1"/>
  <c r="AH20" i="47" s="1"/>
  <c r="AH20" i="48" s="1"/>
  <c r="AH12" i="44"/>
  <c r="AH12" i="46" s="1"/>
  <c r="AH12" i="47" s="1"/>
  <c r="AH12" i="48" s="1"/>
  <c r="AH11" i="44"/>
  <c r="AH11" i="46" s="1"/>
  <c r="AH11" i="47" s="1"/>
  <c r="AH11" i="48" s="1"/>
  <c r="AH6" i="44"/>
  <c r="AH6" i="46" s="1"/>
  <c r="AH6" i="47" s="1"/>
  <c r="AH6" i="48" s="1"/>
  <c r="AH15" i="44"/>
  <c r="AH15" i="46" s="1"/>
  <c r="AH15" i="47" s="1"/>
  <c r="AH15" i="48" s="1"/>
  <c r="AF39" i="44"/>
  <c r="AF38" i="44"/>
  <c r="AF37" i="44"/>
  <c r="AH36" i="44"/>
  <c r="AH35" i="44"/>
  <c r="AG34" i="44"/>
  <c r="AF35" i="44"/>
  <c r="AG37" i="44"/>
  <c r="AG39" i="44"/>
  <c r="AG38" i="44"/>
  <c r="AF34" i="44"/>
  <c r="AG36" i="44"/>
  <c r="AG35" i="44"/>
  <c r="AH38" i="44"/>
  <c r="AH39" i="44"/>
  <c r="AJ35" i="44"/>
  <c r="AH34" i="44"/>
  <c r="AH37" i="44"/>
  <c r="AF36" i="44"/>
  <c r="V5" i="41"/>
  <c r="V40" i="41" s="1"/>
  <c r="AJ11" i="48"/>
  <c r="AK11" i="50"/>
  <c r="AK8" i="50"/>
  <c r="AJ8" i="48"/>
  <c r="AK12" i="50"/>
  <c r="AJ12" i="48"/>
  <c r="AK22" i="50"/>
  <c r="AJ22" i="48"/>
  <c r="AJ6" i="48"/>
  <c r="AK6" i="50"/>
  <c r="AK18" i="50"/>
  <c r="AJ18" i="48"/>
  <c r="AK17" i="50"/>
  <c r="AJ17" i="48"/>
  <c r="AJ19" i="48"/>
  <c r="AK19" i="50"/>
  <c r="AK10" i="50"/>
  <c r="AJ10" i="48"/>
  <c r="AJ23" i="48"/>
  <c r="AK23" i="50"/>
  <c r="AK16" i="50"/>
  <c r="AJ16" i="48"/>
  <c r="AK21" i="50"/>
  <c r="AJ21" i="48"/>
  <c r="AK14" i="50"/>
  <c r="AJ14" i="48"/>
  <c r="AJ15" i="48"/>
  <c r="AK15" i="50"/>
  <c r="AK20" i="50"/>
  <c r="AJ20" i="48"/>
  <c r="AK5" i="50"/>
  <c r="AJ5" i="48"/>
  <c r="AK13" i="50"/>
  <c r="AJ13" i="48"/>
  <c r="AK9" i="50"/>
  <c r="AJ9" i="48"/>
  <c r="AK24" i="50"/>
  <c r="AJ24" i="48"/>
  <c r="AJ7" i="48"/>
  <c r="AK7" i="50"/>
  <c r="AG19" i="50"/>
  <c r="AF19" i="50"/>
  <c r="AH19" i="50"/>
  <c r="AH16" i="50"/>
  <c r="AF16" i="50"/>
  <c r="AG16" i="50"/>
  <c r="AH24" i="50"/>
  <c r="AF24" i="50"/>
  <c r="AG24" i="50"/>
  <c r="AF14" i="50"/>
  <c r="AG14" i="50"/>
  <c r="AH14" i="50"/>
  <c r="AF5" i="50"/>
  <c r="AH5" i="50"/>
  <c r="AG5" i="50"/>
  <c r="AF9" i="50"/>
  <c r="AG9" i="50"/>
  <c r="AH9" i="50"/>
  <c r="AH6" i="50"/>
  <c r="AF6" i="50"/>
  <c r="AG6" i="50"/>
  <c r="AH12" i="50"/>
  <c r="AF12" i="50"/>
  <c r="AG12" i="50"/>
  <c r="AF18" i="50"/>
  <c r="AG18" i="50"/>
  <c r="AH18" i="50"/>
  <c r="AF17" i="50"/>
  <c r="AH17" i="50"/>
  <c r="AG17" i="50"/>
  <c r="AF10" i="50"/>
  <c r="AG10" i="50"/>
  <c r="AH10" i="50"/>
  <c r="AG15" i="50"/>
  <c r="AF15" i="50"/>
  <c r="AH15" i="50"/>
  <c r="AF13" i="50"/>
  <c r="AH13" i="50"/>
  <c r="AG13" i="50"/>
  <c r="AG7" i="50"/>
  <c r="AH7" i="50"/>
  <c r="AF7" i="50"/>
  <c r="AG23" i="50"/>
  <c r="AF23" i="50"/>
  <c r="AH23" i="50"/>
  <c r="AG11" i="50"/>
  <c r="AF11" i="50"/>
  <c r="AH11" i="50"/>
  <c r="AH20" i="50"/>
  <c r="AF20" i="50"/>
  <c r="AG20" i="50"/>
  <c r="AH8" i="50"/>
  <c r="AG8" i="50"/>
  <c r="AF8" i="50"/>
  <c r="AF22" i="50"/>
  <c r="AG22" i="50"/>
  <c r="AH22" i="50"/>
  <c r="G19" i="40"/>
  <c r="G22" i="40"/>
  <c r="G21" i="40"/>
  <c r="G37" i="40"/>
  <c r="G36" i="40"/>
  <c r="G35" i="40"/>
  <c r="G39" i="40"/>
  <c r="G38" i="40"/>
  <c r="I21" i="40"/>
  <c r="I37" i="40"/>
  <c r="I38" i="40"/>
  <c r="I36" i="40"/>
  <c r="I35" i="40"/>
  <c r="I39" i="40"/>
  <c r="H21" i="40"/>
  <c r="H35" i="40"/>
  <c r="H37" i="40"/>
  <c r="H39" i="40"/>
  <c r="H38" i="40"/>
  <c r="H36" i="40"/>
  <c r="AF32" i="43"/>
  <c r="AH29" i="43"/>
  <c r="AF30" i="43"/>
  <c r="AH33" i="43"/>
  <c r="I22" i="40"/>
  <c r="I19" i="40"/>
  <c r="H22" i="40"/>
  <c r="H19" i="40"/>
  <c r="E9" i="40"/>
  <c r="AF33" i="43"/>
  <c r="AG33" i="43"/>
  <c r="AG32" i="43"/>
  <c r="AF29" i="43"/>
  <c r="AH32" i="43"/>
  <c r="AG29" i="43"/>
  <c r="AG30" i="43"/>
  <c r="AH30" i="43"/>
  <c r="Q7" i="40"/>
  <c r="E33" i="40"/>
  <c r="E29" i="40"/>
  <c r="D33" i="40"/>
  <c r="R16" i="40"/>
  <c r="AJ32" i="43"/>
  <c r="AK32" i="44"/>
  <c r="AJ32" i="44" s="1"/>
  <c r="AJ29" i="43"/>
  <c r="AK29" i="44"/>
  <c r="D23" i="40"/>
  <c r="AJ33" i="43"/>
  <c r="AK33" i="44"/>
  <c r="AJ30" i="43"/>
  <c r="AF30" i="44"/>
  <c r="F19" i="40"/>
  <c r="F6" i="40"/>
  <c r="F22" i="40"/>
  <c r="R15" i="40"/>
  <c r="Q33" i="40"/>
  <c r="R18" i="40"/>
  <c r="R20" i="40"/>
  <c r="R8" i="40"/>
  <c r="R10" i="40"/>
  <c r="R12" i="40"/>
  <c r="R7" i="40"/>
  <c r="R13" i="40"/>
  <c r="R9" i="40"/>
  <c r="R11" i="40"/>
  <c r="R34" i="40"/>
  <c r="R31" i="40"/>
  <c r="R36" i="40"/>
  <c r="R27" i="40"/>
  <c r="R38" i="40"/>
  <c r="R33" i="40"/>
  <c r="R35" i="40"/>
  <c r="R29" i="40"/>
  <c r="R32" i="40"/>
  <c r="R39" i="40"/>
  <c r="R37" i="40"/>
  <c r="R30" i="40"/>
  <c r="R28" i="40"/>
  <c r="R14" i="40"/>
  <c r="R6" i="40"/>
  <c r="R17" i="40"/>
  <c r="R19" i="40"/>
  <c r="AD36" i="41"/>
  <c r="AD38" i="41"/>
  <c r="AD39" i="41"/>
  <c r="I18" i="40"/>
  <c r="F18" i="40"/>
  <c r="H9" i="40"/>
  <c r="I13" i="40"/>
  <c r="H15" i="40"/>
  <c r="I17" i="40"/>
  <c r="H18" i="40"/>
  <c r="F17" i="40"/>
  <c r="G17" i="40"/>
  <c r="H17" i="40"/>
  <c r="G18" i="40"/>
  <c r="F7" i="40"/>
  <c r="H14" i="40"/>
  <c r="I14" i="40"/>
  <c r="G15" i="40"/>
  <c r="G14" i="40"/>
  <c r="G13" i="40"/>
  <c r="G9" i="40"/>
  <c r="F13" i="40"/>
  <c r="I9" i="40"/>
  <c r="G7" i="40"/>
  <c r="I7" i="40"/>
  <c r="H7" i="40"/>
  <c r="F20" i="40"/>
  <c r="E14" i="40"/>
  <c r="F14" i="40"/>
  <c r="E17" i="40"/>
  <c r="E6" i="40"/>
  <c r="D13" i="40"/>
  <c r="E39" i="40"/>
  <c r="E18" i="40"/>
  <c r="E7" i="40"/>
  <c r="E15" i="40"/>
  <c r="E20" i="40"/>
  <c r="D14" i="40"/>
  <c r="D17" i="40"/>
  <c r="D18" i="40"/>
  <c r="D6" i="40"/>
  <c r="D15" i="40"/>
  <c r="AD37" i="41"/>
  <c r="D9" i="40"/>
  <c r="D7" i="40"/>
  <c r="AK30" i="46" l="1"/>
  <c r="AJ30" i="46" s="1"/>
  <c r="AJ33" i="46"/>
  <c r="AG34" i="46"/>
  <c r="AH34" i="46"/>
  <c r="AF34" i="46"/>
  <c r="AF39" i="46"/>
  <c r="AF38" i="46"/>
  <c r="AH35" i="46"/>
  <c r="AG37" i="46"/>
  <c r="AH36" i="46"/>
  <c r="AH38" i="46"/>
  <c r="AF37" i="46"/>
  <c r="AH39" i="46"/>
  <c r="AG39" i="46"/>
  <c r="AF36" i="46"/>
  <c r="AG36" i="46"/>
  <c r="AH37" i="46"/>
  <c r="AF35" i="46"/>
  <c r="AG38" i="46"/>
  <c r="AG35" i="46"/>
  <c r="D37" i="40"/>
  <c r="R21" i="40"/>
  <c r="D20" i="40"/>
  <c r="AK30" i="47"/>
  <c r="AK26" i="46"/>
  <c r="H20" i="40"/>
  <c r="G20" i="40"/>
  <c r="I20" i="40"/>
  <c r="AJ9" i="50"/>
  <c r="AK9" i="51"/>
  <c r="AJ9" i="51" s="1"/>
  <c r="AF9" i="51"/>
  <c r="AG9" i="51"/>
  <c r="AH9" i="51"/>
  <c r="AG5" i="51"/>
  <c r="AF5" i="51"/>
  <c r="AH5" i="51"/>
  <c r="AK5" i="51"/>
  <c r="AJ5" i="51" s="1"/>
  <c r="AJ21" i="50"/>
  <c r="AK21" i="51"/>
  <c r="AJ21" i="51" s="1"/>
  <c r="AJ17" i="50"/>
  <c r="AK17" i="51"/>
  <c r="AJ17" i="51" s="1"/>
  <c r="AH17" i="51"/>
  <c r="AF17" i="51"/>
  <c r="AG17" i="51"/>
  <c r="AJ18" i="50"/>
  <c r="AF18" i="51"/>
  <c r="AK18" i="51"/>
  <c r="AJ18" i="51" s="1"/>
  <c r="AG18" i="51"/>
  <c r="AH18" i="51"/>
  <c r="AJ22" i="50"/>
  <c r="AF22" i="51"/>
  <c r="AK22" i="51"/>
  <c r="AJ22" i="51" s="1"/>
  <c r="AG22" i="51"/>
  <c r="AH22" i="51"/>
  <c r="AJ8" i="50"/>
  <c r="AH8" i="51"/>
  <c r="AK8" i="51"/>
  <c r="AJ8" i="51" s="1"/>
  <c r="AG8" i="51"/>
  <c r="AF8" i="51"/>
  <c r="AJ19" i="50"/>
  <c r="AG19" i="51"/>
  <c r="AH19" i="51"/>
  <c r="AF19" i="51"/>
  <c r="AK19" i="51"/>
  <c r="AK19" i="52" s="1"/>
  <c r="AJ6" i="50"/>
  <c r="AF6" i="51"/>
  <c r="AK6" i="51"/>
  <c r="AJ6" i="51" s="1"/>
  <c r="AG6" i="51"/>
  <c r="AH6" i="51"/>
  <c r="AJ11" i="50"/>
  <c r="AG11" i="51"/>
  <c r="AH11" i="51"/>
  <c r="AF11" i="51"/>
  <c r="AK11" i="51"/>
  <c r="AJ11" i="51" s="1"/>
  <c r="AJ7" i="50"/>
  <c r="AG7" i="51"/>
  <c r="AF7" i="51"/>
  <c r="AH7" i="51"/>
  <c r="AK7" i="51"/>
  <c r="AJ7" i="51" s="1"/>
  <c r="AJ15" i="50"/>
  <c r="AG15" i="51"/>
  <c r="AH15" i="51"/>
  <c r="AF15" i="51"/>
  <c r="AK15" i="51"/>
  <c r="AJ15" i="51" s="1"/>
  <c r="AJ23" i="50"/>
  <c r="AG23" i="51"/>
  <c r="AH23" i="51"/>
  <c r="AF23" i="51"/>
  <c r="AK23" i="51"/>
  <c r="AJ23" i="51" s="1"/>
  <c r="AJ24" i="50"/>
  <c r="AH24" i="51"/>
  <c r="AK24" i="51"/>
  <c r="AJ24" i="51" s="1"/>
  <c r="AF24" i="51"/>
  <c r="AG24" i="51"/>
  <c r="AJ13" i="50"/>
  <c r="AK13" i="51"/>
  <c r="AJ13" i="51" s="1"/>
  <c r="AF13" i="51"/>
  <c r="AG13" i="51"/>
  <c r="AH13" i="51"/>
  <c r="AJ20" i="50"/>
  <c r="AH20" i="51"/>
  <c r="AK20" i="51"/>
  <c r="AJ20" i="51" s="1"/>
  <c r="AF20" i="51"/>
  <c r="AG20" i="51"/>
  <c r="AJ14" i="50"/>
  <c r="AF14" i="51"/>
  <c r="AK14" i="51"/>
  <c r="AJ14" i="51" s="1"/>
  <c r="AG14" i="51"/>
  <c r="AH14" i="51"/>
  <c r="AJ16" i="50"/>
  <c r="AH16" i="51"/>
  <c r="AK16" i="51"/>
  <c r="AJ16" i="51" s="1"/>
  <c r="AF16" i="51"/>
  <c r="AG16" i="51"/>
  <c r="AJ10" i="50"/>
  <c r="AF10" i="51"/>
  <c r="AK10" i="51"/>
  <c r="AJ10" i="51" s="1"/>
  <c r="AG10" i="51"/>
  <c r="AH10" i="51"/>
  <c r="AJ12" i="50"/>
  <c r="AH12" i="51"/>
  <c r="AG12" i="51"/>
  <c r="AK12" i="51"/>
  <c r="AJ12" i="51" s="1"/>
  <c r="AF12" i="51"/>
  <c r="AJ5" i="50"/>
  <c r="AH33" i="44"/>
  <c r="AJ33" i="44"/>
  <c r="AG29" i="44"/>
  <c r="AG26" i="46" s="1"/>
  <c r="AJ29" i="44"/>
  <c r="G8" i="40"/>
  <c r="G16" i="40"/>
  <c r="AG32" i="44"/>
  <c r="AK31" i="46"/>
  <c r="D34" i="40"/>
  <c r="E27" i="40"/>
  <c r="E32" i="40"/>
  <c r="D27" i="40"/>
  <c r="E34" i="40"/>
  <c r="D39" i="40"/>
  <c r="P39" i="40" s="1"/>
  <c r="D38" i="40"/>
  <c r="E36" i="40"/>
  <c r="D36" i="40"/>
  <c r="E38" i="40"/>
  <c r="E37" i="40"/>
  <c r="D35" i="40"/>
  <c r="E35" i="40"/>
  <c r="AF29" i="44"/>
  <c r="AF26" i="46" s="1"/>
  <c r="AK32" i="46"/>
  <c r="AF33" i="44"/>
  <c r="AG30" i="44"/>
  <c r="AH32" i="44"/>
  <c r="AK29" i="46"/>
  <c r="AJ29" i="46" s="1"/>
  <c r="AH29" i="44"/>
  <c r="AH26" i="46" s="1"/>
  <c r="AF32" i="44"/>
  <c r="AG33" i="44"/>
  <c r="I16" i="40"/>
  <c r="I8" i="40"/>
  <c r="H8" i="40"/>
  <c r="H16" i="40"/>
  <c r="P7" i="40"/>
  <c r="P17" i="40"/>
  <c r="P33" i="40"/>
  <c r="P15" i="40"/>
  <c r="P6" i="40"/>
  <c r="P18" i="40"/>
  <c r="P14" i="40"/>
  <c r="F9" i="40"/>
  <c r="P9" i="40" s="1"/>
  <c r="E28" i="40"/>
  <c r="E21" i="40"/>
  <c r="E22" i="40"/>
  <c r="E31" i="40"/>
  <c r="E26" i="40"/>
  <c r="D22" i="40"/>
  <c r="D21" i="40"/>
  <c r="D32" i="40"/>
  <c r="D31" i="40"/>
  <c r="AD33" i="41"/>
  <c r="AD27" i="41"/>
  <c r="D29" i="40"/>
  <c r="P29" i="40" s="1"/>
  <c r="E30" i="40"/>
  <c r="D24" i="40"/>
  <c r="AD34" i="41"/>
  <c r="E25" i="40"/>
  <c r="D28" i="40"/>
  <c r="E23" i="40"/>
  <c r="P23" i="40" s="1"/>
  <c r="D25" i="40"/>
  <c r="E24" i="40"/>
  <c r="D26" i="40"/>
  <c r="D19" i="40"/>
  <c r="AD23" i="41"/>
  <c r="D30" i="40"/>
  <c r="E16" i="40"/>
  <c r="E8" i="40"/>
  <c r="AD35" i="41"/>
  <c r="D8" i="40"/>
  <c r="D16" i="40"/>
  <c r="E19" i="40"/>
  <c r="F8" i="40"/>
  <c r="F16" i="40"/>
  <c r="H13" i="40"/>
  <c r="AD20" i="41"/>
  <c r="G10" i="40"/>
  <c r="I10" i="40"/>
  <c r="H10" i="40"/>
  <c r="H12" i="40"/>
  <c r="I12" i="40"/>
  <c r="G12" i="40"/>
  <c r="E11" i="40"/>
  <c r="F12" i="40"/>
  <c r="E13" i="40"/>
  <c r="F10" i="40"/>
  <c r="E12" i="40"/>
  <c r="D10" i="40"/>
  <c r="D12" i="40"/>
  <c r="E10" i="40"/>
  <c r="D11" i="40"/>
  <c r="AD7" i="41"/>
  <c r="AK19" i="53" l="1"/>
  <c r="P22" i="40"/>
  <c r="P37" i="40"/>
  <c r="AJ30" i="47"/>
  <c r="AK30" i="48"/>
  <c r="AJ26" i="46"/>
  <c r="AG26" i="47"/>
  <c r="AH26" i="47"/>
  <c r="AK26" i="47"/>
  <c r="AF26" i="47"/>
  <c r="P20" i="40"/>
  <c r="AJ31" i="46"/>
  <c r="AK33" i="47"/>
  <c r="AJ33" i="47" s="1"/>
  <c r="AJ32" i="46"/>
  <c r="AJ19" i="52"/>
  <c r="Q20" i="40"/>
  <c r="AJ19" i="51"/>
  <c r="AG19" i="52"/>
  <c r="AG19" i="53" s="1"/>
  <c r="AF19" i="52"/>
  <c r="AF19" i="53" s="1"/>
  <c r="AH19" i="52"/>
  <c r="AH19" i="53" s="1"/>
  <c r="AK32" i="47"/>
  <c r="AK31" i="47"/>
  <c r="P31" i="40"/>
  <c r="P32" i="40"/>
  <c r="P38" i="40"/>
  <c r="P27" i="40"/>
  <c r="AG29" i="46"/>
  <c r="S32" i="40"/>
  <c r="R22" i="40"/>
  <c r="Q27" i="40"/>
  <c r="P34" i="40"/>
  <c r="S23" i="40"/>
  <c r="Q29" i="40"/>
  <c r="Q35" i="40"/>
  <c r="Q34" i="40"/>
  <c r="P36" i="40"/>
  <c r="P35" i="40"/>
  <c r="Q37" i="40"/>
  <c r="Q36" i="40"/>
  <c r="Q39" i="40"/>
  <c r="Q38" i="40"/>
  <c r="P11" i="40"/>
  <c r="P30" i="40"/>
  <c r="AF33" i="46"/>
  <c r="AF33" i="47" s="1"/>
  <c r="S30" i="40"/>
  <c r="AG33" i="46"/>
  <c r="AG33" i="47" s="1"/>
  <c r="AF29" i="46"/>
  <c r="AG32" i="46"/>
  <c r="AF32" i="46"/>
  <c r="AK29" i="47"/>
  <c r="AJ29" i="47" s="1"/>
  <c r="AH32" i="46"/>
  <c r="AH30" i="44"/>
  <c r="AD28" i="41"/>
  <c r="Q23" i="40"/>
  <c r="P16" i="40"/>
  <c r="P28" i="40"/>
  <c r="P13" i="40"/>
  <c r="P25" i="40"/>
  <c r="P12" i="40"/>
  <c r="P26" i="40"/>
  <c r="P8" i="40"/>
  <c r="P19" i="40"/>
  <c r="P21" i="40"/>
  <c r="P24" i="40"/>
  <c r="S27" i="40"/>
  <c r="AD31" i="41"/>
  <c r="S31" i="40"/>
  <c r="S24" i="40"/>
  <c r="AD24" i="41"/>
  <c r="R24" i="40"/>
  <c r="AD29" i="41"/>
  <c r="Q31" i="40"/>
  <c r="Q25" i="40"/>
  <c r="R23" i="40"/>
  <c r="S29" i="40"/>
  <c r="Q16" i="40"/>
  <c r="S28" i="40"/>
  <c r="Q24" i="40"/>
  <c r="AD25" i="41"/>
  <c r="Q28" i="40"/>
  <c r="S25" i="40"/>
  <c r="Q32" i="40"/>
  <c r="AD19" i="41"/>
  <c r="Q26" i="40"/>
  <c r="AD32" i="41"/>
  <c r="R25" i="40"/>
  <c r="S22" i="40"/>
  <c r="AD30" i="41"/>
  <c r="Q8" i="40"/>
  <c r="S6" i="40"/>
  <c r="S21" i="40"/>
  <c r="Q11" i="40"/>
  <c r="AD8" i="41"/>
  <c r="Q22" i="40"/>
  <c r="R26" i="40"/>
  <c r="Q19" i="40"/>
  <c r="AD26" i="41"/>
  <c r="S26" i="40"/>
  <c r="AD16" i="41"/>
  <c r="S19" i="40"/>
  <c r="Q30" i="40"/>
  <c r="S9" i="40"/>
  <c r="S8" i="40"/>
  <c r="S17" i="40"/>
  <c r="S16" i="40"/>
  <c r="S15" i="40"/>
  <c r="S14" i="40"/>
  <c r="S7" i="40"/>
  <c r="U7" i="40" s="1"/>
  <c r="S20" i="40"/>
  <c r="S18" i="40"/>
  <c r="Q21" i="40"/>
  <c r="Q13" i="40"/>
  <c r="Q18" i="40"/>
  <c r="Q6" i="40"/>
  <c r="Q15" i="40"/>
  <c r="Q14" i="40"/>
  <c r="Q17" i="40"/>
  <c r="Q9" i="40"/>
  <c r="P10" i="40"/>
  <c r="AD21" i="41"/>
  <c r="AD9" i="41"/>
  <c r="AD13" i="41"/>
  <c r="AD17" i="41"/>
  <c r="AD15" i="41"/>
  <c r="AD6" i="41"/>
  <c r="AD22" i="41"/>
  <c r="AD18" i="41"/>
  <c r="AD14" i="41"/>
  <c r="AK19" i="54" l="1"/>
  <c r="AH19" i="54"/>
  <c r="AF19" i="54"/>
  <c r="AG19" i="54"/>
  <c r="AJ19" i="53"/>
  <c r="AF36" i="47"/>
  <c r="AF37" i="47"/>
  <c r="AG36" i="47"/>
  <c r="AG34" i="47"/>
  <c r="AG37" i="47"/>
  <c r="AG38" i="47"/>
  <c r="AF35" i="47"/>
  <c r="AF38" i="47"/>
  <c r="AG35" i="47"/>
  <c r="AG39" i="47"/>
  <c r="AF34" i="47"/>
  <c r="AF39" i="47"/>
  <c r="AJ26" i="47"/>
  <c r="AK26" i="48"/>
  <c r="AH26" i="48"/>
  <c r="AG26" i="48"/>
  <c r="AJ30" i="48"/>
  <c r="AK30" i="50"/>
  <c r="AH33" i="46"/>
  <c r="AG29" i="47"/>
  <c r="AJ31" i="47"/>
  <c r="AK33" i="48"/>
  <c r="AJ33" i="48" s="1"/>
  <c r="AF29" i="47"/>
  <c r="AJ32" i="47"/>
  <c r="AG35" i="48"/>
  <c r="AF34" i="48"/>
  <c r="AF39" i="48"/>
  <c r="AG38" i="48"/>
  <c r="AG39" i="48"/>
  <c r="AF38" i="48"/>
  <c r="AH36" i="48"/>
  <c r="AH35" i="48"/>
  <c r="AG36" i="48"/>
  <c r="AH39" i="48"/>
  <c r="AF36" i="48"/>
  <c r="AG34" i="48"/>
  <c r="AF37" i="48"/>
  <c r="AF35" i="48"/>
  <c r="AH38" i="48"/>
  <c r="AH37" i="48"/>
  <c r="AG37" i="48"/>
  <c r="AH34" i="48"/>
  <c r="U20" i="40"/>
  <c r="AH33" i="48"/>
  <c r="AG33" i="48"/>
  <c r="AF33" i="48"/>
  <c r="AK31" i="48"/>
  <c r="AK33" i="50" s="1"/>
  <c r="AJ33" i="50" s="1"/>
  <c r="AK32" i="48"/>
  <c r="AK29" i="48"/>
  <c r="AF32" i="47"/>
  <c r="AH32" i="47"/>
  <c r="AG32" i="47"/>
  <c r="U29" i="40"/>
  <c r="U32" i="40"/>
  <c r="U27" i="40"/>
  <c r="AH29" i="46"/>
  <c r="AH29" i="47" s="1"/>
  <c r="AH29" i="48" s="1"/>
  <c r="U30" i="40"/>
  <c r="U23" i="40"/>
  <c r="U15" i="40"/>
  <c r="U18" i="40"/>
  <c r="U9" i="40"/>
  <c r="U6" i="40"/>
  <c r="U31" i="40"/>
  <c r="U17" i="40"/>
  <c r="U14" i="40"/>
  <c r="U22" i="40"/>
  <c r="U24" i="40"/>
  <c r="U26" i="40"/>
  <c r="U28" i="40"/>
  <c r="U21" i="40"/>
  <c r="U16" i="40"/>
  <c r="U19" i="40"/>
  <c r="U25" i="40"/>
  <c r="U8" i="40"/>
  <c r="AD11" i="41"/>
  <c r="S11" i="40"/>
  <c r="U11" i="40" s="1"/>
  <c r="S13" i="40"/>
  <c r="U13" i="40" s="1"/>
  <c r="S12" i="40"/>
  <c r="S10" i="40"/>
  <c r="Q12" i="40"/>
  <c r="Q10" i="40"/>
  <c r="AD12" i="41"/>
  <c r="AD10" i="41"/>
  <c r="J40" i="40"/>
  <c r="N40" i="40"/>
  <c r="M40" i="40"/>
  <c r="K40" i="40"/>
  <c r="L40" i="40"/>
  <c r="AJ19" i="54" l="1"/>
  <c r="AF19" i="55"/>
  <c r="AG19" i="55"/>
  <c r="AH19" i="55"/>
  <c r="AK19" i="55"/>
  <c r="AJ19" i="55" s="1"/>
  <c r="AH33" i="47"/>
  <c r="AH37" i="47"/>
  <c r="AH35" i="47"/>
  <c r="AH38" i="47"/>
  <c r="AH36" i="47"/>
  <c r="AH39" i="47"/>
  <c r="AH34" i="47"/>
  <c r="AG29" i="48"/>
  <c r="AF29" i="48"/>
  <c r="AJ30" i="50"/>
  <c r="AK30" i="51"/>
  <c r="AJ30" i="51" s="1"/>
  <c r="AF26" i="48"/>
  <c r="AF26" i="50" s="1"/>
  <c r="AG26" i="50"/>
  <c r="AJ26" i="48"/>
  <c r="AK26" i="50"/>
  <c r="AH26" i="50"/>
  <c r="AH33" i="50"/>
  <c r="AH35" i="50"/>
  <c r="AH39" i="50"/>
  <c r="AH34" i="50"/>
  <c r="AH38" i="50"/>
  <c r="AF35" i="50"/>
  <c r="AF34" i="50"/>
  <c r="AG37" i="50"/>
  <c r="AH37" i="50"/>
  <c r="AG39" i="50"/>
  <c r="AF38" i="50"/>
  <c r="AG36" i="50"/>
  <c r="AG35" i="50"/>
  <c r="AF36" i="50"/>
  <c r="AG38" i="50"/>
  <c r="AF39" i="50"/>
  <c r="AH36" i="50"/>
  <c r="AF37" i="50"/>
  <c r="AG34" i="50"/>
  <c r="AF33" i="50"/>
  <c r="AG33" i="50"/>
  <c r="AJ31" i="48"/>
  <c r="AK29" i="50"/>
  <c r="AJ29" i="48"/>
  <c r="AK32" i="50"/>
  <c r="AJ32" i="48"/>
  <c r="AG32" i="48"/>
  <c r="AF32" i="48"/>
  <c r="AH32" i="48"/>
  <c r="U10" i="40"/>
  <c r="U12" i="40"/>
  <c r="E7" i="11"/>
  <c r="E1051" i="11"/>
  <c r="E1015" i="11"/>
  <c r="E979" i="11"/>
  <c r="E943" i="11"/>
  <c r="E907" i="11"/>
  <c r="E871" i="11"/>
  <c r="E835" i="11"/>
  <c r="E799" i="11"/>
  <c r="E763" i="11"/>
  <c r="E727" i="11"/>
  <c r="E691" i="11"/>
  <c r="E655" i="11"/>
  <c r="E619" i="11"/>
  <c r="E583" i="11"/>
  <c r="E547" i="11"/>
  <c r="E511" i="11"/>
  <c r="E475" i="11"/>
  <c r="E439" i="11"/>
  <c r="E403" i="11"/>
  <c r="E367" i="11"/>
  <c r="E331" i="11"/>
  <c r="E295" i="11"/>
  <c r="E259" i="11"/>
  <c r="E223" i="11"/>
  <c r="E187" i="11"/>
  <c r="E151" i="11"/>
  <c r="E115" i="11"/>
  <c r="E79" i="11"/>
  <c r="E43" i="11"/>
  <c r="AF29" i="50" l="1"/>
  <c r="AJ26" i="50"/>
  <c r="AK26" i="51"/>
  <c r="AJ26" i="51" s="1"/>
  <c r="AH26" i="51"/>
  <c r="AF26" i="51"/>
  <c r="AG26" i="51"/>
  <c r="AG29" i="50"/>
  <c r="AH29" i="50"/>
  <c r="AH34" i="51"/>
  <c r="AG34" i="51"/>
  <c r="AF34" i="51"/>
  <c r="AH39" i="51"/>
  <c r="AF36" i="51"/>
  <c r="AH37" i="51"/>
  <c r="AG39" i="51"/>
  <c r="AF35" i="51"/>
  <c r="AH38" i="51"/>
  <c r="AF38" i="51"/>
  <c r="AG38" i="51"/>
  <c r="AG35" i="51"/>
  <c r="AF39" i="51"/>
  <c r="AH35" i="51"/>
  <c r="AF37" i="51"/>
  <c r="AH36" i="51"/>
  <c r="AG37" i="51"/>
  <c r="AG36" i="51"/>
  <c r="AJ31" i="50"/>
  <c r="AK31" i="51"/>
  <c r="AJ29" i="50"/>
  <c r="AK29" i="51"/>
  <c r="AJ29" i="51" s="1"/>
  <c r="AJ32" i="50"/>
  <c r="AK32" i="51"/>
  <c r="AG32" i="50"/>
  <c r="AH32" i="50"/>
  <c r="AF32" i="50"/>
  <c r="J525" i="11"/>
  <c r="J92" i="11"/>
  <c r="J129" i="11"/>
  <c r="J236" i="11"/>
  <c r="J55" i="11"/>
  <c r="J1031" i="11"/>
  <c r="J599" i="11"/>
  <c r="J1064" i="11"/>
  <c r="J671" i="11"/>
  <c r="J526" i="11"/>
  <c r="J524" i="11"/>
  <c r="J923" i="11"/>
  <c r="J741" i="11"/>
  <c r="J956" i="11"/>
  <c r="J239" i="11"/>
  <c r="J167" i="11"/>
  <c r="J309" i="11"/>
  <c r="H12" i="11"/>
  <c r="J668" i="11"/>
  <c r="J131" i="11"/>
  <c r="J813" i="11"/>
  <c r="J704" i="11"/>
  <c r="J455" i="11"/>
  <c r="J991" i="11"/>
  <c r="J667" i="11"/>
  <c r="J418" i="11"/>
  <c r="J416" i="11"/>
  <c r="J383" i="11"/>
  <c r="J670" i="11"/>
  <c r="J343" i="11"/>
  <c r="J634" i="11"/>
  <c r="J489" i="11"/>
  <c r="J91" i="11"/>
  <c r="J850" i="11"/>
  <c r="J814" i="11"/>
  <c r="J202" i="11"/>
  <c r="J487" i="11"/>
  <c r="J56" i="11"/>
  <c r="J381" i="11"/>
  <c r="J812" i="11"/>
  <c r="J382" i="11"/>
  <c r="J957" i="11"/>
  <c r="J345" i="11"/>
  <c r="J883" i="11"/>
  <c r="J815" i="11"/>
  <c r="J419" i="11"/>
  <c r="J776" i="11"/>
  <c r="J272" i="11"/>
  <c r="J454" i="11"/>
  <c r="J742" i="11"/>
  <c r="J743" i="11"/>
  <c r="J886" i="11"/>
  <c r="J488" i="11"/>
  <c r="J130" i="11"/>
  <c r="J1066" i="11"/>
  <c r="J237" i="11"/>
  <c r="J57" i="11"/>
  <c r="J166" i="11"/>
  <c r="J346" i="11"/>
  <c r="J310" i="11"/>
  <c r="J775" i="11"/>
  <c r="J347" i="11"/>
  <c r="J59" i="11"/>
  <c r="J128" i="11"/>
  <c r="J560" i="11"/>
  <c r="J563" i="11"/>
  <c r="J885" i="11"/>
  <c r="J669" i="11"/>
  <c r="J995" i="11"/>
  <c r="J203" i="11"/>
  <c r="J994" i="11"/>
  <c r="J884" i="11"/>
  <c r="J415" i="11"/>
  <c r="J887" i="11"/>
  <c r="J559" i="11"/>
  <c r="J779" i="11"/>
  <c r="J739" i="11"/>
  <c r="J598" i="11"/>
  <c r="J778" i="11"/>
  <c r="J417" i="11"/>
  <c r="J707" i="11"/>
  <c r="J273" i="11"/>
  <c r="J848" i="11"/>
  <c r="J451" i="11"/>
  <c r="J597" i="11"/>
  <c r="J851" i="11"/>
  <c r="J523" i="11"/>
  <c r="J706" i="11"/>
  <c r="J1029" i="11"/>
  <c r="J740" i="11"/>
  <c r="J308" i="11"/>
  <c r="J165" i="11"/>
  <c r="J993" i="11"/>
  <c r="J633" i="11"/>
  <c r="H10" i="11"/>
  <c r="J1065" i="11"/>
  <c r="J490" i="11"/>
  <c r="J527" i="11"/>
  <c r="J703" i="11"/>
  <c r="J163" i="11"/>
  <c r="J705" i="11"/>
  <c r="J958" i="11"/>
  <c r="H7" i="11"/>
  <c r="J453" i="11"/>
  <c r="J955" i="11"/>
  <c r="J1030" i="11"/>
  <c r="J344" i="11"/>
  <c r="J561" i="11"/>
  <c r="J1028" i="11"/>
  <c r="J311" i="11"/>
  <c r="J274" i="11"/>
  <c r="J959" i="11"/>
  <c r="J992" i="11"/>
  <c r="J235" i="11"/>
  <c r="J127" i="11"/>
  <c r="J631" i="11"/>
  <c r="J380" i="11"/>
  <c r="J921" i="11"/>
  <c r="J562" i="11"/>
  <c r="J632" i="11"/>
  <c r="J307" i="11"/>
  <c r="J1027" i="11"/>
  <c r="J238" i="11"/>
  <c r="J777" i="11"/>
  <c r="J201" i="11"/>
  <c r="J452" i="11"/>
  <c r="J1063" i="11"/>
  <c r="J58" i="11"/>
  <c r="J275" i="11"/>
  <c r="J919" i="11"/>
  <c r="H8" i="11"/>
  <c r="J595" i="11"/>
  <c r="J920" i="11"/>
  <c r="J94" i="11"/>
  <c r="J849" i="11"/>
  <c r="J164" i="11"/>
  <c r="J491" i="11"/>
  <c r="J199" i="11"/>
  <c r="J200" i="11"/>
  <c r="J847" i="11"/>
  <c r="J93" i="11"/>
  <c r="J922" i="11"/>
  <c r="J596" i="11"/>
  <c r="H11" i="11"/>
  <c r="J95" i="11"/>
  <c r="H9" i="11"/>
  <c r="J379" i="11"/>
  <c r="J1067" i="11"/>
  <c r="J811" i="11"/>
  <c r="J271" i="11"/>
  <c r="J635" i="11"/>
  <c r="A998" i="11" l="1"/>
  <c r="A996" i="11"/>
  <c r="A960" i="11"/>
  <c r="A888" i="11"/>
  <c r="A852" i="11"/>
  <c r="A816" i="11"/>
  <c r="A780" i="11"/>
  <c r="A744" i="11"/>
  <c r="A708" i="11"/>
  <c r="A600" i="11"/>
  <c r="A564" i="11"/>
  <c r="A420" i="11"/>
  <c r="A132" i="11"/>
  <c r="AJ32" i="51"/>
  <c r="AF37" i="52"/>
  <c r="AH36" i="52"/>
  <c r="AH38" i="52"/>
  <c r="AG39" i="52"/>
  <c r="AF39" i="52"/>
  <c r="AH37" i="52"/>
  <c r="AF36" i="52"/>
  <c r="AG35" i="52"/>
  <c r="AF35" i="52"/>
  <c r="AG36" i="52"/>
  <c r="AH35" i="52"/>
  <c r="AG37" i="52"/>
  <c r="AH39" i="52"/>
  <c r="AF38" i="52"/>
  <c r="AG38" i="52"/>
  <c r="AG29" i="51"/>
  <c r="AH29" i="51"/>
  <c r="AF29" i="51"/>
  <c r="AH32" i="51"/>
  <c r="AG32" i="51"/>
  <c r="AF32" i="51"/>
  <c r="AJ31" i="51"/>
  <c r="AK31" i="43"/>
  <c r="AJ31" i="44" s="1"/>
  <c r="A636" i="11"/>
  <c r="A384" i="11"/>
  <c r="A528" i="11"/>
  <c r="A96" i="11"/>
  <c r="A672" i="11"/>
  <c r="A312" i="11"/>
  <c r="A348" i="11"/>
  <c r="A168" i="11"/>
  <c r="A240" i="11"/>
  <c r="A60" i="11"/>
  <c r="A456" i="11"/>
  <c r="A924" i="11"/>
  <c r="A1068" i="11"/>
  <c r="A204" i="11"/>
  <c r="A1032" i="11"/>
  <c r="A492" i="11"/>
  <c r="A276" i="11"/>
  <c r="AF31" i="43" l="1"/>
  <c r="AH31" i="43"/>
  <c r="AG31" i="43"/>
  <c r="AG31" i="44" s="1"/>
  <c r="AJ31" i="43"/>
  <c r="A1069" i="11" a="1"/>
  <c r="C996" i="11" a="1"/>
  <c r="C600" i="11" a="1"/>
  <c r="A999" i="11"/>
  <c r="C240" i="11" a="1"/>
  <c r="A529" i="11" a="1"/>
  <c r="C852" i="11" a="1"/>
  <c r="C456" i="11" a="1"/>
  <c r="A997" i="11" a="1"/>
  <c r="C1032" i="11" a="1"/>
  <c r="C132" i="11" a="1"/>
  <c r="A205" i="11" a="1"/>
  <c r="A601" i="11" a="1"/>
  <c r="A277" i="11" a="1"/>
  <c r="C998" i="11" a="1"/>
  <c r="A889" i="11" a="1"/>
  <c r="A133" i="11" a="1"/>
  <c r="A457" i="11" a="1"/>
  <c r="C672" i="11" a="1"/>
  <c r="A637" i="11" a="1"/>
  <c r="C816" i="11" a="1"/>
  <c r="C204" i="11" a="1"/>
  <c r="C564" i="11" a="1"/>
  <c r="C888" i="11" a="1"/>
  <c r="A925" i="11" a="1"/>
  <c r="A313" i="11" a="1"/>
  <c r="C528" i="11" a="1"/>
  <c r="A421" i="11" a="1"/>
  <c r="A673" i="11" a="1"/>
  <c r="C1068" i="11" a="1"/>
  <c r="A781" i="11" a="1"/>
  <c r="A493" i="11" a="1"/>
  <c r="A385" i="11" a="1"/>
  <c r="C96" i="11" a="1"/>
  <c r="A169" i="11" a="1"/>
  <c r="C276" i="11" a="1"/>
  <c r="A61" i="11" a="1"/>
  <c r="C744" i="11" a="1"/>
  <c r="A853" i="11" a="1"/>
  <c r="C780" i="11" a="1"/>
  <c r="A745" i="11" a="1"/>
  <c r="C636" i="11" a="1"/>
  <c r="C384" i="11" a="1"/>
  <c r="C60" i="11" a="1"/>
  <c r="A241" i="11" a="1"/>
  <c r="A349" i="11" a="1"/>
  <c r="A961" i="11" a="1"/>
  <c r="A1033" i="11" a="1"/>
  <c r="A817" i="11" a="1"/>
  <c r="A565" i="11" a="1"/>
  <c r="C924" i="11" a="1"/>
  <c r="C312" i="11" a="1"/>
  <c r="C420" i="11" a="1"/>
  <c r="C168" i="11" a="1"/>
  <c r="A709" i="11" a="1"/>
  <c r="C492" i="11" a="1"/>
  <c r="C960" i="11" a="1"/>
  <c r="A97" i="11" a="1"/>
  <c r="C348" i="11" a="1"/>
  <c r="C708" i="11" a="1"/>
  <c r="C1068" i="11" l="1"/>
  <c r="A1069" i="11"/>
  <c r="A1033" i="11"/>
  <c r="C1032" i="11"/>
  <c r="C998" i="11"/>
  <c r="C996" i="11"/>
  <c r="A997" i="11"/>
  <c r="A961" i="11"/>
  <c r="C960" i="11"/>
  <c r="C924" i="11"/>
  <c r="A925" i="11"/>
  <c r="A889" i="11"/>
  <c r="C888" i="11"/>
  <c r="A853" i="11"/>
  <c r="C852" i="11"/>
  <c r="C816" i="11"/>
  <c r="A817" i="11"/>
  <c r="A781" i="11"/>
  <c r="C780" i="11"/>
  <c r="A745" i="11"/>
  <c r="C744" i="11"/>
  <c r="A709" i="11"/>
  <c r="C708" i="11"/>
  <c r="C672" i="11"/>
  <c r="A673" i="11"/>
  <c r="A637" i="11"/>
  <c r="C636" i="11"/>
  <c r="C600" i="11"/>
  <c r="A601" i="11"/>
  <c r="C564" i="11"/>
  <c r="A565" i="11"/>
  <c r="C528" i="11"/>
  <c r="A529" i="11"/>
  <c r="A493" i="11"/>
  <c r="C492" i="11"/>
  <c r="C456" i="11"/>
  <c r="A457" i="11"/>
  <c r="C420" i="11"/>
  <c r="A421" i="11"/>
  <c r="C384" i="11"/>
  <c r="A385" i="11"/>
  <c r="A349" i="11"/>
  <c r="C348" i="11"/>
  <c r="C312" i="11"/>
  <c r="A313" i="11"/>
  <c r="A277" i="11"/>
  <c r="C276" i="11"/>
  <c r="A241" i="11"/>
  <c r="C240" i="11"/>
  <c r="A205" i="11"/>
  <c r="C204" i="11"/>
  <c r="A169" i="11"/>
  <c r="C168" i="11"/>
  <c r="C132" i="11"/>
  <c r="A133" i="11"/>
  <c r="A97" i="11"/>
  <c r="C96" i="11"/>
  <c r="C60" i="11"/>
  <c r="A61" i="11"/>
  <c r="AG31" i="46"/>
  <c r="AG31" i="47" s="1"/>
  <c r="AG31" i="48" s="1"/>
  <c r="AG31" i="50" s="1"/>
  <c r="AG30" i="46"/>
  <c r="AG30" i="47" s="1"/>
  <c r="AF31" i="44"/>
  <c r="AF30" i="46" s="1"/>
  <c r="AF30" i="47" s="1"/>
  <c r="C999" i="11" a="1"/>
  <c r="C997" i="11" a="1"/>
  <c r="A1070" i="11" l="1"/>
  <c r="A1034" i="11"/>
  <c r="C997" i="11"/>
  <c r="C999" i="11"/>
  <c r="A926" i="11"/>
  <c r="A674" i="11"/>
  <c r="A638" i="11"/>
  <c r="A530" i="11"/>
  <c r="A494" i="11"/>
  <c r="A458" i="11"/>
  <c r="A386" i="11"/>
  <c r="A350" i="11"/>
  <c r="A314" i="11"/>
  <c r="A278" i="11"/>
  <c r="A242" i="11"/>
  <c r="A206" i="11"/>
  <c r="A170" i="11"/>
  <c r="A98" i="11"/>
  <c r="A62" i="11"/>
  <c r="AG33" i="51"/>
  <c r="AG31" i="51"/>
  <c r="AF30" i="48"/>
  <c r="AF30" i="50" s="1"/>
  <c r="AG30" i="48"/>
  <c r="AG30" i="50" s="1"/>
  <c r="AH31" i="44"/>
  <c r="AF31" i="46"/>
  <c r="AF31" i="47" s="1"/>
  <c r="AF31" i="48" s="1"/>
  <c r="AF31" i="50" s="1"/>
  <c r="A566" i="11"/>
  <c r="C493" i="11" a="1"/>
  <c r="C349" i="11" a="1"/>
  <c r="C961" i="11" a="1"/>
  <c r="A746" i="11"/>
  <c r="C97" i="11" a="1"/>
  <c r="C889" i="11" a="1"/>
  <c r="A782" i="11"/>
  <c r="C205" i="11" a="1"/>
  <c r="C1069" i="11" a="1"/>
  <c r="C565" i="11" a="1"/>
  <c r="C673" i="11" a="1"/>
  <c r="C313" i="11" a="1"/>
  <c r="C241" i="11" a="1"/>
  <c r="A854" i="11"/>
  <c r="C601" i="11" a="1"/>
  <c r="C853" i="11" a="1"/>
  <c r="A890" i="11"/>
  <c r="C745" i="11" a="1"/>
  <c r="C709" i="11" a="1"/>
  <c r="C421" i="11" a="1"/>
  <c r="A602" i="11"/>
  <c r="C637" i="11" a="1"/>
  <c r="C457" i="11" a="1"/>
  <c r="A818" i="11"/>
  <c r="C781" i="11" a="1"/>
  <c r="C169" i="11" a="1"/>
  <c r="C1033" i="11" a="1"/>
  <c r="A134" i="11"/>
  <c r="C385" i="11" a="1"/>
  <c r="A422" i="11"/>
  <c r="C133" i="11" a="1"/>
  <c r="A710" i="11"/>
  <c r="C925" i="11" a="1"/>
  <c r="C817" i="11" a="1"/>
  <c r="C61" i="11" a="1"/>
  <c r="A962" i="11"/>
  <c r="C277" i="11" a="1"/>
  <c r="C529" i="11" a="1"/>
  <c r="C1069" i="11" l="1"/>
  <c r="A1071" i="11"/>
  <c r="C1033" i="11"/>
  <c r="A1035" i="11"/>
  <c r="C961" i="11"/>
  <c r="C925" i="11"/>
  <c r="A927" i="11"/>
  <c r="C889" i="11"/>
  <c r="C853" i="11"/>
  <c r="C817" i="11"/>
  <c r="C781" i="11"/>
  <c r="C745" i="11"/>
  <c r="C709" i="11"/>
  <c r="C673" i="11"/>
  <c r="A675" i="11"/>
  <c r="C637" i="11"/>
  <c r="A639" i="11"/>
  <c r="C601" i="11"/>
  <c r="C565" i="11"/>
  <c r="C529" i="11"/>
  <c r="A531" i="11"/>
  <c r="C493" i="11"/>
  <c r="A495" i="11"/>
  <c r="C457" i="11"/>
  <c r="A459" i="11"/>
  <c r="C421" i="11"/>
  <c r="C385" i="11"/>
  <c r="A387" i="11"/>
  <c r="C349" i="11"/>
  <c r="A351" i="11"/>
  <c r="C313" i="11"/>
  <c r="A315" i="11"/>
  <c r="C277" i="11"/>
  <c r="A279" i="11"/>
  <c r="C241" i="11"/>
  <c r="A243" i="11"/>
  <c r="C205" i="11"/>
  <c r="A207" i="11"/>
  <c r="C169" i="11"/>
  <c r="A171" i="11"/>
  <c r="C133" i="11"/>
  <c r="C97" i="11"/>
  <c r="A99" i="11"/>
  <c r="C61" i="11"/>
  <c r="A63" i="11"/>
  <c r="AF33" i="51"/>
  <c r="AF31" i="51"/>
  <c r="AG30" i="51"/>
  <c r="AF30" i="51"/>
  <c r="AH31" i="46"/>
  <c r="AH31" i="47" s="1"/>
  <c r="AH31" i="48" s="1"/>
  <c r="AH31" i="50" s="1"/>
  <c r="AH30" i="46"/>
  <c r="AH30" i="47" s="1"/>
  <c r="C98" i="11" a="1"/>
  <c r="C566" i="11" a="1"/>
  <c r="A423" i="11"/>
  <c r="C818" i="11" a="1"/>
  <c r="C926" i="11" a="1"/>
  <c r="C1070" i="11" a="1"/>
  <c r="C314" i="11" a="1"/>
  <c r="A891" i="11"/>
  <c r="C531" i="11" a="1"/>
  <c r="C638" i="11" a="1"/>
  <c r="C782" i="11" a="1"/>
  <c r="C351" i="11" a="1"/>
  <c r="C1071" i="11" a="1"/>
  <c r="C710" i="11" a="1"/>
  <c r="C890" i="11" a="1"/>
  <c r="C278" i="11" a="1"/>
  <c r="C242" i="11" a="1"/>
  <c r="A567" i="11"/>
  <c r="C350" i="11" a="1"/>
  <c r="C674" i="11" a="1"/>
  <c r="C1034" i="11" a="1"/>
  <c r="C206" i="11" a="1"/>
  <c r="C99" i="11" a="1"/>
  <c r="A819" i="11"/>
  <c r="A711" i="11"/>
  <c r="C386" i="11" a="1"/>
  <c r="C854" i="11" a="1"/>
  <c r="A747" i="11"/>
  <c r="C422" i="11" a="1"/>
  <c r="C459" i="11" a="1"/>
  <c r="C494" i="11" a="1"/>
  <c r="A135" i="11"/>
  <c r="C530" i="11" a="1"/>
  <c r="C746" i="11" a="1"/>
  <c r="C170" i="11" a="1"/>
  <c r="A963" i="11"/>
  <c r="C279" i="11" a="1"/>
  <c r="C63" i="11" a="1"/>
  <c r="C134" i="11" a="1"/>
  <c r="C602" i="11" a="1"/>
  <c r="A855" i="11"/>
  <c r="C639" i="11" a="1"/>
  <c r="A783" i="11"/>
  <c r="A603" i="11"/>
  <c r="C458" i="11" a="1"/>
  <c r="C962" i="11" a="1"/>
  <c r="C62" i="11" a="1"/>
  <c r="C1035" i="11" a="1"/>
  <c r="C207" i="11" a="1"/>
  <c r="C927" i="11" a="1"/>
  <c r="C675" i="11" a="1"/>
  <c r="C495" i="11" a="1"/>
  <c r="C387" i="11" a="1"/>
  <c r="C315" i="11" a="1"/>
  <c r="C243" i="11" a="1"/>
  <c r="C171" i="11" a="1"/>
  <c r="C1071" i="11" l="1"/>
  <c r="C1070" i="11"/>
  <c r="C1035" i="11"/>
  <c r="C1034" i="11"/>
  <c r="C962" i="11"/>
  <c r="C927" i="11"/>
  <c r="C926" i="11"/>
  <c r="C890" i="11"/>
  <c r="C854" i="11"/>
  <c r="C818" i="11"/>
  <c r="C782" i="11"/>
  <c r="C746" i="11"/>
  <c r="C710" i="11"/>
  <c r="C674" i="11"/>
  <c r="C675" i="11"/>
  <c r="C639" i="11"/>
  <c r="C638" i="11"/>
  <c r="C602" i="11"/>
  <c r="C566" i="11"/>
  <c r="C531" i="11"/>
  <c r="C530" i="11"/>
  <c r="C495" i="11"/>
  <c r="C494" i="11"/>
  <c r="C458" i="11"/>
  <c r="C459" i="11"/>
  <c r="C422" i="11"/>
  <c r="C387" i="11"/>
  <c r="C386" i="11"/>
  <c r="C351" i="11"/>
  <c r="C350" i="11"/>
  <c r="C315" i="11"/>
  <c r="C314" i="11"/>
  <c r="C279" i="11"/>
  <c r="C278" i="11"/>
  <c r="C242" i="11"/>
  <c r="C243" i="11"/>
  <c r="C207" i="11"/>
  <c r="C206" i="11"/>
  <c r="C170" i="11"/>
  <c r="C171" i="11"/>
  <c r="C134" i="11"/>
  <c r="C98" i="11"/>
  <c r="C99" i="11"/>
  <c r="C63" i="11"/>
  <c r="C62" i="11"/>
  <c r="AH33" i="51"/>
  <c r="AH31" i="51"/>
  <c r="AH30" i="48"/>
  <c r="AH30" i="50" s="1"/>
  <c r="E8" i="11"/>
  <c r="C783" i="11" a="1"/>
  <c r="C135" i="11" a="1"/>
  <c r="C423" i="11" a="1"/>
  <c r="C963" i="11" a="1"/>
  <c r="C711" i="11" a="1"/>
  <c r="C891" i="11" a="1"/>
  <c r="C855" i="11" a="1"/>
  <c r="C603" i="11" a="1"/>
  <c r="C567" i="11" a="1"/>
  <c r="C747" i="11" a="1"/>
  <c r="C819" i="11" a="1"/>
  <c r="C567" i="11" l="1"/>
  <c r="C891" i="11"/>
  <c r="C711" i="11"/>
  <c r="C963" i="11"/>
  <c r="C783" i="11"/>
  <c r="C423" i="11"/>
  <c r="C603" i="11"/>
  <c r="C819" i="11"/>
  <c r="C855" i="11"/>
  <c r="C747" i="11"/>
  <c r="C135" i="11"/>
  <c r="AH30" i="51"/>
  <c r="AF21" i="43"/>
  <c r="AF21" i="44" s="1"/>
  <c r="AF21" i="46" s="1"/>
  <c r="AF21" i="47" s="1"/>
  <c r="AG21" i="43"/>
  <c r="AG21" i="44" s="1"/>
  <c r="AG21" i="46" s="1"/>
  <c r="AG21" i="47" s="1"/>
  <c r="AK28" i="43"/>
  <c r="AF21" i="48" l="1"/>
  <c r="AF21" i="50" s="1"/>
  <c r="AG21" i="48"/>
  <c r="AG21" i="50" s="1"/>
  <c r="AF28" i="43"/>
  <c r="AG28" i="43"/>
  <c r="AH28" i="43"/>
  <c r="AH21" i="43"/>
  <c r="AH21" i="44" s="1"/>
  <c r="AH21" i="46" s="1"/>
  <c r="AH21" i="47" s="1"/>
  <c r="AJ28" i="43"/>
  <c r="AK28" i="44"/>
  <c r="AJ28" i="46" s="1"/>
  <c r="AK25" i="46" l="1"/>
  <c r="AF21" i="51"/>
  <c r="AG21" i="51"/>
  <c r="AJ28" i="44"/>
  <c r="AJ27" i="46"/>
  <c r="AF27" i="46" s="1"/>
  <c r="AF27" i="47" s="1"/>
  <c r="AH21" i="48"/>
  <c r="AH21" i="50" s="1"/>
  <c r="AH28" i="44"/>
  <c r="AH25" i="46" s="1"/>
  <c r="AF28" i="44"/>
  <c r="AF25" i="46" s="1"/>
  <c r="AG28" i="44"/>
  <c r="AG25" i="46" s="1"/>
  <c r="AJ25" i="46" l="1"/>
  <c r="AF25" i="47"/>
  <c r="AK25" i="47"/>
  <c r="AH25" i="47"/>
  <c r="AG25" i="47"/>
  <c r="AG27" i="46"/>
  <c r="AG27" i="47" s="1"/>
  <c r="AG27" i="48" s="1"/>
  <c r="AG27" i="50" s="1"/>
  <c r="AH21" i="51"/>
  <c r="AF27" i="48"/>
  <c r="AF27" i="50" s="1"/>
  <c r="AH27" i="46"/>
  <c r="AH27" i="47" s="1"/>
  <c r="E7" i="3"/>
  <c r="AJ25" i="47" l="1"/>
  <c r="AG25" i="48"/>
  <c r="AH25" i="48"/>
  <c r="AK25" i="48"/>
  <c r="AG27" i="51"/>
  <c r="AF27" i="51"/>
  <c r="AH27" i="48"/>
  <c r="AH27" i="50" s="1"/>
  <c r="AF28" i="46"/>
  <c r="AF28" i="47" s="1"/>
  <c r="AG28" i="46"/>
  <c r="AG28" i="47" s="1"/>
  <c r="A38" i="3"/>
  <c r="E38" i="3"/>
  <c r="AF25" i="48" l="1"/>
  <c r="AF25" i="50" s="1"/>
  <c r="AH25" i="50"/>
  <c r="AG25" i="50"/>
  <c r="AK25" i="50"/>
  <c r="AJ25" i="48"/>
  <c r="AH27" i="51"/>
  <c r="AG28" i="48"/>
  <c r="AG28" i="50" s="1"/>
  <c r="AF28" i="48"/>
  <c r="AF28" i="50" s="1"/>
  <c r="AH28" i="46"/>
  <c r="AH28" i="47" s="1"/>
  <c r="AK25" i="51" l="1"/>
  <c r="AJ25" i="51" s="1"/>
  <c r="AJ25" i="50"/>
  <c r="AG25" i="51"/>
  <c r="AF25" i="51"/>
  <c r="AH25" i="51"/>
  <c r="AF28" i="51"/>
  <c r="AG28" i="51"/>
  <c r="AH28" i="48"/>
  <c r="AH28" i="50" s="1"/>
  <c r="AH28" i="51" l="1"/>
  <c r="Z40" i="48" l="1"/>
  <c r="Y40" i="48"/>
  <c r="Y40" i="43"/>
  <c r="Z40" i="43"/>
  <c r="Z40" i="47"/>
  <c r="Y40" i="47" l="1"/>
  <c r="Y40" i="44"/>
  <c r="Z40" i="46"/>
  <c r="Z40" i="41"/>
  <c r="Y40" i="41"/>
  <c r="Y40" i="46" l="1"/>
  <c r="Z40" i="44"/>
  <c r="K513" i="11"/>
  <c r="C595" i="11"/>
  <c r="H695" i="11"/>
  <c r="C884" i="11"/>
  <c r="N599" i="11"/>
  <c r="H47" i="11"/>
  <c r="N203" i="11"/>
  <c r="C1065" i="11"/>
  <c r="C559" i="11"/>
  <c r="N852" i="11"/>
  <c r="C958" i="11"/>
  <c r="H835" i="11"/>
  <c r="C417" i="11"/>
  <c r="H80" i="11"/>
  <c r="H516" i="11"/>
  <c r="K1016" i="11"/>
  <c r="N347" i="11"/>
  <c r="H982" i="11"/>
  <c r="H404" i="11"/>
  <c r="C200" i="11"/>
  <c r="C992" i="11"/>
  <c r="H800" i="11"/>
  <c r="H371" i="11"/>
  <c r="C1031" i="11"/>
  <c r="N780" i="11"/>
  <c r="H838" i="11"/>
  <c r="N671" i="11"/>
  <c r="H46" i="11"/>
  <c r="K1017" i="11"/>
  <c r="N95" i="11"/>
  <c r="H7" i="3"/>
  <c r="C454" i="11"/>
  <c r="K621" i="11"/>
  <c r="C527" i="11"/>
  <c r="C848" i="11"/>
  <c r="C670" i="11"/>
  <c r="N995" i="11"/>
  <c r="C128" i="11"/>
  <c r="H732" i="11"/>
  <c r="H767" i="11"/>
  <c r="N132" i="11"/>
  <c r="C19" i="3"/>
  <c r="C56" i="11"/>
  <c r="N923" i="11"/>
  <c r="H408" i="11"/>
  <c r="C1030" i="11"/>
  <c r="H332" i="11"/>
  <c r="C851" i="11"/>
  <c r="H407" i="11"/>
  <c r="H442" i="11"/>
  <c r="H839" i="11"/>
  <c r="H295" i="11"/>
  <c r="H728" i="11"/>
  <c r="H548" i="11"/>
  <c r="H372" i="11"/>
  <c r="C560" i="11"/>
  <c r="H948" i="11"/>
  <c r="N420" i="11"/>
  <c r="H335" i="11"/>
  <c r="C991" i="11"/>
  <c r="C995" i="11"/>
  <c r="C811" i="11"/>
  <c r="C93" i="11"/>
  <c r="K45" i="11"/>
  <c r="C634" i="11"/>
  <c r="C419" i="11"/>
  <c r="H552" i="11"/>
  <c r="H731" i="11"/>
  <c r="C523" i="11"/>
  <c r="C633" i="11"/>
  <c r="C307" i="11"/>
  <c r="K836" i="11"/>
  <c r="K872" i="11"/>
  <c r="H910" i="11"/>
  <c r="C272" i="11"/>
  <c r="H691" i="11"/>
  <c r="C275" i="11"/>
  <c r="J21" i="11"/>
  <c r="H403" i="11"/>
  <c r="H727" i="11"/>
  <c r="C22" i="3"/>
  <c r="H152" i="11"/>
  <c r="C812" i="11"/>
  <c r="K332" i="11"/>
  <c r="K117" i="11"/>
  <c r="H837" i="11"/>
  <c r="H1052" i="11"/>
  <c r="H584" i="11"/>
  <c r="H660" i="11"/>
  <c r="C311" i="11"/>
  <c r="C94" i="11"/>
  <c r="N239" i="11"/>
  <c r="C488" i="11"/>
  <c r="J22" i="3"/>
  <c r="J22" i="11"/>
  <c r="N204" i="11"/>
  <c r="H692" i="11"/>
  <c r="H156" i="11"/>
  <c r="K260" i="11"/>
  <c r="H117" i="11"/>
  <c r="H82" i="11"/>
  <c r="K153" i="11"/>
  <c r="C741" i="11"/>
  <c r="C379" i="11"/>
  <c r="H224" i="11"/>
  <c r="C1066" i="11"/>
  <c r="H477" i="11"/>
  <c r="K152" i="11"/>
  <c r="H226" i="11"/>
  <c r="C453" i="11"/>
  <c r="H764" i="11"/>
  <c r="C164" i="11"/>
  <c r="K800" i="11"/>
  <c r="C20" i="3"/>
  <c r="H655" i="11"/>
  <c r="H513" i="11"/>
  <c r="H296" i="11"/>
  <c r="H515" i="11"/>
  <c r="H153" i="11"/>
  <c r="N1032" i="11"/>
  <c r="C562" i="11"/>
  <c r="C59" i="11"/>
  <c r="C343" i="11"/>
  <c r="C919" i="11"/>
  <c r="H587" i="11"/>
  <c r="H440" i="11"/>
  <c r="H804" i="11"/>
  <c r="C777" i="11"/>
  <c r="C526" i="11"/>
  <c r="C20" i="11"/>
  <c r="C202" i="11"/>
  <c r="N492" i="11"/>
  <c r="H1056" i="11"/>
  <c r="H115" i="11"/>
  <c r="K440" i="11"/>
  <c r="N23" i="11"/>
  <c r="H443" i="11"/>
  <c r="N528" i="11"/>
  <c r="C415" i="11"/>
  <c r="C778" i="11"/>
  <c r="C383" i="11"/>
  <c r="K837" i="11"/>
  <c r="C310" i="11"/>
  <c r="H980" i="11"/>
  <c r="C1067" i="11"/>
  <c r="H766" i="11"/>
  <c r="H336" i="11"/>
  <c r="N384" i="11"/>
  <c r="C706" i="11"/>
  <c r="H763" i="11"/>
  <c r="C813" i="11"/>
  <c r="K1052" i="11"/>
  <c r="C922" i="11"/>
  <c r="H225" i="11"/>
  <c r="C22" i="11"/>
  <c r="H227" i="11"/>
  <c r="K584" i="11"/>
  <c r="C814" i="11"/>
  <c r="N1067" i="11"/>
  <c r="C235" i="11"/>
  <c r="K980" i="11"/>
  <c r="N600" i="11"/>
  <c r="H1055" i="11"/>
  <c r="K620" i="11"/>
  <c r="H476" i="11"/>
  <c r="H549" i="11"/>
  <c r="H911" i="11"/>
  <c r="N816" i="11"/>
  <c r="K981" i="11"/>
  <c r="C563" i="11"/>
  <c r="H623" i="11"/>
  <c r="C239" i="11"/>
  <c r="K549" i="11"/>
  <c r="H406" i="11"/>
  <c r="H439" i="11"/>
  <c r="N312" i="11"/>
  <c r="C1029" i="11"/>
  <c r="C489" i="11"/>
  <c r="C166" i="11"/>
  <c r="H192" i="11"/>
  <c r="H656" i="11"/>
  <c r="C23" i="3"/>
  <c r="H480" i="11"/>
  <c r="C344" i="11"/>
  <c r="H876" i="11"/>
  <c r="N1031" i="11"/>
  <c r="H331" i="11"/>
  <c r="H658" i="11"/>
  <c r="N959" i="11"/>
  <c r="N708" i="11"/>
  <c r="H155" i="11"/>
  <c r="C596" i="11"/>
  <c r="C705" i="11"/>
  <c r="K801" i="11"/>
  <c r="C21" i="11"/>
  <c r="C815" i="11"/>
  <c r="C380" i="11"/>
  <c r="C345" i="11"/>
  <c r="N960" i="11"/>
  <c r="C887" i="11"/>
  <c r="H547" i="11"/>
  <c r="H228" i="11"/>
  <c r="H120" i="11"/>
  <c r="N59" i="11"/>
  <c r="H943" i="11"/>
  <c r="C346" i="11"/>
  <c r="H405" i="11"/>
  <c r="H730" i="11"/>
  <c r="C885" i="11"/>
  <c r="C127" i="11"/>
  <c r="H947" i="11"/>
  <c r="C955" i="11"/>
  <c r="H984" i="11"/>
  <c r="C632" i="11"/>
  <c r="H619" i="11"/>
  <c r="C199" i="11"/>
  <c r="H1018" i="11"/>
  <c r="H191" i="11"/>
  <c r="H1015" i="11"/>
  <c r="K692" i="11"/>
  <c r="H444" i="11"/>
  <c r="C742" i="11"/>
  <c r="H551" i="11"/>
  <c r="K585" i="11"/>
  <c r="H189" i="11"/>
  <c r="C308" i="11"/>
  <c r="C58" i="11"/>
  <c r="J21" i="3"/>
  <c r="H10" i="3"/>
  <c r="C883" i="11"/>
  <c r="C19" i="11"/>
  <c r="C91" i="11"/>
  <c r="H836" i="11"/>
  <c r="N707" i="11"/>
  <c r="K945" i="11"/>
  <c r="H696" i="11"/>
  <c r="C271" i="11"/>
  <c r="N383" i="11"/>
  <c r="H624" i="11"/>
  <c r="H875" i="11"/>
  <c r="C776" i="11"/>
  <c r="K44" i="11"/>
  <c r="C743" i="11"/>
  <c r="H223" i="11"/>
  <c r="K261" i="11"/>
  <c r="C1028" i="11"/>
  <c r="K657" i="11"/>
  <c r="C994" i="11"/>
  <c r="N311" i="11"/>
  <c r="H9" i="3"/>
  <c r="C238" i="11"/>
  <c r="N815" i="11"/>
  <c r="H874" i="11"/>
  <c r="H909" i="11"/>
  <c r="C55" i="11"/>
  <c r="H801" i="11"/>
  <c r="H83" i="11"/>
  <c r="C274" i="11"/>
  <c r="C598" i="11"/>
  <c r="K333" i="11"/>
  <c r="C309" i="11"/>
  <c r="H588" i="11"/>
  <c r="H514" i="11"/>
  <c r="K441" i="11"/>
  <c r="K81" i="11"/>
  <c r="K404" i="11"/>
  <c r="K873" i="11"/>
  <c r="N276" i="11"/>
  <c r="K548" i="11"/>
  <c r="K225" i="11"/>
  <c r="H659" i="11"/>
  <c r="C236" i="11"/>
  <c r="N348" i="11"/>
  <c r="H768" i="11"/>
  <c r="C524" i="11"/>
  <c r="H872" i="11"/>
  <c r="N672" i="11"/>
  <c r="C669" i="11"/>
  <c r="N527" i="11"/>
  <c r="H765" i="11"/>
  <c r="H1051" i="11"/>
  <c r="H44" i="11"/>
  <c r="H840" i="11"/>
  <c r="C740" i="11"/>
  <c r="N779" i="11"/>
  <c r="C57" i="11"/>
  <c r="H944" i="11"/>
  <c r="C21" i="3"/>
  <c r="C273" i="11"/>
  <c r="K189" i="11"/>
  <c r="N131" i="11"/>
  <c r="C203" i="11"/>
  <c r="K296" i="11"/>
  <c r="H585" i="11"/>
  <c r="N564" i="11"/>
  <c r="C525" i="11"/>
  <c r="C847" i="11"/>
  <c r="K369" i="11"/>
  <c r="C957" i="11"/>
  <c r="K693" i="11"/>
  <c r="C92" i="11"/>
  <c r="N168" i="11"/>
  <c r="H118" i="11"/>
  <c r="C849" i="11"/>
  <c r="K764" i="11"/>
  <c r="K729" i="11"/>
  <c r="H550" i="11"/>
  <c r="H264" i="11"/>
  <c r="N455" i="11"/>
  <c r="C491" i="11"/>
  <c r="H48" i="11"/>
  <c r="H908" i="11"/>
  <c r="C95" i="11"/>
  <c r="C921" i="11"/>
  <c r="N456" i="11"/>
  <c r="K765" i="11"/>
  <c r="H298" i="11"/>
  <c r="C920" i="11"/>
  <c r="H334" i="11"/>
  <c r="H1053" i="11"/>
  <c r="H478" i="11"/>
  <c r="H154" i="11"/>
  <c r="N851" i="11"/>
  <c r="C667" i="11"/>
  <c r="C165" i="11"/>
  <c r="C418" i="11"/>
  <c r="K514" i="11"/>
  <c r="C779" i="11"/>
  <c r="H261" i="11"/>
  <c r="H299" i="11"/>
  <c r="H12" i="3"/>
  <c r="N888" i="11"/>
  <c r="C597" i="11"/>
  <c r="C635" i="11"/>
  <c r="N924" i="11"/>
  <c r="H803" i="11"/>
  <c r="N563" i="11"/>
  <c r="H622" i="11"/>
  <c r="N491" i="11"/>
  <c r="N996" i="11"/>
  <c r="H368" i="11"/>
  <c r="H188" i="11"/>
  <c r="C381" i="11"/>
  <c r="H621" i="11"/>
  <c r="H260" i="11"/>
  <c r="C886" i="11"/>
  <c r="C163" i="11"/>
  <c r="H946" i="11"/>
  <c r="N887" i="11"/>
  <c r="H871" i="11"/>
  <c r="N23" i="3"/>
  <c r="K80" i="11"/>
  <c r="H1017" i="11"/>
  <c r="K224" i="11"/>
  <c r="H43" i="11"/>
  <c r="H802" i="11"/>
  <c r="C739" i="11"/>
  <c r="C237" i="11"/>
  <c r="H370" i="11"/>
  <c r="H1019" i="11"/>
  <c r="C490" i="11"/>
  <c r="H45" i="11"/>
  <c r="H333" i="11"/>
  <c r="H620" i="11"/>
  <c r="H116" i="11"/>
  <c r="H981" i="11"/>
  <c r="C703" i="11"/>
  <c r="C1063" i="11"/>
  <c r="C23" i="11"/>
  <c r="H297" i="11"/>
  <c r="C1027" i="11"/>
  <c r="N60" i="11"/>
  <c r="N24" i="11"/>
  <c r="H259" i="11"/>
  <c r="H873" i="11"/>
  <c r="C1064" i="11"/>
  <c r="H511" i="11"/>
  <c r="N635" i="11"/>
  <c r="K656" i="11"/>
  <c r="N240" i="11"/>
  <c r="C599" i="11"/>
  <c r="C671" i="11"/>
  <c r="H81" i="11"/>
  <c r="C452" i="11"/>
  <c r="N636" i="11"/>
  <c r="N167" i="11"/>
  <c r="C347" i="11"/>
  <c r="K297" i="11"/>
  <c r="K476" i="11"/>
  <c r="H979" i="11"/>
  <c r="C956" i="11"/>
  <c r="H693" i="11"/>
  <c r="N419" i="11"/>
  <c r="H367" i="11"/>
  <c r="H475" i="11"/>
  <c r="N275" i="11"/>
  <c r="N96" i="11"/>
  <c r="H263" i="11"/>
  <c r="C850" i="11"/>
  <c r="C668" i="11"/>
  <c r="C451" i="11"/>
  <c r="C959" i="11"/>
  <c r="C704" i="11"/>
  <c r="K405" i="11"/>
  <c r="C382" i="11"/>
  <c r="K908" i="11"/>
  <c r="H694" i="11"/>
  <c r="C131" i="11"/>
  <c r="H1054" i="11"/>
  <c r="K728" i="11"/>
  <c r="C775" i="11"/>
  <c r="H79" i="11"/>
  <c r="H84" i="11"/>
  <c r="H907" i="11"/>
  <c r="H586" i="11"/>
  <c r="K512" i="11"/>
  <c r="H369" i="11"/>
  <c r="H729" i="11"/>
  <c r="N743" i="11"/>
  <c r="C167" i="11"/>
  <c r="H119" i="11"/>
  <c r="C129" i="11"/>
  <c r="H945" i="11"/>
  <c r="C130" i="11"/>
  <c r="H912" i="11"/>
  <c r="H8" i="3"/>
  <c r="H799" i="11"/>
  <c r="H1020" i="11"/>
  <c r="C487" i="11"/>
  <c r="H657" i="11"/>
  <c r="N1068" i="11"/>
  <c r="H190" i="11"/>
  <c r="K944" i="11"/>
  <c r="H11" i="3"/>
  <c r="H1016" i="11"/>
  <c r="K188" i="11"/>
  <c r="H151" i="11"/>
  <c r="H583" i="11"/>
  <c r="C455" i="11"/>
  <c r="K1053" i="11"/>
  <c r="H187" i="11"/>
  <c r="K477" i="11"/>
  <c r="K368" i="11"/>
  <c r="C993" i="11"/>
  <c r="C561" i="11"/>
  <c r="H983" i="11"/>
  <c r="C707" i="11"/>
  <c r="N744" i="11"/>
  <c r="N24" i="3"/>
  <c r="H441" i="11"/>
  <c r="C631" i="11"/>
  <c r="C201" i="11"/>
  <c r="H262" i="11"/>
  <c r="H512" i="11"/>
  <c r="C923" i="11"/>
  <c r="K116" i="11"/>
  <c r="H479" i="11"/>
  <c r="K909" i="11"/>
  <c r="H300" i="11"/>
  <c r="C416" i="11"/>
  <c r="E25" i="3" l="1" a="1"/>
  <c r="E25" i="3" s="1"/>
  <c r="J25" i="3" s="1"/>
  <c r="E745" i="11" a="1"/>
  <c r="E745" i="11" s="1"/>
  <c r="J745" i="11" s="1"/>
  <c r="E188" i="11"/>
  <c r="E584" i="11"/>
  <c r="E152" i="11"/>
  <c r="E1069" i="11" a="1"/>
  <c r="E1069" i="11" s="1"/>
  <c r="J1069" i="11" s="1"/>
  <c r="E800" i="11"/>
  <c r="E744" i="11" a="1"/>
  <c r="E744" i="11" s="1"/>
  <c r="J744" i="11" s="1" a="1"/>
  <c r="J744" i="11" s="1"/>
  <c r="E908" i="11"/>
  <c r="E80" i="11"/>
  <c r="E97" i="11" a="1"/>
  <c r="E97" i="11" s="1"/>
  <c r="J97" i="11" s="1"/>
  <c r="E276" i="11" a="1"/>
  <c r="E276" i="11" s="1"/>
  <c r="J276" i="11" s="1" a="1"/>
  <c r="J276" i="11" s="1"/>
  <c r="E476" i="11"/>
  <c r="E368" i="11"/>
  <c r="E420" i="11" a="1"/>
  <c r="E420" i="11" s="1"/>
  <c r="J420" i="11" s="1" a="1"/>
  <c r="J420" i="11" s="1"/>
  <c r="E980" i="11"/>
  <c r="E168" i="11" a="1"/>
  <c r="E168" i="11" s="1"/>
  <c r="J168" i="11" s="1" a="1"/>
  <c r="J168" i="11" s="1"/>
  <c r="E637" i="11" a="1"/>
  <c r="E637" i="11" s="1"/>
  <c r="J637" i="11" s="1"/>
  <c r="E241" i="11" a="1"/>
  <c r="E241" i="11" s="1"/>
  <c r="J241" i="11" s="1"/>
  <c r="E636" i="11" a="1"/>
  <c r="E636" i="11" s="1"/>
  <c r="J636" i="11" s="1" a="1"/>
  <c r="J636" i="11" s="1"/>
  <c r="E512" i="11"/>
  <c r="E260" i="11"/>
  <c r="E25" i="11" a="1"/>
  <c r="E25" i="11" s="1"/>
  <c r="J25" i="11" s="1"/>
  <c r="E61" i="11" a="1"/>
  <c r="E61" i="11" s="1"/>
  <c r="J61" i="11" s="1"/>
  <c r="E44" i="11"/>
  <c r="E24" i="3" a="1"/>
  <c r="E24" i="3" s="1"/>
  <c r="J24" i="3" s="1" a="1"/>
  <c r="J24" i="3" s="1"/>
  <c r="E872" i="11"/>
  <c r="E888" i="11" a="1"/>
  <c r="E888" i="11" s="1"/>
  <c r="J888" i="11" s="1" a="1"/>
  <c r="J888" i="11" s="1"/>
  <c r="E997" i="11" a="1"/>
  <c r="E997" i="11" s="1"/>
  <c r="J997" i="11" s="1"/>
  <c r="E492" i="11" a="1"/>
  <c r="E492" i="11" s="1"/>
  <c r="J492" i="11" s="1" a="1"/>
  <c r="J492" i="11" s="1"/>
  <c r="E564" i="11" a="1"/>
  <c r="E564" i="11" s="1"/>
  <c r="J564" i="11" s="1" a="1"/>
  <c r="J564" i="11" s="1"/>
  <c r="E925" i="11" a="1"/>
  <c r="E925" i="11" s="1"/>
  <c r="J925" i="11" s="1"/>
  <c r="E889" i="11" a="1"/>
  <c r="E889" i="11" s="1"/>
  <c r="J889" i="11" s="1"/>
  <c r="E852" i="11" a="1"/>
  <c r="E852" i="11" s="1"/>
  <c r="J852" i="11" s="1" a="1"/>
  <c r="J852" i="11" s="1"/>
  <c r="E457" i="11" a="1"/>
  <c r="E457" i="11" s="1"/>
  <c r="J457" i="11" s="1"/>
  <c r="E456" i="11" a="1"/>
  <c r="E456" i="11" s="1"/>
  <c r="J456" i="11" s="1" a="1"/>
  <c r="J456" i="11" s="1"/>
  <c r="J463" i="11" s="1"/>
  <c r="E169" i="11" a="1"/>
  <c r="E169" i="11" s="1"/>
  <c r="J169" i="11" s="1"/>
  <c r="E565" i="11" a="1"/>
  <c r="E565" i="11" s="1"/>
  <c r="J565" i="11" s="1"/>
  <c r="E132" i="11" a="1"/>
  <c r="E132" i="11" s="1"/>
  <c r="J132" i="11" s="1" a="1"/>
  <c r="J132" i="11" s="1"/>
  <c r="E780" i="11" a="1"/>
  <c r="E780" i="11" s="1"/>
  <c r="J780" i="11" s="1" a="1"/>
  <c r="J780" i="11" s="1"/>
  <c r="E1052" i="11"/>
  <c r="E528" i="11" a="1"/>
  <c r="E528" i="11" s="1"/>
  <c r="E673" i="11" a="1"/>
  <c r="E673" i="11" s="1"/>
  <c r="J673" i="11" s="1"/>
  <c r="E349" i="11" a="1"/>
  <c r="E349" i="11" s="1"/>
  <c r="J349" i="11" s="1"/>
  <c r="E277" i="11" a="1"/>
  <c r="E277" i="11" s="1"/>
  <c r="J277" i="11" s="1"/>
  <c r="E816" i="11" a="1"/>
  <c r="E816" i="11" s="1"/>
  <c r="J816" i="11" s="1" a="1"/>
  <c r="J816" i="11" s="1"/>
  <c r="E312" i="11" a="1"/>
  <c r="E312" i="11" s="1"/>
  <c r="J312" i="11" s="1" a="1"/>
  <c r="J312" i="11" s="1"/>
  <c r="E224" i="11"/>
  <c r="E384" i="11" a="1"/>
  <c r="E384" i="11" s="1"/>
  <c r="J384" i="11" s="1" a="1"/>
  <c r="J384" i="11" s="1"/>
  <c r="E708" i="11" a="1"/>
  <c r="E708" i="11" s="1"/>
  <c r="J708" i="11" s="1" a="1"/>
  <c r="J708" i="11" s="1"/>
  <c r="J715" i="11" s="1"/>
  <c r="E1016" i="11"/>
  <c r="E620" i="11"/>
  <c r="E944" i="11"/>
  <c r="E60" i="11" a="1"/>
  <c r="E60" i="11" s="1"/>
  <c r="J60" i="11" s="1" a="1"/>
  <c r="J60" i="11" s="1"/>
  <c r="E548" i="11"/>
  <c r="E961" i="11" a="1"/>
  <c r="E961" i="11" s="1"/>
  <c r="J961" i="11" s="1"/>
  <c r="E709" i="11" a="1"/>
  <c r="E709" i="11" s="1"/>
  <c r="J709" i="11" s="1"/>
  <c r="E960" i="11" a="1"/>
  <c r="E960" i="11" s="1"/>
  <c r="J960" i="11" s="1" a="1"/>
  <c r="J960" i="11" s="1"/>
  <c r="E332" i="11"/>
  <c r="E1032" i="11" a="1"/>
  <c r="E1032" i="11" s="1"/>
  <c r="J1032" i="11" s="1" a="1"/>
  <c r="J1032" i="11" s="1"/>
  <c r="E313" i="11" a="1"/>
  <c r="E313" i="11" s="1"/>
  <c r="J313" i="11" s="1"/>
  <c r="E440" i="11"/>
  <c r="E817" i="11" a="1"/>
  <c r="E817" i="11" s="1"/>
  <c r="J817" i="11" s="1"/>
  <c r="E601" i="11" a="1"/>
  <c r="E601" i="11" s="1"/>
  <c r="J601" i="11" s="1"/>
  <c r="E1068" i="11" a="1"/>
  <c r="E1068" i="11" s="1"/>
  <c r="J1068" i="11" s="1" a="1"/>
  <c r="J1068" i="11" s="1"/>
  <c r="J1075" i="11" s="1"/>
  <c r="E764" i="11"/>
  <c r="E385" i="11" a="1"/>
  <c r="E385" i="11" s="1"/>
  <c r="J385" i="11" s="1"/>
  <c r="E529" i="11" a="1"/>
  <c r="E529" i="11" s="1"/>
  <c r="J529" i="11" s="1"/>
  <c r="E24" i="11" a="1"/>
  <c r="E24" i="11" s="1"/>
  <c r="J24" i="11" s="1" a="1"/>
  <c r="J24" i="11" s="1"/>
  <c r="E116" i="11"/>
  <c r="E493" i="11" a="1"/>
  <c r="E493" i="11" s="1"/>
  <c r="J493" i="11" s="1"/>
  <c r="E1033" i="11" a="1"/>
  <c r="E1033" i="11" s="1"/>
  <c r="J1033" i="11" s="1"/>
  <c r="E656" i="11"/>
  <c r="E205" i="11" a="1"/>
  <c r="E205" i="11" s="1"/>
  <c r="J205" i="11" s="1"/>
  <c r="E240" i="11" a="1"/>
  <c r="E240" i="11" s="1"/>
  <c r="J240" i="11" s="1" a="1"/>
  <c r="J240" i="11" s="1"/>
  <c r="J247" i="11" s="1"/>
  <c r="E728" i="11"/>
  <c r="E404" i="11"/>
  <c r="E692" i="11"/>
  <c r="E421" i="11" a="1"/>
  <c r="E421" i="11" s="1"/>
  <c r="J421" i="11" s="1"/>
  <c r="E296" i="11"/>
  <c r="E924" i="11" a="1"/>
  <c r="E924" i="11" s="1"/>
  <c r="J924" i="11" s="1" a="1"/>
  <c r="J924" i="11" s="1"/>
  <c r="E133" i="11" a="1"/>
  <c r="E133" i="11" s="1"/>
  <c r="J133" i="11" s="1"/>
  <c r="E996" i="11" a="1"/>
  <c r="E996" i="11" s="1"/>
  <c r="J996" i="11" s="1" a="1"/>
  <c r="J996" i="11" s="1"/>
  <c r="E8" i="3"/>
  <c r="E96" i="11" a="1"/>
  <c r="E96" i="11" s="1"/>
  <c r="J96" i="11" s="1" a="1"/>
  <c r="J96" i="11" s="1"/>
  <c r="E672" i="11" a="1"/>
  <c r="E672" i="11" s="1"/>
  <c r="E781" i="11" a="1"/>
  <c r="E781" i="11" s="1"/>
  <c r="J781" i="11" s="1"/>
  <c r="E348" i="11" a="1"/>
  <c r="E348" i="11" s="1"/>
  <c r="J348" i="11" s="1" a="1"/>
  <c r="J348" i="11" s="1"/>
  <c r="J355" i="11" s="1"/>
  <c r="E836" i="11"/>
  <c r="E853" i="11" a="1"/>
  <c r="E853" i="11" s="1"/>
  <c r="J853" i="11" s="1"/>
  <c r="J859" i="11" s="1"/>
  <c r="E204" i="11" a="1"/>
  <c r="E204" i="11" s="1"/>
  <c r="J204" i="11" s="1" a="1"/>
  <c r="J204" i="11" s="1"/>
  <c r="E600" i="11" a="1"/>
  <c r="E600" i="11" s="1"/>
  <c r="J600" i="11" s="1" a="1"/>
  <c r="J600" i="11" s="1"/>
  <c r="J607" i="11" s="1"/>
  <c r="J175" i="11"/>
  <c r="J391" i="11"/>
  <c r="F5" i="40"/>
  <c r="F40" i="40" s="1"/>
  <c r="I5" i="40"/>
  <c r="I40" i="40" s="1"/>
  <c r="J672" i="11" a="1"/>
  <c r="J528" i="11" a="1"/>
  <c r="J967" i="11" l="1"/>
  <c r="J895" i="11"/>
  <c r="J643" i="11"/>
  <c r="J751" i="11"/>
  <c r="J1003" i="11"/>
  <c r="J823" i="11"/>
  <c r="J319" i="11"/>
  <c r="J571" i="11"/>
  <c r="J787" i="11"/>
  <c r="J67" i="11"/>
  <c r="J283" i="11"/>
  <c r="J139" i="11"/>
  <c r="J103" i="11"/>
  <c r="J427" i="11"/>
  <c r="J211" i="11"/>
  <c r="J1039" i="11"/>
  <c r="J528" i="11"/>
  <c r="J535" i="11" s="1"/>
  <c r="J672" i="11"/>
  <c r="J679" i="11" s="1"/>
  <c r="J499" i="11"/>
  <c r="J931" i="11"/>
  <c r="AA40" i="43"/>
  <c r="H5" i="40"/>
  <c r="H40" i="40" s="1"/>
  <c r="G5" i="40"/>
  <c r="D5" i="40"/>
  <c r="AA40" i="48"/>
  <c r="W40" i="48"/>
  <c r="X40" i="48"/>
  <c r="V40" i="48"/>
  <c r="V40" i="44"/>
  <c r="W40" i="43"/>
  <c r="D40" i="40" l="1"/>
  <c r="X40" i="43"/>
  <c r="E5" i="40"/>
  <c r="E40" i="40" s="1"/>
  <c r="V40" i="46"/>
  <c r="V40" i="43"/>
  <c r="AD40" i="44"/>
  <c r="V40" i="47"/>
  <c r="X40" i="47"/>
  <c r="AA40" i="47"/>
  <c r="W40" i="44"/>
  <c r="AA40" i="44"/>
  <c r="AD40" i="48"/>
  <c r="X40" i="44"/>
  <c r="W40" i="41"/>
  <c r="AA5" i="41"/>
  <c r="AD5" i="41" s="1"/>
  <c r="X40" i="41"/>
  <c r="J23" i="3"/>
  <c r="J23" i="11"/>
  <c r="J19" i="3"/>
  <c r="J20" i="3"/>
  <c r="J19" i="11"/>
  <c r="J20" i="11"/>
  <c r="AA40" i="41" l="1"/>
  <c r="S38" i="40"/>
  <c r="U38" i="40" s="1"/>
  <c r="S39" i="40"/>
  <c r="U39" i="40" s="1"/>
  <c r="S37" i="40"/>
  <c r="U37" i="40" s="1"/>
  <c r="S33" i="40"/>
  <c r="U33" i="40" s="1"/>
  <c r="S34" i="40"/>
  <c r="U34" i="40" s="1"/>
  <c r="S35" i="40"/>
  <c r="U35" i="40" s="1"/>
  <c r="S36" i="40"/>
  <c r="U36" i="40" s="1"/>
  <c r="J31" i="3"/>
  <c r="J31" i="11"/>
  <c r="X40" i="46"/>
  <c r="W40" i="46"/>
  <c r="AA40" i="46"/>
  <c r="AD40" i="43"/>
  <c r="W40" i="47"/>
  <c r="G40" i="40"/>
  <c r="AD40" i="46"/>
  <c r="C319" i="11"/>
  <c r="J322" i="11" s="1"/>
  <c r="AD40" i="47"/>
  <c r="AD40" i="41"/>
  <c r="A24" i="3"/>
  <c r="A322" i="11" a="1"/>
  <c r="A24" i="11"/>
  <c r="Y40" i="40" l="1"/>
  <c r="A322" i="11"/>
  <c r="A25" i="11" a="1"/>
  <c r="A25" i="3" a="1"/>
  <c r="C24" i="3" a="1"/>
  <c r="C24" i="11" a="1"/>
  <c r="C24" i="3" l="1"/>
  <c r="A25" i="11"/>
  <c r="A26" i="11" s="1"/>
  <c r="A27" i="11" s="1"/>
  <c r="C24" i="11"/>
  <c r="A25" i="3"/>
  <c r="C679" i="11" l="1"/>
  <c r="J682" i="11" s="1"/>
  <c r="C139" i="11"/>
  <c r="J142" i="11" s="1"/>
  <c r="C751" i="11"/>
  <c r="J754" i="11" s="1"/>
  <c r="C283" i="11"/>
  <c r="J286" i="11" s="1"/>
  <c r="C823" i="11"/>
  <c r="J826" i="11" s="1"/>
  <c r="C1003" i="11"/>
  <c r="J1006" i="11" s="1"/>
  <c r="C1075" i="11"/>
  <c r="J1078" i="11" s="1"/>
  <c r="C571" i="11"/>
  <c r="J574" i="11" s="1"/>
  <c r="C967" i="11"/>
  <c r="J970" i="11" s="1"/>
  <c r="C715" i="11"/>
  <c r="J718" i="11" s="1"/>
  <c r="C1039" i="11"/>
  <c r="J1042" i="11" s="1"/>
  <c r="C859" i="11"/>
  <c r="J862" i="11" s="1"/>
  <c r="C355" i="11"/>
  <c r="J358" i="11" s="1"/>
  <c r="C103" i="11"/>
  <c r="J106" i="11" s="1"/>
  <c r="C67" i="11"/>
  <c r="J70" i="11" s="1"/>
  <c r="C175" i="11"/>
  <c r="J178" i="11" s="1"/>
  <c r="C211" i="11"/>
  <c r="J214" i="11" s="1"/>
  <c r="C247" i="11"/>
  <c r="J250" i="11" s="1"/>
  <c r="C931" i="11"/>
  <c r="J934" i="11" s="1"/>
  <c r="C607" i="11"/>
  <c r="J610" i="11" s="1"/>
  <c r="C499" i="11"/>
  <c r="J502" i="11" s="1"/>
  <c r="C391" i="11"/>
  <c r="J394" i="11" s="1"/>
  <c r="C643" i="11"/>
  <c r="J646" i="11" s="1"/>
  <c r="C463" i="11"/>
  <c r="J466" i="11" s="1"/>
  <c r="C787" i="11"/>
  <c r="J790" i="11" s="1"/>
  <c r="C535" i="11"/>
  <c r="J538" i="11" s="1"/>
  <c r="C427" i="11"/>
  <c r="J430" i="11" s="1"/>
  <c r="C895" i="11"/>
  <c r="J898" i="11" s="1"/>
  <c r="A286" i="11" a="1"/>
  <c r="A394" i="11" a="1"/>
  <c r="A898" i="11" a="1"/>
  <c r="A1042" i="11" a="1"/>
  <c r="A754" i="11" a="1"/>
  <c r="A1006" i="11" a="1"/>
  <c r="A574" i="11" a="1"/>
  <c r="A610" i="11" a="1"/>
  <c r="A502" i="11" a="1"/>
  <c r="A250" i="11" a="1"/>
  <c r="A178" i="11" a="1"/>
  <c r="A682" i="11" a="1"/>
  <c r="A466" i="11" a="1"/>
  <c r="A358" i="11" a="1"/>
  <c r="A1078" i="11" a="1"/>
  <c r="A862" i="11" a="1"/>
  <c r="A934" i="11" a="1"/>
  <c r="A430" i="11" a="1"/>
  <c r="A790" i="11" a="1"/>
  <c r="A106" i="11" a="1"/>
  <c r="A538" i="11" a="1"/>
  <c r="A826" i="11" a="1"/>
  <c r="A70" i="11" a="1"/>
  <c r="A718" i="11" a="1"/>
  <c r="A646" i="11" a="1"/>
  <c r="A142" i="11" a="1"/>
  <c r="A214" i="11" a="1"/>
  <c r="A970" i="11" a="1"/>
  <c r="C25" i="3" a="1"/>
  <c r="C25" i="11" a="1"/>
  <c r="A26" i="3"/>
  <c r="C25" i="11" l="1"/>
  <c r="C25" i="3"/>
  <c r="A898" i="11"/>
  <c r="A790" i="11"/>
  <c r="A574" i="11"/>
  <c r="A718" i="11"/>
  <c r="A1042" i="11"/>
  <c r="A106" i="11"/>
  <c r="A430" i="11"/>
  <c r="A538" i="11"/>
  <c r="A754" i="11"/>
  <c r="A610" i="11"/>
  <c r="A250" i="11"/>
  <c r="A1006" i="11"/>
  <c r="A502" i="11"/>
  <c r="A142" i="11"/>
  <c r="A466" i="11"/>
  <c r="A178" i="11"/>
  <c r="A358" i="11"/>
  <c r="A970" i="11"/>
  <c r="A826" i="11"/>
  <c r="A682" i="11"/>
  <c r="A1078" i="11"/>
  <c r="A214" i="11"/>
  <c r="A934" i="11"/>
  <c r="A394" i="11"/>
  <c r="A646" i="11"/>
  <c r="A70" i="11"/>
  <c r="A862" i="11"/>
  <c r="A286" i="11"/>
  <c r="A27" i="3"/>
  <c r="C26" i="3" a="1"/>
  <c r="C26" i="11" a="1"/>
  <c r="C27" i="11" a="1"/>
  <c r="C27" i="3" a="1"/>
  <c r="C27" i="11" l="1"/>
  <c r="C26" i="11"/>
  <c r="C27" i="3"/>
  <c r="C26" i="3"/>
  <c r="C31" i="3" l="1"/>
  <c r="J34" i="3" s="1"/>
  <c r="A34" i="3" a="1"/>
  <c r="A34" i="3" l="1"/>
  <c r="C31" i="11"/>
  <c r="J34" i="11" s="1"/>
  <c r="A34" i="11" a="1"/>
  <c r="A34" i="11" l="1"/>
  <c r="AK34" i="52" l="1"/>
  <c r="AG34" i="52" s="1"/>
  <c r="AH34" i="52" l="1"/>
  <c r="AK34" i="53"/>
  <c r="AF34" i="52"/>
  <c r="AJ34" i="52"/>
  <c r="AH10" i="52"/>
  <c r="AG10" i="52"/>
  <c r="AK10" i="52"/>
  <c r="AF10" i="52"/>
  <c r="K1054" i="11"/>
  <c r="K190" i="11"/>
  <c r="AJ34" i="53" l="1"/>
  <c r="AK34" i="54"/>
  <c r="AJ34" i="54" s="1"/>
  <c r="AJ10" i="52"/>
  <c r="AF10" i="53"/>
  <c r="AK10" i="53"/>
  <c r="AG10" i="53"/>
  <c r="AH10" i="53"/>
  <c r="AH22" i="52"/>
  <c r="AG22" i="52"/>
  <c r="AK22" i="52"/>
  <c r="AF22" i="52"/>
  <c r="K622" i="11"/>
  <c r="AJ10" i="53" l="1"/>
  <c r="AH10" i="54"/>
  <c r="AG10" i="54"/>
  <c r="AF10" i="54"/>
  <c r="AK10" i="54"/>
  <c r="AJ22" i="52"/>
  <c r="AF22" i="53"/>
  <c r="AH22" i="53"/>
  <c r="AK22" i="53"/>
  <c r="AG22" i="53"/>
  <c r="AG7" i="52"/>
  <c r="AH7" i="52"/>
  <c r="AK7" i="52"/>
  <c r="AF7" i="52"/>
  <c r="K82" i="11"/>
  <c r="AJ10" i="54" l="1"/>
  <c r="AK10" i="55"/>
  <c r="AJ10" i="55" s="1"/>
  <c r="AF10" i="55"/>
  <c r="AG10" i="55"/>
  <c r="AH10" i="55"/>
  <c r="AJ22" i="53"/>
  <c r="AH22" i="54"/>
  <c r="AK22" i="54"/>
  <c r="AG22" i="54"/>
  <c r="AF22" i="54"/>
  <c r="AJ7" i="52"/>
  <c r="AF7" i="53"/>
  <c r="AG7" i="53"/>
  <c r="AK7" i="53"/>
  <c r="AH7" i="53"/>
  <c r="AG23" i="52"/>
  <c r="AH23" i="52"/>
  <c r="AK23" i="52"/>
  <c r="AF23" i="52"/>
  <c r="K658" i="11"/>
  <c r="AJ22" i="54" l="1"/>
  <c r="AH22" i="55"/>
  <c r="AK22" i="55"/>
  <c r="AJ22" i="55" s="1"/>
  <c r="AF22" i="55"/>
  <c r="AG22" i="55"/>
  <c r="AJ7" i="53"/>
  <c r="AF7" i="54"/>
  <c r="AH7" i="54"/>
  <c r="AG7" i="54"/>
  <c r="AK7" i="54"/>
  <c r="AJ23" i="52"/>
  <c r="AF23" i="53"/>
  <c r="AG23" i="53"/>
  <c r="AK23" i="53"/>
  <c r="AH23" i="53"/>
  <c r="AH28" i="52"/>
  <c r="AG28" i="52"/>
  <c r="AK28" i="52"/>
  <c r="AF28" i="52"/>
  <c r="K838" i="11"/>
  <c r="AJ7" i="54" l="1"/>
  <c r="AF7" i="55"/>
  <c r="AG7" i="55"/>
  <c r="AH7" i="55"/>
  <c r="AK7" i="55"/>
  <c r="AJ7" i="55" s="1"/>
  <c r="AJ23" i="53"/>
  <c r="AF23" i="54"/>
  <c r="AH23" i="54"/>
  <c r="AK23" i="54"/>
  <c r="AG23" i="54"/>
  <c r="AJ28" i="52"/>
  <c r="AK28" i="53"/>
  <c r="AG28" i="53"/>
  <c r="AH28" i="53"/>
  <c r="AF28" i="53"/>
  <c r="AG33" i="52"/>
  <c r="AH33" i="52"/>
  <c r="AK33" i="52"/>
  <c r="AF33" i="52"/>
  <c r="K1018" i="11"/>
  <c r="AJ23" i="54" l="1"/>
  <c r="AF23" i="55"/>
  <c r="AG23" i="55"/>
  <c r="AH23" i="55"/>
  <c r="AK23" i="55"/>
  <c r="AJ23" i="55" s="1"/>
  <c r="AJ28" i="53"/>
  <c r="AK28" i="54"/>
  <c r="AF28" i="54"/>
  <c r="AG28" i="54"/>
  <c r="AH28" i="54"/>
  <c r="AJ33" i="52"/>
  <c r="AK33" i="53"/>
  <c r="AG6" i="52"/>
  <c r="AH6" i="52"/>
  <c r="AK6" i="52"/>
  <c r="AF6" i="52"/>
  <c r="K46" i="11"/>
  <c r="AJ28" i="54" l="1"/>
  <c r="AF28" i="55"/>
  <c r="AG28" i="55"/>
  <c r="AH28" i="55"/>
  <c r="AK28" i="55"/>
  <c r="AJ28" i="55" s="1"/>
  <c r="AJ33" i="53"/>
  <c r="AK33" i="54"/>
  <c r="AJ6" i="52"/>
  <c r="AF6" i="53"/>
  <c r="AH6" i="53"/>
  <c r="AG6" i="53"/>
  <c r="AK6" i="53"/>
  <c r="AK30" i="52"/>
  <c r="AG30" i="52" s="1"/>
  <c r="K910" i="11"/>
  <c r="AJ33" i="54" l="1"/>
  <c r="AH30" i="52"/>
  <c r="AF30" i="52"/>
  <c r="AJ6" i="53"/>
  <c r="AH6" i="54"/>
  <c r="AK6" i="54"/>
  <c r="AF6" i="54"/>
  <c r="AG6" i="54"/>
  <c r="AJ30" i="52"/>
  <c r="AF30" i="53"/>
  <c r="AH30" i="53"/>
  <c r="AG30" i="53"/>
  <c r="AK30" i="53"/>
  <c r="AH14" i="52"/>
  <c r="AG14" i="52"/>
  <c r="AK14" i="52"/>
  <c r="AF14" i="52"/>
  <c r="K334" i="11"/>
  <c r="AJ6" i="54" l="1"/>
  <c r="AK6" i="55"/>
  <c r="AJ6" i="55" s="1"/>
  <c r="AF6" i="55"/>
  <c r="AG6" i="55"/>
  <c r="AH6" i="55"/>
  <c r="AJ30" i="53"/>
  <c r="AH30" i="54"/>
  <c r="AK30" i="54"/>
  <c r="AF30" i="54"/>
  <c r="AG30" i="54"/>
  <c r="AJ14" i="52"/>
  <c r="AF14" i="53"/>
  <c r="AH14" i="53"/>
  <c r="AG14" i="53"/>
  <c r="AK14" i="53"/>
  <c r="AK21" i="52"/>
  <c r="AF21" i="52" s="1"/>
  <c r="K586" i="11"/>
  <c r="AJ30" i="54" l="1"/>
  <c r="AH30" i="55"/>
  <c r="AK30" i="55"/>
  <c r="AJ30" i="55" s="1"/>
  <c r="AF30" i="55"/>
  <c r="AG30" i="55"/>
  <c r="AH21" i="52"/>
  <c r="AG21" i="52"/>
  <c r="AJ14" i="53"/>
  <c r="AH14" i="54"/>
  <c r="AK14" i="54"/>
  <c r="AF14" i="54"/>
  <c r="AG14" i="54"/>
  <c r="AJ21" i="52"/>
  <c r="AK21" i="53"/>
  <c r="AH21" i="53" s="1"/>
  <c r="AH13" i="52"/>
  <c r="AG13" i="52"/>
  <c r="AK13" i="52"/>
  <c r="AF13" i="52"/>
  <c r="K298" i="11"/>
  <c r="AJ14" i="54" l="1"/>
  <c r="AK14" i="55"/>
  <c r="AJ14" i="55" s="1"/>
  <c r="AF14" i="55"/>
  <c r="AG14" i="55"/>
  <c r="AH14" i="55"/>
  <c r="AG21" i="53"/>
  <c r="AF21" i="53"/>
  <c r="AJ21" i="53"/>
  <c r="AK21" i="54"/>
  <c r="AJ13" i="52"/>
  <c r="AH13" i="53"/>
  <c r="AK13" i="53"/>
  <c r="AF13" i="53"/>
  <c r="AG13" i="53"/>
  <c r="AK32" i="52"/>
  <c r="AJ21" i="54" l="1"/>
  <c r="AK21" i="55"/>
  <c r="AJ21" i="55" s="1"/>
  <c r="AG21" i="54"/>
  <c r="AF21" i="54"/>
  <c r="AH21" i="54"/>
  <c r="AJ13" i="53"/>
  <c r="AG13" i="54"/>
  <c r="AK13" i="54"/>
  <c r="AH13" i="54"/>
  <c r="AF13" i="54"/>
  <c r="AG32" i="52"/>
  <c r="AK32" i="53"/>
  <c r="AG32" i="53"/>
  <c r="AF32" i="53"/>
  <c r="AH32" i="52"/>
  <c r="AJ32" i="52"/>
  <c r="AF32" i="52"/>
  <c r="AH18" i="52"/>
  <c r="AG18" i="52"/>
  <c r="AK18" i="52"/>
  <c r="AF18" i="52"/>
  <c r="K982" i="11"/>
  <c r="K478" i="11"/>
  <c r="AH21" i="55" l="1"/>
  <c r="AJ13" i="54"/>
  <c r="AH13" i="55"/>
  <c r="AK13" i="55"/>
  <c r="AJ13" i="55" s="1"/>
  <c r="AF13" i="55"/>
  <c r="AG13" i="55"/>
  <c r="AG21" i="55"/>
  <c r="AF21" i="55"/>
  <c r="AJ32" i="53"/>
  <c r="AK32" i="54"/>
  <c r="AG32" i="54"/>
  <c r="AH32" i="53"/>
  <c r="AF18" i="53"/>
  <c r="AK18" i="53"/>
  <c r="AG18" i="53"/>
  <c r="AH18" i="53"/>
  <c r="AJ18" i="52"/>
  <c r="AG20" i="52"/>
  <c r="AH20" i="52"/>
  <c r="AK20" i="52"/>
  <c r="AF20" i="52"/>
  <c r="K550" i="11"/>
  <c r="AJ32" i="54" l="1"/>
  <c r="AF32" i="55"/>
  <c r="AG32" i="55"/>
  <c r="AH32" i="55"/>
  <c r="AK32" i="55"/>
  <c r="AJ32" i="55" s="1"/>
  <c r="AF32" i="54"/>
  <c r="AJ18" i="53"/>
  <c r="AH18" i="54"/>
  <c r="AG18" i="54"/>
  <c r="AK18" i="54"/>
  <c r="AF18" i="54"/>
  <c r="AH32" i="54"/>
  <c r="AJ20" i="52"/>
  <c r="AK20" i="53"/>
  <c r="AG20" i="53"/>
  <c r="AH20" i="53"/>
  <c r="AF20" i="53"/>
  <c r="AG8" i="52"/>
  <c r="AH8" i="52"/>
  <c r="AK8" i="52"/>
  <c r="AF8" i="52"/>
  <c r="K118" i="11"/>
  <c r="AJ18" i="54" l="1"/>
  <c r="AK18" i="55"/>
  <c r="AJ18" i="55" s="1"/>
  <c r="AF18" i="55"/>
  <c r="AG18" i="55"/>
  <c r="AH18" i="55"/>
  <c r="AJ20" i="53"/>
  <c r="AK20" i="54"/>
  <c r="AF20" i="54"/>
  <c r="AG20" i="54"/>
  <c r="AH20" i="54"/>
  <c r="AJ8" i="52"/>
  <c r="AK8" i="53"/>
  <c r="AG8" i="53"/>
  <c r="AH8" i="53"/>
  <c r="AF8" i="53"/>
  <c r="AK29" i="52"/>
  <c r="AF29" i="52" s="1"/>
  <c r="K874" i="11"/>
  <c r="AJ20" i="54" l="1"/>
  <c r="AG20" i="55"/>
  <c r="AH20" i="55"/>
  <c r="AK20" i="55"/>
  <c r="AJ20" i="55" s="1"/>
  <c r="AF20" i="55"/>
  <c r="AG29" i="52"/>
  <c r="AH29" i="52"/>
  <c r="AJ8" i="53"/>
  <c r="AK8" i="54"/>
  <c r="AF8" i="54"/>
  <c r="AG8" i="54"/>
  <c r="AH8" i="54"/>
  <c r="AJ29" i="52"/>
  <c r="AH29" i="53"/>
  <c r="AK29" i="53"/>
  <c r="AF29" i="53"/>
  <c r="AG29" i="53"/>
  <c r="AH9" i="52"/>
  <c r="AG9" i="52"/>
  <c r="AK9" i="52"/>
  <c r="AF9" i="52"/>
  <c r="K154" i="11"/>
  <c r="AJ8" i="54" l="1"/>
  <c r="AG8" i="55"/>
  <c r="AH8" i="55"/>
  <c r="AK8" i="55"/>
  <c r="AJ8" i="55" s="1"/>
  <c r="AF8" i="55"/>
  <c r="AJ29" i="53"/>
  <c r="AG29" i="54"/>
  <c r="AK29" i="54"/>
  <c r="AH29" i="54"/>
  <c r="AF29" i="54"/>
  <c r="AJ9" i="52"/>
  <c r="AH9" i="53"/>
  <c r="AK9" i="53"/>
  <c r="AG9" i="53"/>
  <c r="AF9" i="53"/>
  <c r="AG31" i="52"/>
  <c r="AH31" i="52"/>
  <c r="AK31" i="52"/>
  <c r="AF31" i="52"/>
  <c r="K946" i="11"/>
  <c r="AJ29" i="54" l="1"/>
  <c r="AG29" i="55"/>
  <c r="AH29" i="55"/>
  <c r="AK29" i="55"/>
  <c r="AJ29" i="55" s="1"/>
  <c r="AF29" i="55"/>
  <c r="AJ9" i="53"/>
  <c r="AG9" i="54"/>
  <c r="AK9" i="54"/>
  <c r="AH9" i="54"/>
  <c r="AF9" i="54"/>
  <c r="AJ31" i="52"/>
  <c r="AF31" i="53"/>
  <c r="AG31" i="53"/>
  <c r="AK31" i="53"/>
  <c r="AH31" i="53"/>
  <c r="AH11" i="52"/>
  <c r="AG11" i="52"/>
  <c r="AK11" i="52"/>
  <c r="AF11" i="52"/>
  <c r="K226" i="11"/>
  <c r="AJ9" i="54" l="1"/>
  <c r="AH9" i="55"/>
  <c r="AK9" i="55"/>
  <c r="AJ9" i="55" s="1"/>
  <c r="AF9" i="55"/>
  <c r="AG9" i="55"/>
  <c r="AJ31" i="53"/>
  <c r="AF31" i="54"/>
  <c r="AH31" i="54"/>
  <c r="AK31" i="54"/>
  <c r="AG31" i="54"/>
  <c r="AJ11" i="52"/>
  <c r="AF11" i="53"/>
  <c r="AG11" i="53"/>
  <c r="AK11" i="53"/>
  <c r="AH11" i="53"/>
  <c r="AG15" i="52"/>
  <c r="AH15" i="52"/>
  <c r="AK15" i="52"/>
  <c r="AF15" i="52"/>
  <c r="K370" i="11"/>
  <c r="AJ31" i="54" l="1"/>
  <c r="AF31" i="55"/>
  <c r="AG31" i="55"/>
  <c r="AH31" i="55"/>
  <c r="AK31" i="55"/>
  <c r="AJ31" i="55" s="1"/>
  <c r="AJ11" i="53"/>
  <c r="AF11" i="54"/>
  <c r="AK11" i="54"/>
  <c r="AG11" i="54"/>
  <c r="AH11" i="54"/>
  <c r="AJ15" i="52"/>
  <c r="AF15" i="53"/>
  <c r="AG15" i="53"/>
  <c r="AK15" i="53"/>
  <c r="AH15" i="53"/>
  <c r="AG12" i="52"/>
  <c r="AH12" i="52"/>
  <c r="AK12" i="52"/>
  <c r="AF12" i="52"/>
  <c r="K262" i="11"/>
  <c r="AJ11" i="54" l="1"/>
  <c r="AF11" i="55"/>
  <c r="AG11" i="55"/>
  <c r="AH11" i="55"/>
  <c r="AK11" i="55"/>
  <c r="AJ11" i="55" s="1"/>
  <c r="AJ15" i="53"/>
  <c r="AF15" i="54"/>
  <c r="AH15" i="54"/>
  <c r="AK15" i="54"/>
  <c r="AG15" i="54"/>
  <c r="AJ12" i="52"/>
  <c r="AK12" i="53"/>
  <c r="AG12" i="53"/>
  <c r="AH12" i="53"/>
  <c r="AF12" i="53"/>
  <c r="AG16" i="52"/>
  <c r="AH16" i="52"/>
  <c r="AK16" i="52"/>
  <c r="AF16" i="52"/>
  <c r="K406" i="11"/>
  <c r="AJ15" i="54" l="1"/>
  <c r="AF15" i="55"/>
  <c r="AG15" i="55"/>
  <c r="AH15" i="55"/>
  <c r="AK15" i="55"/>
  <c r="AJ15" i="55" s="1"/>
  <c r="AJ12" i="53"/>
  <c r="AK12" i="54"/>
  <c r="AF12" i="54"/>
  <c r="AG12" i="54"/>
  <c r="AH12" i="54"/>
  <c r="AJ16" i="52"/>
  <c r="AK16" i="53"/>
  <c r="AG16" i="53"/>
  <c r="AH16" i="53"/>
  <c r="AF16" i="53"/>
  <c r="AK25" i="52"/>
  <c r="AG25" i="52" s="1"/>
  <c r="K730" i="11"/>
  <c r="AJ12" i="54" l="1"/>
  <c r="AG12" i="55"/>
  <c r="AH12" i="55"/>
  <c r="AK12" i="55"/>
  <c r="AJ12" i="55" s="1"/>
  <c r="AF12" i="55"/>
  <c r="AH25" i="52"/>
  <c r="AF25" i="52"/>
  <c r="AJ16" i="53"/>
  <c r="AK16" i="54"/>
  <c r="AF16" i="54"/>
  <c r="AG16" i="54"/>
  <c r="AH16" i="54"/>
  <c r="AJ25" i="52"/>
  <c r="AH25" i="53"/>
  <c r="AK25" i="53"/>
  <c r="AG25" i="53"/>
  <c r="AF25" i="53"/>
  <c r="AH24" i="52"/>
  <c r="AG24" i="52"/>
  <c r="AK24" i="52"/>
  <c r="AF24" i="52"/>
  <c r="K694" i="11"/>
  <c r="AJ16" i="54" l="1"/>
  <c r="AG16" i="55"/>
  <c r="AH16" i="55"/>
  <c r="AK16" i="55"/>
  <c r="AJ16" i="55" s="1"/>
  <c r="AF16" i="55"/>
  <c r="AJ25" i="53"/>
  <c r="AG25" i="54"/>
  <c r="AK25" i="54"/>
  <c r="AH25" i="54"/>
  <c r="AF25" i="54"/>
  <c r="AJ24" i="52"/>
  <c r="AK24" i="53"/>
  <c r="AG24" i="53"/>
  <c r="AH24" i="53"/>
  <c r="AF24" i="53"/>
  <c r="AH17" i="52"/>
  <c r="AG17" i="52"/>
  <c r="AK17" i="52"/>
  <c r="AF17" i="52"/>
  <c r="K442" i="11"/>
  <c r="AJ25" i="54" l="1"/>
  <c r="AG25" i="55"/>
  <c r="AH25" i="55"/>
  <c r="AK25" i="55"/>
  <c r="AJ25" i="55" s="1"/>
  <c r="AF25" i="55"/>
  <c r="AJ24" i="53"/>
  <c r="AK24" i="54"/>
  <c r="AF24" i="54"/>
  <c r="AG24" i="54"/>
  <c r="AH24" i="54"/>
  <c r="AJ17" i="52"/>
  <c r="AH17" i="53"/>
  <c r="AK17" i="53"/>
  <c r="AG17" i="53"/>
  <c r="AF17" i="53"/>
  <c r="AH27" i="52"/>
  <c r="AG27" i="52"/>
  <c r="AK27" i="52"/>
  <c r="AF27" i="52"/>
  <c r="K802" i="11"/>
  <c r="AJ24" i="54" l="1"/>
  <c r="AF24" i="55"/>
  <c r="AG24" i="55"/>
  <c r="AH24" i="55"/>
  <c r="AK24" i="55"/>
  <c r="AJ24" i="55" s="1"/>
  <c r="AJ17" i="53"/>
  <c r="AG17" i="54"/>
  <c r="AK17" i="54"/>
  <c r="AH17" i="54"/>
  <c r="AF17" i="54"/>
  <c r="AJ27" i="52"/>
  <c r="AF27" i="53"/>
  <c r="AG27" i="53"/>
  <c r="AK27" i="53"/>
  <c r="AH27" i="53"/>
  <c r="AK26" i="52"/>
  <c r="AH26" i="52" s="1"/>
  <c r="K766" i="11"/>
  <c r="AJ17" i="54" l="1"/>
  <c r="AH17" i="55"/>
  <c r="AK17" i="55"/>
  <c r="AJ17" i="55" s="1"/>
  <c r="AF17" i="55"/>
  <c r="AG17" i="55"/>
  <c r="AG26" i="52"/>
  <c r="AF26" i="52"/>
  <c r="AF26" i="53" s="1"/>
  <c r="AJ27" i="53"/>
  <c r="AF27" i="54"/>
  <c r="AK27" i="54"/>
  <c r="AH27" i="54"/>
  <c r="AG27" i="54"/>
  <c r="AJ26" i="52"/>
  <c r="AK26" i="53"/>
  <c r="AG26" i="53"/>
  <c r="AH26" i="53"/>
  <c r="AF5" i="52"/>
  <c r="K8" i="11"/>
  <c r="AJ27" i="54" l="1"/>
  <c r="AF27" i="55"/>
  <c r="AG27" i="55"/>
  <c r="AH27" i="55"/>
  <c r="AK27" i="55"/>
  <c r="AJ27" i="55" s="1"/>
  <c r="AJ26" i="53"/>
  <c r="AH26" i="54"/>
  <c r="AG26" i="54"/>
  <c r="AF26" i="54"/>
  <c r="AK26" i="54"/>
  <c r="AG5" i="52"/>
  <c r="AK5" i="52"/>
  <c r="AH5" i="52"/>
  <c r="K9" i="11"/>
  <c r="K10" i="11"/>
  <c r="AF36" i="53" l="1"/>
  <c r="AG39" i="53"/>
  <c r="AG37" i="53"/>
  <c r="AG34" i="53"/>
  <c r="AF33" i="53"/>
  <c r="AH38" i="53"/>
  <c r="AF35" i="53"/>
  <c r="AH34" i="53"/>
  <c r="AH39" i="53"/>
  <c r="AH35" i="53"/>
  <c r="AH36" i="53"/>
  <c r="AG33" i="53"/>
  <c r="AF37" i="53"/>
  <c r="AG35" i="53"/>
  <c r="AH37" i="53"/>
  <c r="AF38" i="53"/>
  <c r="AF34" i="53"/>
  <c r="AH33" i="53"/>
  <c r="AF39" i="53"/>
  <c r="AG36" i="53"/>
  <c r="AG38" i="53"/>
  <c r="AG5" i="53"/>
  <c r="AH5" i="53"/>
  <c r="AJ26" i="54"/>
  <c r="AH26" i="55"/>
  <c r="AK26" i="55"/>
  <c r="AJ26" i="55" s="1"/>
  <c r="AF26" i="55"/>
  <c r="AG26" i="55"/>
  <c r="AJ5" i="52"/>
  <c r="AK5" i="53"/>
  <c r="AF5" i="53"/>
  <c r="AH35" i="54" l="1"/>
  <c r="AH38" i="54"/>
  <c r="AF39" i="54"/>
  <c r="AG37" i="54"/>
  <c r="AG34" i="54"/>
  <c r="AG33" i="54"/>
  <c r="AH37" i="54"/>
  <c r="AF36" i="54"/>
  <c r="AG36" i="54"/>
  <c r="AH34" i="54"/>
  <c r="AG38" i="54"/>
  <c r="AH39" i="54"/>
  <c r="AF38" i="54"/>
  <c r="AF37" i="54"/>
  <c r="AF34" i="54"/>
  <c r="AF33" i="54"/>
  <c r="AH36" i="54"/>
  <c r="AF35" i="54"/>
  <c r="AH33" i="54"/>
  <c r="AG39" i="54"/>
  <c r="AG35" i="54"/>
  <c r="AJ5" i="53"/>
  <c r="AK5" i="54"/>
  <c r="AH5" i="54"/>
  <c r="AG5" i="54"/>
  <c r="AF5" i="54"/>
  <c r="Z40" i="55"/>
  <c r="AG37" i="55" l="1"/>
  <c r="AG36" i="55"/>
  <c r="AG35" i="55"/>
  <c r="AF33" i="55"/>
  <c r="AG38" i="55"/>
  <c r="AH38" i="55"/>
  <c r="AH37" i="55"/>
  <c r="AH36" i="55"/>
  <c r="AG34" i="55"/>
  <c r="AH39" i="55"/>
  <c r="AH34" i="55"/>
  <c r="AH33" i="55"/>
  <c r="AF39" i="55"/>
  <c r="AF38" i="55"/>
  <c r="AH35" i="55"/>
  <c r="AF36" i="55"/>
  <c r="AF35" i="55"/>
  <c r="AF34" i="55"/>
  <c r="AG39" i="55"/>
  <c r="AF37" i="55"/>
  <c r="AG33" i="55"/>
  <c r="AJ5" i="54"/>
  <c r="AH5" i="55"/>
  <c r="AG5" i="55"/>
  <c r="AK5" i="55"/>
  <c r="AJ5" i="55" s="1"/>
  <c r="AF5" i="55"/>
  <c r="W40" i="55"/>
  <c r="Q5" i="40"/>
  <c r="Q40" i="40" s="1"/>
  <c r="X40" i="55"/>
  <c r="K8" i="3"/>
  <c r="K9" i="3"/>
  <c r="K10" i="3"/>
  <c r="Y40" i="55" l="1"/>
  <c r="R5" i="40"/>
  <c r="R40" i="40" s="1"/>
  <c r="O5" i="40" l="1"/>
  <c r="O40" i="40" s="1"/>
  <c r="V40" i="55"/>
  <c r="P5" i="40" l="1"/>
  <c r="P40" i="40" s="1"/>
  <c r="AA40" i="55"/>
  <c r="S5" i="40"/>
  <c r="S40" i="40" s="1"/>
  <c r="AD40" i="55"/>
  <c r="U5" i="40" l="1"/>
  <c r="U40" i="4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<sst xmlns="http://schemas.openxmlformats.org/spreadsheetml/2006/main" count="3032" uniqueCount="232">
  <si>
    <t>Designation:</t>
  </si>
  <si>
    <t>Paid Days:</t>
  </si>
  <si>
    <t>Conveyance</t>
  </si>
  <si>
    <t>Bonus</t>
  </si>
  <si>
    <t>Earnings</t>
  </si>
  <si>
    <t>Amount</t>
  </si>
  <si>
    <t>Deductions</t>
  </si>
  <si>
    <t>Basic Salary</t>
  </si>
  <si>
    <t>P.F.</t>
  </si>
  <si>
    <t>House Rent Allowance (HRA)</t>
  </si>
  <si>
    <t>E.S.I.C.</t>
  </si>
  <si>
    <t>Conveyance Allowance</t>
  </si>
  <si>
    <t>Professional Tax</t>
  </si>
  <si>
    <t>CCA Allowance</t>
  </si>
  <si>
    <t>TDS</t>
  </si>
  <si>
    <t>Total Earnings:</t>
  </si>
  <si>
    <t>Total Deductions:</t>
  </si>
  <si>
    <t>Net Payable:</t>
  </si>
  <si>
    <t>This is computer generated memo and requires no signature</t>
  </si>
  <si>
    <t>Name of Employee:</t>
  </si>
  <si>
    <t>Department:</t>
  </si>
  <si>
    <t>Month:</t>
  </si>
  <si>
    <t>Present Days:</t>
  </si>
  <si>
    <t>Absent Days:</t>
  </si>
  <si>
    <t>PL Adjusted:</t>
  </si>
  <si>
    <t>SL Adjusted:</t>
  </si>
  <si>
    <t>CL Adjusted:</t>
  </si>
  <si>
    <t>Leaves Record:</t>
  </si>
  <si>
    <t>PL Balance:</t>
  </si>
  <si>
    <t>SL Balance:</t>
  </si>
  <si>
    <t>CL Balance:</t>
  </si>
  <si>
    <t>Late Marks:</t>
  </si>
  <si>
    <t>Date of Joining:</t>
  </si>
  <si>
    <t>Emp. Code</t>
  </si>
  <si>
    <t>Designation</t>
  </si>
  <si>
    <t>Dept</t>
  </si>
  <si>
    <t>Branch</t>
  </si>
  <si>
    <t>DOJ</t>
  </si>
  <si>
    <t>Gender</t>
  </si>
  <si>
    <t>PF (UAN) No.</t>
  </si>
  <si>
    <t>ESIC No.</t>
  </si>
  <si>
    <t>PAN No.</t>
  </si>
  <si>
    <t>Current Status</t>
  </si>
  <si>
    <t>Last working Month</t>
  </si>
  <si>
    <t>PF</t>
  </si>
  <si>
    <t>ESIC</t>
  </si>
  <si>
    <t>Production</t>
  </si>
  <si>
    <t>Female</t>
  </si>
  <si>
    <t>Working</t>
  </si>
  <si>
    <t>Yes</t>
  </si>
  <si>
    <t>No</t>
  </si>
  <si>
    <t>Male</t>
  </si>
  <si>
    <t>Production Manager</t>
  </si>
  <si>
    <t>Accounts</t>
  </si>
  <si>
    <t>HO</t>
  </si>
  <si>
    <t>Sales</t>
  </si>
  <si>
    <t>Service Engineer</t>
  </si>
  <si>
    <t>Service</t>
  </si>
  <si>
    <t>Sr</t>
  </si>
  <si>
    <t>Name of Employee</t>
  </si>
  <si>
    <t>Basic Sal</t>
  </si>
  <si>
    <t>HRA</t>
  </si>
  <si>
    <t>CCA</t>
  </si>
  <si>
    <t>Gross Total</t>
  </si>
  <si>
    <t>Prof. Tax</t>
  </si>
  <si>
    <t>Net Total</t>
  </si>
  <si>
    <t>CTC per Month</t>
  </si>
  <si>
    <t>CTC per Year</t>
  </si>
  <si>
    <t>Employee Code:</t>
  </si>
  <si>
    <t>Branch/ Factory:</t>
  </si>
  <si>
    <t>PF (UAN) No.:</t>
  </si>
  <si>
    <t>ESIC No.:</t>
  </si>
  <si>
    <t>Monthly Salary Slip</t>
  </si>
  <si>
    <t>Advance/Loan</t>
  </si>
  <si>
    <t>Present Days</t>
  </si>
  <si>
    <t>Absent Days</t>
  </si>
  <si>
    <t>PL</t>
  </si>
  <si>
    <t>SL</t>
  </si>
  <si>
    <t>CL</t>
  </si>
  <si>
    <t>Paid Days</t>
  </si>
  <si>
    <t>Initial Leaves</t>
  </si>
  <si>
    <t>Leaves Applicable</t>
  </si>
  <si>
    <t>Loan</t>
  </si>
  <si>
    <t>Late Marks</t>
  </si>
  <si>
    <t>Select Month</t>
  </si>
  <si>
    <t>Ansa Factory</t>
  </si>
  <si>
    <t>Koparkhairne Factory</t>
  </si>
  <si>
    <t>NA</t>
  </si>
  <si>
    <t>Grand Total:</t>
  </si>
  <si>
    <t/>
  </si>
  <si>
    <t>Leave Consumption</t>
  </si>
  <si>
    <t>Other Allowance</t>
  </si>
  <si>
    <t>EPF</t>
  </si>
  <si>
    <t>ESIC (Employer)</t>
  </si>
  <si>
    <t>E.P.F.</t>
  </si>
  <si>
    <t>E.S.I.C.
(Employer)</t>
  </si>
  <si>
    <t>ESIC
(Employer)</t>
  </si>
  <si>
    <t>Arrears</t>
  </si>
  <si>
    <t>South</t>
  </si>
  <si>
    <t>Active</t>
  </si>
  <si>
    <t>Increment</t>
  </si>
  <si>
    <t>Apr</t>
  </si>
  <si>
    <t>May</t>
  </si>
  <si>
    <t>Last Net Salary</t>
  </si>
  <si>
    <t>Last Gross Salary</t>
  </si>
  <si>
    <t>Last Gross Sal</t>
  </si>
  <si>
    <t>Income Tax Applicable</t>
  </si>
  <si>
    <t>ENDEE ENGINEERS PVT. LTD.</t>
  </si>
  <si>
    <t>Munna Prasad Vishwakarma</t>
  </si>
  <si>
    <t>Ramesh Poojari</t>
  </si>
  <si>
    <t>Rajan Fernandes</t>
  </si>
  <si>
    <t>Sanjay Jadhav</t>
  </si>
  <si>
    <t>Darshana Bhagat</t>
  </si>
  <si>
    <t>Kavita Sawant</t>
  </si>
  <si>
    <t>Pankajkumar Chodhary</t>
  </si>
  <si>
    <t>Komal Patil</t>
  </si>
  <si>
    <t>Ankit Parmar</t>
  </si>
  <si>
    <t>Jayesh Chogle</t>
  </si>
  <si>
    <t>Ravin Gaikwad</t>
  </si>
  <si>
    <t>Gaurav Sune</t>
  </si>
  <si>
    <t>Hasanulbana Siddiqui</t>
  </si>
  <si>
    <t>Aniket Sawant</t>
  </si>
  <si>
    <t>Mayur Bhoir</t>
  </si>
  <si>
    <t>Supriya Padel</t>
  </si>
  <si>
    <t>Sagar Kadam</t>
  </si>
  <si>
    <t>Rahul Jadhav</t>
  </si>
  <si>
    <t>Yash Ghumre</t>
  </si>
  <si>
    <t>Shivraj Mahajan</t>
  </si>
  <si>
    <t>Akash Gholap</t>
  </si>
  <si>
    <t>Jatin Bhosale</t>
  </si>
  <si>
    <t>Pratik Lotankar</t>
  </si>
  <si>
    <t>Jyoti Sawant</t>
  </si>
  <si>
    <t>Deepu Raj</t>
  </si>
  <si>
    <t>W007</t>
  </si>
  <si>
    <t>Production Engineer</t>
  </si>
  <si>
    <t>W003</t>
  </si>
  <si>
    <t>Technician</t>
  </si>
  <si>
    <t>H003</t>
  </si>
  <si>
    <t>General Manager- Marketing</t>
  </si>
  <si>
    <t>W008</t>
  </si>
  <si>
    <t>Logistic Executive</t>
  </si>
  <si>
    <t>W005</t>
  </si>
  <si>
    <t>PCB Assembler</t>
  </si>
  <si>
    <t>H002</t>
  </si>
  <si>
    <t>Accounts Manager</t>
  </si>
  <si>
    <t>D002</t>
  </si>
  <si>
    <t>W022</t>
  </si>
  <si>
    <t>W050</t>
  </si>
  <si>
    <t>Accounts &amp; Admin Executive</t>
  </si>
  <si>
    <t>W051</t>
  </si>
  <si>
    <t>H014</t>
  </si>
  <si>
    <t>H018</t>
  </si>
  <si>
    <t>Sales Executive</t>
  </si>
  <si>
    <t>W052</t>
  </si>
  <si>
    <t>W053</t>
  </si>
  <si>
    <t>H020</t>
  </si>
  <si>
    <t>Project Engineer</t>
  </si>
  <si>
    <t>R&amp;D</t>
  </si>
  <si>
    <t>EW055</t>
  </si>
  <si>
    <t>EW056</t>
  </si>
  <si>
    <t>HO023</t>
  </si>
  <si>
    <t>Office assistant</t>
  </si>
  <si>
    <t>HO024</t>
  </si>
  <si>
    <t>EW060</t>
  </si>
  <si>
    <t>Jr. Technician</t>
  </si>
  <si>
    <t>EW 063</t>
  </si>
  <si>
    <t>EW 064</t>
  </si>
  <si>
    <t xml:space="preserve">Embedded Engineer </t>
  </si>
  <si>
    <t>DZSPB6666R</t>
  </si>
  <si>
    <t>EW 065</t>
  </si>
  <si>
    <t>AJAPL3690A</t>
  </si>
  <si>
    <t>EW</t>
  </si>
  <si>
    <t>Quality Incharge</t>
  </si>
  <si>
    <t>Quality</t>
  </si>
  <si>
    <t xml:space="preserve">NA </t>
  </si>
  <si>
    <t>AQDPM5452F</t>
  </si>
  <si>
    <t>HO067</t>
  </si>
  <si>
    <t>Sales Engineer</t>
  </si>
  <si>
    <t>FVFPD2398P</t>
  </si>
  <si>
    <t>ENDE ENGINEERS PVT. LTD.</t>
  </si>
  <si>
    <t>D-120, Ansa Industrial Estate, Saki Vihar Road, Saki Naka, Andheri (East), Mumbai - 400072.</t>
  </si>
  <si>
    <t>Gross</t>
  </si>
  <si>
    <t xml:space="preserve">Vicky Kumar </t>
  </si>
  <si>
    <t xml:space="preserve">EW </t>
  </si>
  <si>
    <t xml:space="preserve">Fitter </t>
  </si>
  <si>
    <t>OKTPK5985F</t>
  </si>
  <si>
    <t>Total</t>
  </si>
  <si>
    <t xml:space="preserve">Extension in service </t>
  </si>
  <si>
    <t>Employee Annual Salary Details (FY 2025-2026)</t>
  </si>
  <si>
    <t>Salary Sheet - Month March'2026</t>
  </si>
  <si>
    <t>Salary Sheet - Month February'2026</t>
  </si>
  <si>
    <t>Salary Sheet - Month January'2026</t>
  </si>
  <si>
    <t>Salary Sheet - Month December'2025</t>
  </si>
  <si>
    <t>Salary Sheet - Month November'2025</t>
  </si>
  <si>
    <t>Salary Sheet - Month October'2025</t>
  </si>
  <si>
    <t>Salary Sheet - Month September''2025</t>
  </si>
  <si>
    <t>Salary Sheet - Month August''2025</t>
  </si>
  <si>
    <t>Salary Sheet - Month July''2025</t>
  </si>
  <si>
    <t>Salary Sheet - Month June''2025</t>
  </si>
  <si>
    <t>Salary Sheet - Month May''2025</t>
  </si>
  <si>
    <t>Salary Sheet - Month April'2025</t>
  </si>
  <si>
    <t>Employee Salary Data - 2025-26</t>
  </si>
  <si>
    <t>Aprr25</t>
  </si>
  <si>
    <t>Mayy25</t>
  </si>
  <si>
    <t>Junn25</t>
  </si>
  <si>
    <t>Jull25</t>
  </si>
  <si>
    <t>Augg25</t>
  </si>
  <si>
    <t>Sepp25</t>
  </si>
  <si>
    <t>Octt25</t>
  </si>
  <si>
    <t>Novv25</t>
  </si>
  <si>
    <t>Decc25</t>
  </si>
  <si>
    <t>Jann26</t>
  </si>
  <si>
    <t>Febb26</t>
  </si>
  <si>
    <t>Marr26</t>
  </si>
  <si>
    <t>Software Engineer</t>
  </si>
  <si>
    <t>Aparna Raithatha</t>
  </si>
  <si>
    <t>Apr'25</t>
  </si>
  <si>
    <t>May'25</t>
  </si>
  <si>
    <t>Jun'25</t>
  </si>
  <si>
    <t>Jul'25</t>
  </si>
  <si>
    <t>Aug'25</t>
  </si>
  <si>
    <t>Sep'25</t>
  </si>
  <si>
    <t>Oct'25</t>
  </si>
  <si>
    <t>Nov'25</t>
  </si>
  <si>
    <t>Dec'25</t>
  </si>
  <si>
    <t>Jan'26</t>
  </si>
  <si>
    <t>Feb'26</t>
  </si>
  <si>
    <t>Mar'26</t>
  </si>
  <si>
    <t>Non-Active</t>
  </si>
  <si>
    <t>Waman Bandekar</t>
  </si>
  <si>
    <t>HJPB7519H</t>
  </si>
  <si>
    <t>Loan as on 01.04.2025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</si>
</sst>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 * #,##0.00_ ;_ * \-#,##0.00_ ;_ * &quot;-&quot;??_ ;_ @_ "/>
    <numFmt numFmtId="164" formatCode="mmmm/yyyy"/>
    <numFmt numFmtId="165" formatCode="0.0"/>
    <numFmt numFmtId="166" formatCode="mmm/yyyy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u/>
      <sz val="20"/>
      <color theme="1"/>
      <name val="Times New Roman"/>
      <family val="1"/>
    </font>
    <font>
      <b/>
      <u/>
      <sz val="15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sz val="9"/>
      <color theme="1"/>
      <name val="Times New Roman"/>
      <family val="1"/>
    </font>
    <font>
      <sz val="7"/>
      <color theme="1"/>
      <name val="Calibri"/>
      <family val="2"/>
      <scheme val="minor"/>
    </font>
    <font>
      <b/>
      <i/>
      <sz val="15"/>
      <color rgb="FF0000CC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color theme="0"/>
      <name val="Times New Roman"/>
      <family val="1"/>
    </font>
    <font>
      <b/>
      <sz val="8"/>
      <color theme="1"/>
      <name val="Times New Roman"/>
      <family val="1"/>
    </font>
    <font>
      <b/>
      <sz val="9.5"/>
      <color theme="1"/>
      <name val="Times New Roman"/>
      <family val="1"/>
    </font>
    <font>
      <sz val="10"/>
      <color rgb="FFFF0000"/>
      <name val="Times New Roman"/>
      <family val="1"/>
    </font>
    <font>
      <b/>
      <i/>
      <sz val="10"/>
      <color theme="1"/>
      <name val="Times New Roman"/>
      <family val="1"/>
    </font>
    <font>
      <b/>
      <u/>
      <sz val="14"/>
      <color rgb="FFFF0000"/>
      <name val="Times New Roman"/>
      <family val="1"/>
    </font>
    <font>
      <b/>
      <sz val="10"/>
      <color rgb="FFFF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7">
    <xf numFmtId="0" fontId="0" fillId="0" borderId="0" xfId="0"/>
    <xf numFmtId="0" fontId="3" fillId="2" borderId="0" xfId="0" applyFont="1" applyFill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 indent="1"/>
    </xf>
    <xf numFmtId="0" fontId="4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0" fillId="4" borderId="9" xfId="0" applyFont="1" applyFill="1" applyBorder="1" applyAlignment="1" applyProtection="1">
      <alignment horizontal="center" vertical="center" wrapText="1"/>
      <protection locked="0"/>
    </xf>
    <xf numFmtId="0" fontId="10" fillId="4" borderId="10" xfId="0" applyFont="1" applyFill="1" applyBorder="1" applyAlignment="1" applyProtection="1">
      <alignment horizontal="center" vertical="center" wrapText="1"/>
      <protection locked="0"/>
    </xf>
    <xf numFmtId="0" fontId="11" fillId="4" borderId="11" xfId="0" applyFont="1" applyFill="1" applyBorder="1" applyAlignment="1" applyProtection="1">
      <alignment vertical="center" wrapText="1"/>
      <protection locked="0"/>
    </xf>
    <xf numFmtId="0" fontId="11" fillId="4" borderId="6" xfId="0" applyFont="1" applyFill="1" applyBorder="1" applyAlignment="1" applyProtection="1">
      <alignment vertical="center" wrapText="1"/>
      <protection locked="0"/>
    </xf>
    <xf numFmtId="0" fontId="12" fillId="4" borderId="11" xfId="0" applyFont="1" applyFill="1" applyBorder="1" applyAlignment="1" applyProtection="1">
      <alignment vertical="center" wrapText="1"/>
      <protection locked="0"/>
    </xf>
    <xf numFmtId="0" fontId="12" fillId="4" borderId="6" xfId="0" applyFont="1" applyFill="1" applyBorder="1" applyAlignment="1" applyProtection="1">
      <alignment vertical="center" wrapText="1"/>
      <protection locked="0"/>
    </xf>
    <xf numFmtId="0" fontId="11" fillId="4" borderId="12" xfId="0" applyFont="1" applyFill="1" applyBorder="1" applyAlignment="1" applyProtection="1">
      <alignment vertical="center" wrapText="1"/>
      <protection locked="0"/>
    </xf>
    <xf numFmtId="0" fontId="11" fillId="4" borderId="13" xfId="0" applyFont="1" applyFill="1" applyBorder="1" applyAlignment="1" applyProtection="1">
      <alignment vertical="center" wrapText="1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locked="0"/>
    </xf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14" fontId="15" fillId="3" borderId="2" xfId="0" applyNumberFormat="1" applyFont="1" applyFill="1" applyBorder="1" applyAlignment="1">
      <alignment horizontal="center" vertical="center"/>
    </xf>
    <xf numFmtId="0" fontId="10" fillId="3" borderId="16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 wrapText="1"/>
      <protection locked="0"/>
    </xf>
    <xf numFmtId="0" fontId="10" fillId="5" borderId="9" xfId="0" applyFont="1" applyFill="1" applyBorder="1" applyAlignment="1" applyProtection="1">
      <alignment horizontal="center" vertical="center" wrapText="1"/>
      <protection locked="0"/>
    </xf>
    <xf numFmtId="0" fontId="16" fillId="5" borderId="9" xfId="0" applyFont="1" applyFill="1" applyBorder="1" applyAlignment="1" applyProtection="1">
      <alignment horizontal="center" vertical="center" wrapText="1"/>
      <protection locked="0"/>
    </xf>
    <xf numFmtId="0" fontId="10" fillId="6" borderId="9" xfId="0" applyFont="1" applyFill="1" applyBorder="1" applyAlignment="1">
      <alignment horizontal="center" vertical="center" wrapText="1"/>
    </xf>
    <xf numFmtId="0" fontId="16" fillId="6" borderId="9" xfId="0" applyFont="1" applyFill="1" applyBorder="1" applyAlignment="1">
      <alignment horizontal="center" vertical="center" wrapText="1"/>
    </xf>
    <xf numFmtId="0" fontId="10" fillId="6" borderId="17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3" borderId="19" xfId="0" applyFont="1" applyFill="1" applyBorder="1" applyAlignment="1" applyProtection="1">
      <alignment vertical="center" wrapText="1"/>
      <protection locked="0"/>
    </xf>
    <xf numFmtId="43" fontId="11" fillId="5" borderId="11" xfId="1" applyFont="1" applyFill="1" applyBorder="1" applyAlignment="1" applyProtection="1">
      <alignment vertical="center" wrapText="1"/>
      <protection locked="0"/>
    </xf>
    <xf numFmtId="43" fontId="11" fillId="6" borderId="11" xfId="1" applyFont="1" applyFill="1" applyBorder="1" applyAlignment="1" applyProtection="1">
      <alignment vertical="center" wrapText="1"/>
    </xf>
    <xf numFmtId="43" fontId="11" fillId="6" borderId="12" xfId="1" applyFont="1" applyFill="1" applyBorder="1" applyAlignment="1" applyProtection="1">
      <alignment vertical="center" wrapText="1"/>
    </xf>
    <xf numFmtId="43" fontId="11" fillId="6" borderId="20" xfId="1" applyFont="1" applyFill="1" applyBorder="1" applyAlignment="1" applyProtection="1">
      <alignment vertical="center" wrapText="1"/>
    </xf>
    <xf numFmtId="43" fontId="11" fillId="6" borderId="21" xfId="1" applyFont="1" applyFill="1" applyBorder="1" applyAlignment="1" applyProtection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 applyProtection="1">
      <alignment vertical="center" wrapText="1"/>
      <protection locked="0"/>
    </xf>
    <xf numFmtId="0" fontId="11" fillId="3" borderId="23" xfId="0" applyFont="1" applyFill="1" applyBorder="1" applyAlignment="1" applyProtection="1">
      <alignment vertical="center" wrapText="1"/>
      <protection locked="0"/>
    </xf>
    <xf numFmtId="43" fontId="12" fillId="5" borderId="22" xfId="1" applyFont="1" applyFill="1" applyBorder="1" applyAlignment="1" applyProtection="1">
      <alignment vertical="center" wrapText="1"/>
      <protection locked="0"/>
    </xf>
    <xf numFmtId="43" fontId="12" fillId="5" borderId="12" xfId="1" applyFont="1" applyFill="1" applyBorder="1" applyAlignment="1" applyProtection="1">
      <alignment vertical="center" wrapText="1"/>
      <protection locked="0"/>
    </xf>
    <xf numFmtId="43" fontId="11" fillId="6" borderId="24" xfId="1" applyFont="1" applyFill="1" applyBorder="1" applyAlignment="1" applyProtection="1">
      <alignment vertical="center" wrapText="1"/>
    </xf>
    <xf numFmtId="0" fontId="12" fillId="3" borderId="23" xfId="0" applyFont="1" applyFill="1" applyBorder="1" applyAlignment="1" applyProtection="1">
      <alignment vertical="center" wrapText="1"/>
      <protection locked="0"/>
    </xf>
    <xf numFmtId="43" fontId="11" fillId="5" borderId="22" xfId="1" applyFont="1" applyFill="1" applyBorder="1" applyAlignment="1" applyProtection="1">
      <alignment vertical="center" wrapText="1"/>
      <protection locked="0"/>
    </xf>
    <xf numFmtId="43" fontId="11" fillId="5" borderId="12" xfId="1" applyFont="1" applyFill="1" applyBorder="1" applyAlignment="1" applyProtection="1">
      <alignment vertical="center" wrapText="1"/>
      <protection locked="0"/>
    </xf>
    <xf numFmtId="43" fontId="12" fillId="6" borderId="12" xfId="1" applyFont="1" applyFill="1" applyBorder="1" applyAlignment="1" applyProtection="1">
      <alignment vertical="center" wrapText="1"/>
    </xf>
    <xf numFmtId="43" fontId="12" fillId="6" borderId="11" xfId="1" applyFont="1" applyFill="1" applyBorder="1" applyAlignment="1" applyProtection="1">
      <alignment vertical="center" wrapText="1"/>
    </xf>
    <xf numFmtId="43" fontId="12" fillId="6" borderId="24" xfId="1" applyFont="1" applyFill="1" applyBorder="1" applyAlignment="1" applyProtection="1">
      <alignment vertical="center" wrapText="1"/>
    </xf>
    <xf numFmtId="0" fontId="12" fillId="0" borderId="0" xfId="0" applyFont="1" applyAlignment="1">
      <alignment vertical="center" wrapText="1"/>
    </xf>
    <xf numFmtId="0" fontId="12" fillId="4" borderId="12" xfId="0" applyFont="1" applyFill="1" applyBorder="1" applyAlignment="1" applyProtection="1">
      <alignment vertical="center" wrapText="1"/>
      <protection locked="0"/>
    </xf>
    <xf numFmtId="0" fontId="12" fillId="4" borderId="13" xfId="0" applyFont="1" applyFill="1" applyBorder="1" applyAlignment="1" applyProtection="1">
      <alignment vertical="center" wrapText="1"/>
      <protection locked="0"/>
    </xf>
    <xf numFmtId="43" fontId="11" fillId="5" borderId="25" xfId="1" applyFont="1" applyFill="1" applyBorder="1" applyAlignment="1" applyProtection="1">
      <alignment vertical="center" wrapText="1"/>
      <protection locked="0"/>
    </xf>
    <xf numFmtId="43" fontId="11" fillId="5" borderId="26" xfId="1" applyFont="1" applyFill="1" applyBorder="1" applyAlignment="1" applyProtection="1">
      <alignment vertical="center" wrapText="1"/>
      <protection locked="0"/>
    </xf>
    <xf numFmtId="43" fontId="11" fillId="6" borderId="26" xfId="1" applyFont="1" applyFill="1" applyBorder="1" applyAlignment="1" applyProtection="1">
      <alignment vertical="center" wrapText="1"/>
    </xf>
    <xf numFmtId="43" fontId="11" fillId="6" borderId="29" xfId="1" applyFont="1" applyFill="1" applyBorder="1" applyAlignment="1" applyProtection="1">
      <alignment vertical="center" wrapText="1"/>
    </xf>
    <xf numFmtId="14" fontId="11" fillId="0" borderId="0" xfId="0" applyNumberFormat="1" applyFont="1" applyAlignment="1" applyProtection="1">
      <alignment horizontal="center" vertical="center"/>
      <protection locked="0"/>
    </xf>
    <xf numFmtId="14" fontId="11" fillId="0" borderId="0" xfId="0" applyNumberFormat="1" applyFont="1" applyAlignment="1">
      <alignment horizontal="center" vertical="center"/>
    </xf>
    <xf numFmtId="0" fontId="10" fillId="8" borderId="9" xfId="0" applyFont="1" applyFill="1" applyBorder="1" applyAlignment="1" applyProtection="1">
      <alignment horizontal="center" vertical="center" wrapText="1"/>
      <protection locked="0"/>
    </xf>
    <xf numFmtId="0" fontId="11" fillId="8" borderId="11" xfId="0" applyFont="1" applyFill="1" applyBorder="1" applyAlignment="1" applyProtection="1">
      <alignment vertical="center" wrapText="1"/>
      <protection locked="0"/>
    </xf>
    <xf numFmtId="0" fontId="12" fillId="8" borderId="11" xfId="0" applyFont="1" applyFill="1" applyBorder="1" applyAlignment="1" applyProtection="1">
      <alignment vertical="center" wrapText="1"/>
      <protection locked="0"/>
    </xf>
    <xf numFmtId="0" fontId="12" fillId="8" borderId="26" xfId="0" applyFont="1" applyFill="1" applyBorder="1" applyAlignment="1" applyProtection="1">
      <alignment vertical="center" wrapText="1"/>
      <protection locked="0"/>
    </xf>
    <xf numFmtId="0" fontId="10" fillId="7" borderId="15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 applyProtection="1">
      <alignment horizontal="center" vertical="center" wrapText="1"/>
      <protection locked="0"/>
    </xf>
    <xf numFmtId="14" fontId="10" fillId="7" borderId="9" xfId="0" applyNumberFormat="1" applyFont="1" applyFill="1" applyBorder="1" applyAlignment="1" applyProtection="1">
      <alignment horizontal="center" vertical="center" wrapText="1"/>
      <protection locked="0"/>
    </xf>
    <xf numFmtId="0" fontId="11" fillId="7" borderId="18" xfId="0" applyFont="1" applyFill="1" applyBorder="1" applyAlignment="1">
      <alignment horizontal="center" vertical="center" wrapText="1"/>
    </xf>
    <xf numFmtId="0" fontId="11" fillId="7" borderId="11" xfId="0" applyFont="1" applyFill="1" applyBorder="1" applyAlignment="1" applyProtection="1">
      <alignment vertical="center" wrapText="1"/>
      <protection locked="0"/>
    </xf>
    <xf numFmtId="1" fontId="11" fillId="7" borderId="11" xfId="0" quotePrefix="1" applyNumberFormat="1" applyFont="1" applyFill="1" applyBorder="1" applyAlignment="1" applyProtection="1">
      <alignment horizontal="left" vertical="center" wrapText="1"/>
      <protection locked="0"/>
    </xf>
    <xf numFmtId="0" fontId="11" fillId="7" borderId="22" xfId="0" applyFont="1" applyFill="1" applyBorder="1" applyAlignment="1">
      <alignment horizontal="center" vertical="center" wrapText="1"/>
    </xf>
    <xf numFmtId="0" fontId="12" fillId="7" borderId="12" xfId="0" applyFont="1" applyFill="1" applyBorder="1" applyAlignment="1" applyProtection="1">
      <alignment vertical="center" wrapText="1"/>
      <protection locked="0"/>
    </xf>
    <xf numFmtId="14" fontId="12" fillId="7" borderId="12" xfId="0" applyNumberFormat="1" applyFont="1" applyFill="1" applyBorder="1" applyAlignment="1" applyProtection="1">
      <alignment horizontal="center" vertical="center" wrapText="1"/>
      <protection locked="0"/>
    </xf>
    <xf numFmtId="1" fontId="12" fillId="7" borderId="11" xfId="0" quotePrefix="1" applyNumberFormat="1" applyFont="1" applyFill="1" applyBorder="1" applyAlignment="1" applyProtection="1">
      <alignment horizontal="left" vertical="center" wrapText="1"/>
      <protection locked="0"/>
    </xf>
    <xf numFmtId="0" fontId="12" fillId="7" borderId="11" xfId="0" quotePrefix="1" applyFont="1" applyFill="1" applyBorder="1" applyAlignment="1" applyProtection="1">
      <alignment horizontal="left" vertical="center" wrapText="1"/>
      <protection locked="0"/>
    </xf>
    <xf numFmtId="0" fontId="12" fillId="7" borderId="12" xfId="0" applyFont="1" applyFill="1" applyBorder="1" applyAlignment="1" applyProtection="1">
      <alignment horizontal="left" vertical="center" wrapText="1"/>
      <protection locked="0"/>
    </xf>
    <xf numFmtId="0" fontId="11" fillId="7" borderId="12" xfId="0" applyFont="1" applyFill="1" applyBorder="1" applyAlignment="1" applyProtection="1">
      <alignment vertical="center" wrapText="1"/>
      <protection locked="0"/>
    </xf>
    <xf numFmtId="14" fontId="11" fillId="7" borderId="12" xfId="0" applyNumberFormat="1" applyFont="1" applyFill="1" applyBorder="1" applyAlignment="1" applyProtection="1">
      <alignment horizontal="center" vertical="center" wrapText="1"/>
      <protection locked="0"/>
    </xf>
    <xf numFmtId="1" fontId="11" fillId="7" borderId="12" xfId="0" quotePrefix="1" applyNumberFormat="1" applyFont="1" applyFill="1" applyBorder="1" applyAlignment="1" applyProtection="1">
      <alignment horizontal="left" vertical="center" wrapText="1"/>
      <protection locked="0"/>
    </xf>
    <xf numFmtId="1" fontId="12" fillId="7" borderId="11" xfId="0" applyNumberFormat="1" applyFont="1" applyFill="1" applyBorder="1" applyAlignment="1" applyProtection="1">
      <alignment horizontal="left" vertical="center" wrapText="1"/>
      <protection locked="0"/>
    </xf>
    <xf numFmtId="0" fontId="12" fillId="7" borderId="11" xfId="0" applyFont="1" applyFill="1" applyBorder="1" applyAlignment="1" applyProtection="1">
      <alignment horizontal="left" vertical="center" wrapText="1"/>
      <protection locked="0"/>
    </xf>
    <xf numFmtId="0" fontId="12" fillId="7" borderId="22" xfId="0" applyFont="1" applyFill="1" applyBorder="1" applyAlignment="1">
      <alignment horizontal="center" vertical="center" wrapText="1"/>
    </xf>
    <xf numFmtId="1" fontId="11" fillId="7" borderId="11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11" xfId="0" applyFont="1" applyFill="1" applyBorder="1" applyAlignment="1" applyProtection="1">
      <alignment horizontal="left" vertical="center" wrapText="1"/>
      <protection locked="0"/>
    </xf>
    <xf numFmtId="0" fontId="11" fillId="7" borderId="12" xfId="0" applyFont="1" applyFill="1" applyBorder="1" applyAlignment="1" applyProtection="1">
      <alignment horizontal="left" vertical="center" wrapText="1"/>
      <protection locked="0"/>
    </xf>
    <xf numFmtId="1" fontId="12" fillId="7" borderId="12" xfId="0" applyNumberFormat="1" applyFont="1" applyFill="1" applyBorder="1" applyAlignment="1" applyProtection="1">
      <alignment horizontal="left" vertical="center" wrapText="1"/>
      <protection locked="0"/>
    </xf>
    <xf numFmtId="1" fontId="11" fillId="7" borderId="12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12" xfId="0" quotePrefix="1" applyFont="1" applyFill="1" applyBorder="1" applyAlignment="1" applyProtection="1">
      <alignment vertical="center" wrapText="1"/>
      <protection locked="0"/>
    </xf>
    <xf numFmtId="0" fontId="11" fillId="7" borderId="25" xfId="0" applyFont="1" applyFill="1" applyBorder="1" applyAlignment="1">
      <alignment horizontal="center" vertical="center" wrapText="1"/>
    </xf>
    <xf numFmtId="0" fontId="11" fillId="7" borderId="26" xfId="0" applyFont="1" applyFill="1" applyBorder="1" applyAlignment="1" applyProtection="1">
      <alignment vertical="center" wrapText="1"/>
      <protection locked="0"/>
    </xf>
    <xf numFmtId="1" fontId="11" fillId="7" borderId="26" xfId="0" applyNumberFormat="1" applyFont="1" applyFill="1" applyBorder="1" applyAlignment="1" applyProtection="1">
      <alignment horizontal="left" vertical="center" wrapText="1"/>
      <protection locked="0"/>
    </xf>
    <xf numFmtId="0" fontId="11" fillId="7" borderId="26" xfId="0" applyFont="1" applyFill="1" applyBorder="1" applyAlignment="1" applyProtection="1">
      <alignment horizontal="left" vertical="center" wrapText="1"/>
      <protection locked="0"/>
    </xf>
    <xf numFmtId="164" fontId="17" fillId="2" borderId="0" xfId="0" applyNumberFormat="1" applyFont="1" applyFill="1" applyAlignment="1">
      <alignment horizontal="left" vertical="top"/>
    </xf>
    <xf numFmtId="14" fontId="17" fillId="2" borderId="0" xfId="0" applyNumberFormat="1" applyFont="1" applyFill="1" applyAlignment="1">
      <alignment horizontal="left" vertical="top"/>
    </xf>
    <xf numFmtId="0" fontId="17" fillId="2" borderId="0" xfId="0" applyFont="1" applyFill="1" applyAlignment="1">
      <alignment horizontal="left" vertical="top"/>
    </xf>
    <xf numFmtId="17" fontId="17" fillId="2" borderId="0" xfId="0" applyNumberFormat="1" applyFont="1" applyFill="1" applyAlignment="1">
      <alignment horizontal="left" vertical="top"/>
    </xf>
    <xf numFmtId="0" fontId="17" fillId="2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top" indent="1"/>
    </xf>
    <xf numFmtId="0" fontId="3" fillId="0" borderId="6" xfId="0" applyFont="1" applyBorder="1" applyAlignment="1">
      <alignment vertical="top"/>
    </xf>
    <xf numFmtId="0" fontId="3" fillId="0" borderId="13" xfId="0" applyFont="1" applyBorder="1" applyAlignment="1">
      <alignment horizontal="left" vertical="top" indent="1"/>
    </xf>
    <xf numFmtId="0" fontId="3" fillId="0" borderId="14" xfId="0" applyFont="1" applyBorder="1" applyAlignment="1">
      <alignment horizontal="left" vertical="top"/>
    </xf>
    <xf numFmtId="0" fontId="3" fillId="0" borderId="14" xfId="0" applyFont="1" applyBorder="1" applyAlignment="1">
      <alignment horizontal="left" vertical="top" indent="1"/>
    </xf>
    <xf numFmtId="0" fontId="3" fillId="0" borderId="30" xfId="0" applyFont="1" applyBorder="1" applyAlignment="1">
      <alignment horizontal="left" vertical="top"/>
    </xf>
    <xf numFmtId="0" fontId="3" fillId="0" borderId="0" xfId="0" applyFont="1" applyAlignment="1">
      <alignment horizontal="right" vertical="top" wrapText="1" indent="1"/>
    </xf>
    <xf numFmtId="0" fontId="3" fillId="0" borderId="2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indent="1"/>
    </xf>
    <xf numFmtId="0" fontId="5" fillId="0" borderId="0" xfId="0" applyFont="1" applyAlignment="1">
      <alignment horizontal="right" vertical="top" indent="1"/>
    </xf>
    <xf numFmtId="0" fontId="3" fillId="0" borderId="5" xfId="0" applyFont="1" applyBorder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right" vertical="top" indent="1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14" fontId="3" fillId="0" borderId="0" xfId="0" applyNumberFormat="1" applyFont="1" applyAlignment="1">
      <alignment horizontal="left" vertical="top" indent="1"/>
    </xf>
    <xf numFmtId="0" fontId="3" fillId="0" borderId="0" xfId="0" applyFont="1" applyAlignment="1">
      <alignment horizontal="left" vertical="top" wrapText="1" indent="1"/>
    </xf>
    <xf numFmtId="0" fontId="3" fillId="0" borderId="6" xfId="0" applyFont="1" applyBorder="1" applyAlignment="1">
      <alignment horizontal="left" vertical="top" indent="1"/>
    </xf>
    <xf numFmtId="0" fontId="3" fillId="0" borderId="7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 indent="1"/>
    </xf>
    <xf numFmtId="0" fontId="3" fillId="0" borderId="7" xfId="0" quotePrefix="1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quotePrefix="1" applyFont="1" applyAlignment="1">
      <alignment horizontal="left" vertical="top"/>
    </xf>
    <xf numFmtId="0" fontId="3" fillId="0" borderId="3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 indent="1"/>
    </xf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top" indent="1"/>
    </xf>
    <xf numFmtId="0" fontId="3" fillId="0" borderId="2" xfId="0" quotePrefix="1" applyFont="1" applyBorder="1" applyAlignment="1">
      <alignment horizontal="left" vertical="top"/>
    </xf>
    <xf numFmtId="0" fontId="6" fillId="0" borderId="4" xfId="0" applyFont="1" applyBorder="1" applyAlignment="1">
      <alignment horizontal="left" vertical="top" indent="1"/>
    </xf>
    <xf numFmtId="0" fontId="6" fillId="0" borderId="5" xfId="0" applyFont="1" applyBorder="1" applyAlignment="1">
      <alignment horizontal="right" vertical="top" indent="1"/>
    </xf>
    <xf numFmtId="0" fontId="6" fillId="0" borderId="0" xfId="0" applyFont="1" applyAlignment="1">
      <alignment horizontal="left" vertical="top" indent="1"/>
    </xf>
    <xf numFmtId="0" fontId="3" fillId="0" borderId="4" xfId="0" applyFont="1" applyBorder="1" applyAlignment="1">
      <alignment horizontal="left" vertical="top" indent="1"/>
    </xf>
    <xf numFmtId="0" fontId="3" fillId="0" borderId="0" xfId="0" applyFont="1" applyAlignment="1">
      <alignment horizontal="left" vertical="top" indent="1"/>
    </xf>
    <xf numFmtId="0" fontId="3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43" fontId="11" fillId="0" borderId="0" xfId="0" applyNumberFormat="1" applyFont="1" applyAlignment="1">
      <alignment vertical="center" wrapText="1"/>
    </xf>
    <xf numFmtId="14" fontId="17" fillId="2" borderId="0" xfId="0" applyNumberFormat="1" applyFont="1" applyFill="1" applyAlignment="1">
      <alignment horizontal="left" vertical="center"/>
    </xf>
    <xf numFmtId="166" fontId="17" fillId="2" borderId="0" xfId="0" applyNumberFormat="1" applyFont="1" applyFill="1" applyAlignment="1">
      <alignment horizontal="left" vertical="top"/>
    </xf>
    <xf numFmtId="164" fontId="17" fillId="0" borderId="0" xfId="0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0" fontId="11" fillId="0" borderId="0" xfId="0" applyFont="1" applyAlignment="1" applyProtection="1">
      <alignment vertical="center"/>
      <protection hidden="1"/>
    </xf>
    <xf numFmtId="1" fontId="11" fillId="0" borderId="0" xfId="0" applyNumberFormat="1" applyFont="1" applyAlignment="1" applyProtection="1">
      <alignment horizontal="center" vertical="center"/>
      <protection hidden="1"/>
    </xf>
    <xf numFmtId="43" fontId="11" fillId="0" borderId="0" xfId="1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2" xfId="0" applyFont="1" applyFill="1" applyBorder="1" applyAlignment="1" applyProtection="1">
      <alignment horizontal="center" vertical="center"/>
      <protection hidden="1"/>
    </xf>
    <xf numFmtId="1" fontId="15" fillId="3" borderId="2" xfId="0" applyNumberFormat="1" applyFont="1" applyFill="1" applyBorder="1" applyAlignment="1" applyProtection="1">
      <alignment horizontal="center" vertical="center"/>
      <protection hidden="1"/>
    </xf>
    <xf numFmtId="43" fontId="15" fillId="3" borderId="2" xfId="1" applyFont="1" applyFill="1" applyBorder="1" applyAlignment="1" applyProtection="1">
      <alignment horizontal="center" vertical="center"/>
      <protection hidden="1"/>
    </xf>
    <xf numFmtId="0" fontId="10" fillId="3" borderId="15" xfId="0" applyFont="1" applyFill="1" applyBorder="1" applyAlignment="1" applyProtection="1">
      <alignment horizontal="center" vertical="center" wrapText="1"/>
      <protection hidden="1"/>
    </xf>
    <xf numFmtId="0" fontId="10" fillId="3" borderId="9" xfId="0" applyFont="1" applyFill="1" applyBorder="1" applyAlignment="1" applyProtection="1">
      <alignment horizontal="center" vertical="center" wrapText="1"/>
      <protection hidden="1"/>
    </xf>
    <xf numFmtId="0" fontId="10" fillId="4" borderId="9" xfId="0" applyFont="1" applyFill="1" applyBorder="1" applyAlignment="1" applyProtection="1">
      <alignment horizontal="center" vertical="center" wrapText="1"/>
      <protection hidden="1"/>
    </xf>
    <xf numFmtId="0" fontId="10" fillId="4" borderId="10" xfId="0" applyFont="1" applyFill="1" applyBorder="1" applyAlignment="1" applyProtection="1">
      <alignment horizontal="center" vertical="center" wrapText="1"/>
      <protection hidden="1"/>
    </xf>
    <xf numFmtId="0" fontId="10" fillId="3" borderId="16" xfId="0" applyFont="1" applyFill="1" applyBorder="1" applyAlignment="1" applyProtection="1">
      <alignment horizontal="center" vertical="center" wrapText="1"/>
      <protection hidden="1"/>
    </xf>
    <xf numFmtId="0" fontId="10" fillId="5" borderId="15" xfId="0" applyFont="1" applyFill="1" applyBorder="1" applyAlignment="1" applyProtection="1">
      <alignment horizontal="center" vertical="center" wrapText="1"/>
      <protection hidden="1"/>
    </xf>
    <xf numFmtId="0" fontId="10" fillId="5" borderId="9" xfId="0" applyFont="1" applyFill="1" applyBorder="1" applyAlignment="1" applyProtection="1">
      <alignment horizontal="center" vertical="center" wrapText="1"/>
      <protection hidden="1"/>
    </xf>
    <xf numFmtId="0" fontId="16" fillId="5" borderId="9" xfId="0" applyFont="1" applyFill="1" applyBorder="1" applyAlignment="1" applyProtection="1">
      <alignment horizontal="center" vertical="center" wrapText="1"/>
      <protection hidden="1"/>
    </xf>
    <xf numFmtId="0" fontId="10" fillId="6" borderId="9" xfId="0" applyFont="1" applyFill="1" applyBorder="1" applyAlignment="1" applyProtection="1">
      <alignment horizontal="center" vertical="center" wrapText="1"/>
      <protection hidden="1"/>
    </xf>
    <xf numFmtId="0" fontId="16" fillId="6" borderId="9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1" fontId="10" fillId="6" borderId="9" xfId="0" applyNumberFormat="1" applyFont="1" applyFill="1" applyBorder="1" applyAlignment="1" applyProtection="1">
      <alignment horizontal="center" vertical="center" wrapText="1"/>
      <protection hidden="1"/>
    </xf>
    <xf numFmtId="43" fontId="10" fillId="6" borderId="9" xfId="1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Alignment="1" applyProtection="1">
      <alignment horizontal="center" vertical="center" wrapText="1"/>
      <protection hidden="1"/>
    </xf>
    <xf numFmtId="0" fontId="11" fillId="3" borderId="18" xfId="0" applyFont="1" applyFill="1" applyBorder="1" applyAlignment="1" applyProtection="1">
      <alignment horizontal="center" vertical="center" wrapText="1"/>
      <protection hidden="1"/>
    </xf>
    <xf numFmtId="0" fontId="11" fillId="3" borderId="11" xfId="0" applyFont="1" applyFill="1" applyBorder="1" applyAlignment="1" applyProtection="1">
      <alignment vertical="center" wrapText="1"/>
      <protection hidden="1"/>
    </xf>
    <xf numFmtId="0" fontId="11" fillId="3" borderId="11" xfId="0" applyFont="1" applyFill="1" applyBorder="1" applyAlignment="1" applyProtection="1">
      <alignment horizontal="center" vertical="center" wrapText="1"/>
      <protection hidden="1"/>
    </xf>
    <xf numFmtId="0" fontId="11" fillId="4" borderId="11" xfId="0" applyFont="1" applyFill="1" applyBorder="1" applyAlignment="1" applyProtection="1">
      <alignment vertical="center" wrapText="1"/>
      <protection hidden="1"/>
    </xf>
    <xf numFmtId="0" fontId="11" fillId="3" borderId="19" xfId="0" applyFont="1" applyFill="1" applyBorder="1" applyAlignment="1" applyProtection="1">
      <alignment vertical="center" wrapText="1"/>
      <protection hidden="1"/>
    </xf>
    <xf numFmtId="43" fontId="11" fillId="6" borderId="12" xfId="1" applyFont="1" applyFill="1" applyBorder="1" applyAlignment="1" applyProtection="1">
      <alignment vertical="center" wrapText="1"/>
      <protection hidden="1"/>
    </xf>
    <xf numFmtId="43" fontId="11" fillId="6" borderId="20" xfId="1" applyFont="1" applyFill="1" applyBorder="1" applyAlignment="1" applyProtection="1">
      <alignment vertical="center" wrapText="1"/>
      <protection hidden="1"/>
    </xf>
    <xf numFmtId="0" fontId="11" fillId="0" borderId="0" xfId="0" applyFont="1" applyAlignment="1" applyProtection="1">
      <alignment vertical="center" wrapText="1"/>
      <protection hidden="1"/>
    </xf>
    <xf numFmtId="165" fontId="11" fillId="3" borderId="12" xfId="0" applyNumberFormat="1" applyFont="1" applyFill="1" applyBorder="1" applyAlignment="1" applyProtection="1">
      <alignment horizontal="center" vertical="center" wrapText="1"/>
      <protection hidden="1"/>
    </xf>
    <xf numFmtId="165" fontId="11" fillId="3" borderId="20" xfId="0" applyNumberFormat="1" applyFont="1" applyFill="1" applyBorder="1" applyAlignment="1" applyProtection="1">
      <alignment horizontal="center" vertical="center" wrapText="1"/>
      <protection hidden="1"/>
    </xf>
    <xf numFmtId="165" fontId="11" fillId="6" borderId="12" xfId="1" applyNumberFormat="1" applyFont="1" applyFill="1" applyBorder="1" applyAlignment="1" applyProtection="1">
      <alignment horizontal="center" vertical="center" wrapText="1"/>
      <protection hidden="1"/>
    </xf>
    <xf numFmtId="0" fontId="11" fillId="8" borderId="0" xfId="0" applyFont="1" applyFill="1" applyAlignment="1" applyProtection="1">
      <alignment horizontal="center" vertical="center" wrapText="1"/>
      <protection hidden="1"/>
    </xf>
    <xf numFmtId="0" fontId="11" fillId="3" borderId="22" xfId="0" applyFont="1" applyFill="1" applyBorder="1" applyAlignment="1" applyProtection="1">
      <alignment horizontal="center" vertical="center" wrapText="1"/>
      <protection hidden="1"/>
    </xf>
    <xf numFmtId="0" fontId="11" fillId="3" borderId="23" xfId="0" applyFont="1" applyFill="1" applyBorder="1" applyAlignment="1" applyProtection="1">
      <alignment vertical="center" wrapText="1"/>
      <protection hidden="1"/>
    </xf>
    <xf numFmtId="43" fontId="11" fillId="5" borderId="22" xfId="1" applyFont="1" applyFill="1" applyBorder="1" applyAlignment="1" applyProtection="1">
      <alignment vertical="center" wrapText="1"/>
      <protection hidden="1"/>
    </xf>
    <xf numFmtId="43" fontId="11" fillId="5" borderId="12" xfId="1" applyFont="1" applyFill="1" applyBorder="1" applyAlignment="1" applyProtection="1">
      <alignment vertical="center" wrapText="1"/>
      <protection hidden="1"/>
    </xf>
    <xf numFmtId="0" fontId="12" fillId="3" borderId="23" xfId="0" applyFont="1" applyFill="1" applyBorder="1" applyAlignment="1" applyProtection="1">
      <alignment vertical="center" wrapText="1"/>
      <protection hidden="1"/>
    </xf>
    <xf numFmtId="0" fontId="12" fillId="3" borderId="22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0" fontId="11" fillId="3" borderId="25" xfId="0" applyFont="1" applyFill="1" applyBorder="1" applyAlignment="1" applyProtection="1">
      <alignment horizontal="center" vertical="center" wrapText="1"/>
      <protection hidden="1"/>
    </xf>
    <xf numFmtId="0" fontId="11" fillId="3" borderId="20" xfId="0" applyFont="1" applyFill="1" applyBorder="1" applyAlignment="1" applyProtection="1">
      <alignment horizontal="center" vertical="center" wrapText="1"/>
      <protection locked="0" hidden="1"/>
    </xf>
    <xf numFmtId="0" fontId="11" fillId="3" borderId="11" xfId="0" applyFont="1" applyFill="1" applyBorder="1" applyAlignment="1" applyProtection="1">
      <alignment horizontal="center" vertical="center" wrapText="1"/>
      <protection locked="0" hidden="1"/>
    </xf>
    <xf numFmtId="0" fontId="11" fillId="3" borderId="12" xfId="0" applyFont="1" applyFill="1" applyBorder="1" applyAlignment="1" applyProtection="1">
      <alignment horizontal="center" vertical="center" wrapText="1"/>
      <protection locked="0" hidden="1"/>
    </xf>
    <xf numFmtId="0" fontId="12" fillId="3" borderId="12" xfId="0" applyFont="1" applyFill="1" applyBorder="1" applyAlignment="1" applyProtection="1">
      <alignment horizontal="center" vertical="center" wrapText="1"/>
      <protection locked="0" hidden="1"/>
    </xf>
    <xf numFmtId="43" fontId="11" fillId="6" borderId="12" xfId="1" applyFont="1" applyFill="1" applyBorder="1" applyAlignment="1" applyProtection="1">
      <alignment horizontal="center" vertical="center" wrapText="1"/>
      <protection locked="0" hidden="1"/>
    </xf>
    <xf numFmtId="1" fontId="11" fillId="6" borderId="12" xfId="1" applyNumberFormat="1" applyFont="1" applyFill="1" applyBorder="1" applyAlignment="1" applyProtection="1">
      <alignment horizontal="center" vertical="center" wrapText="1"/>
      <protection locked="0" hidden="1"/>
    </xf>
    <xf numFmtId="0" fontId="17" fillId="0" borderId="0" xfId="0" applyFont="1" applyAlignment="1">
      <alignment horizontal="left" vertical="top" indent="1"/>
    </xf>
    <xf numFmtId="0" fontId="10" fillId="0" borderId="0" xfId="0" applyFont="1" applyAlignment="1" applyProtection="1">
      <alignment vertical="center" wrapText="1"/>
      <protection hidden="1"/>
    </xf>
    <xf numFmtId="43" fontId="10" fillId="10" borderId="9" xfId="1" applyFont="1" applyFill="1" applyBorder="1" applyAlignment="1" applyProtection="1">
      <alignment vertical="center" wrapText="1"/>
      <protection hidden="1"/>
    </xf>
    <xf numFmtId="0" fontId="11" fillId="10" borderId="0" xfId="0" applyFont="1" applyFill="1" applyAlignment="1" applyProtection="1">
      <alignment vertical="center" wrapText="1"/>
      <protection hidden="1"/>
    </xf>
    <xf numFmtId="165" fontId="10" fillId="10" borderId="9" xfId="0" applyNumberFormat="1" applyFont="1" applyFill="1" applyBorder="1" applyAlignment="1" applyProtection="1">
      <alignment horizontal="center" vertical="center" wrapText="1"/>
      <protection hidden="1"/>
    </xf>
    <xf numFmtId="165" fontId="10" fillId="10" borderId="9" xfId="1" applyNumberFormat="1" applyFont="1" applyFill="1" applyBorder="1" applyAlignment="1" applyProtection="1">
      <alignment horizontal="center" vertical="center" wrapText="1"/>
      <protection hidden="1"/>
    </xf>
    <xf numFmtId="1" fontId="10" fillId="10" borderId="9" xfId="1" applyNumberFormat="1" applyFont="1" applyFill="1" applyBorder="1" applyAlignment="1" applyProtection="1">
      <alignment horizontal="center" vertical="center" wrapText="1"/>
      <protection locked="0" hidden="1"/>
    </xf>
    <xf numFmtId="0" fontId="10" fillId="10" borderId="0" xfId="0" applyFont="1" applyFill="1" applyAlignment="1" applyProtection="1">
      <alignment horizontal="center" vertical="center" wrapText="1"/>
      <protection hidden="1"/>
    </xf>
    <xf numFmtId="43" fontId="12" fillId="5" borderId="11" xfId="1" applyFont="1" applyFill="1" applyBorder="1" applyAlignment="1" applyProtection="1">
      <alignment vertical="center" wrapText="1"/>
      <protection locked="0"/>
    </xf>
    <xf numFmtId="43" fontId="12" fillId="5" borderId="18" xfId="1" applyFont="1" applyFill="1" applyBorder="1" applyAlignment="1" applyProtection="1">
      <alignment vertical="center" wrapText="1"/>
      <protection locked="0"/>
    </xf>
    <xf numFmtId="0" fontId="15" fillId="0" borderId="33" xfId="0" applyFont="1" applyBorder="1" applyAlignment="1" applyProtection="1">
      <alignment horizontal="center" vertical="center"/>
      <protection hidden="1"/>
    </xf>
    <xf numFmtId="14" fontId="12" fillId="7" borderId="26" xfId="0" applyNumberFormat="1" applyFont="1" applyFill="1" applyBorder="1" applyAlignment="1" applyProtection="1">
      <alignment horizontal="center" vertical="center" wrapText="1"/>
      <protection locked="0"/>
    </xf>
    <xf numFmtId="0" fontId="12" fillId="7" borderId="26" xfId="0" applyFont="1" applyFill="1" applyBorder="1" applyAlignment="1" applyProtection="1">
      <alignment vertical="center" wrapText="1"/>
      <protection locked="0"/>
    </xf>
    <xf numFmtId="0" fontId="12" fillId="7" borderId="26" xfId="0" applyFont="1" applyFill="1" applyBorder="1" applyAlignment="1" applyProtection="1">
      <alignment horizontal="left" vertical="center" wrapText="1"/>
      <protection locked="0"/>
    </xf>
    <xf numFmtId="0" fontId="12" fillId="4" borderId="26" xfId="0" applyFont="1" applyFill="1" applyBorder="1" applyAlignment="1" applyProtection="1">
      <alignment vertical="center" wrapText="1"/>
      <protection locked="0"/>
    </xf>
    <xf numFmtId="0" fontId="12" fillId="3" borderId="27" xfId="0" applyFont="1" applyFill="1" applyBorder="1" applyAlignment="1" applyProtection="1">
      <alignment vertical="center" wrapText="1"/>
      <protection locked="0"/>
    </xf>
    <xf numFmtId="0" fontId="12" fillId="4" borderId="29" xfId="0" applyFont="1" applyFill="1" applyBorder="1" applyAlignment="1" applyProtection="1">
      <alignment vertical="center" wrapText="1"/>
      <protection locked="0"/>
    </xf>
    <xf numFmtId="165" fontId="10" fillId="10" borderId="28" xfId="0" applyNumberFormat="1" applyFont="1" applyFill="1" applyBorder="1" applyAlignment="1" applyProtection="1">
      <alignment vertical="center" wrapText="1"/>
      <protection hidden="1"/>
    </xf>
    <xf numFmtId="0" fontId="11" fillId="9" borderId="0" xfId="0" applyFont="1" applyFill="1" applyAlignment="1" applyProtection="1">
      <alignment vertical="center"/>
      <protection hidden="1"/>
    </xf>
    <xf numFmtId="0" fontId="11" fillId="10" borderId="28" xfId="0" applyFont="1" applyFill="1" applyBorder="1" applyAlignment="1" applyProtection="1">
      <alignment vertical="center" wrapText="1"/>
      <protection hidden="1"/>
    </xf>
    <xf numFmtId="165" fontId="10" fillId="10" borderId="28" xfId="0" applyNumberFormat="1" applyFont="1" applyFill="1" applyBorder="1" applyAlignment="1" applyProtection="1">
      <alignment horizontal="center" vertical="center" wrapText="1"/>
      <protection hidden="1"/>
    </xf>
    <xf numFmtId="0" fontId="22" fillId="5" borderId="9" xfId="0" applyFont="1" applyFill="1" applyBorder="1" applyAlignment="1" applyProtection="1">
      <alignment horizontal="center" vertical="center" wrapText="1"/>
      <protection locked="0"/>
    </xf>
    <xf numFmtId="43" fontId="12" fillId="5" borderId="26" xfId="1" applyFont="1" applyFill="1" applyBorder="1" applyAlignment="1" applyProtection="1">
      <alignment vertical="center" wrapText="1"/>
      <protection locked="0"/>
    </xf>
    <xf numFmtId="43" fontId="11" fillId="0" borderId="0" xfId="0" applyNumberFormat="1" applyFont="1" applyAlignment="1">
      <alignment vertical="center"/>
    </xf>
    <xf numFmtId="43" fontId="3" fillId="2" borderId="0" xfId="0" applyNumberFormat="1" applyFont="1" applyFill="1" applyAlignment="1">
      <alignment horizontal="left" vertical="center"/>
    </xf>
    <xf numFmtId="0" fontId="10" fillId="9" borderId="0" xfId="0" applyFont="1" applyFill="1" applyAlignment="1" applyProtection="1">
      <alignment horizontal="center" vertical="center"/>
      <protection hidden="1"/>
    </xf>
    <xf numFmtId="0" fontId="20" fillId="9" borderId="0" xfId="0" applyFont="1" applyFill="1" applyAlignment="1" applyProtection="1">
      <alignment vertical="center"/>
      <protection hidden="1"/>
    </xf>
    <xf numFmtId="43" fontId="10" fillId="9" borderId="9" xfId="1" applyFont="1" applyFill="1" applyBorder="1" applyAlignment="1" applyProtection="1">
      <alignment vertical="center"/>
      <protection hidden="1"/>
    </xf>
    <xf numFmtId="0" fontId="13" fillId="3" borderId="4" xfId="0" applyFont="1" applyFill="1" applyBorder="1" applyAlignment="1" applyProtection="1">
      <alignment vertical="center"/>
      <protection hidden="1"/>
    </xf>
    <xf numFmtId="0" fontId="13" fillId="3" borderId="0" xfId="0" applyFont="1" applyFill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4" fillId="3" borderId="14" xfId="0" applyFont="1" applyFill="1" applyBorder="1" applyAlignment="1" applyProtection="1">
      <alignment vertical="center"/>
      <protection hidden="1"/>
    </xf>
    <xf numFmtId="166" fontId="15" fillId="3" borderId="2" xfId="0" applyNumberFormat="1" applyFont="1" applyFill="1" applyBorder="1" applyAlignment="1">
      <alignment horizontal="center" vertical="center"/>
    </xf>
    <xf numFmtId="166" fontId="10" fillId="8" borderId="9" xfId="0" applyNumberFormat="1" applyFont="1" applyFill="1" applyBorder="1" applyAlignment="1" applyProtection="1">
      <alignment horizontal="center" vertical="center" wrapText="1"/>
      <protection locked="0"/>
    </xf>
    <xf numFmtId="166" fontId="11" fillId="8" borderId="11" xfId="0" applyNumberFormat="1" applyFont="1" applyFill="1" applyBorder="1" applyAlignment="1" applyProtection="1">
      <alignment vertical="center" wrapText="1"/>
      <protection locked="0"/>
    </xf>
    <xf numFmtId="166" fontId="12" fillId="8" borderId="12" xfId="0" quotePrefix="1" applyNumberFormat="1" applyFont="1" applyFill="1" applyBorder="1" applyAlignment="1" applyProtection="1">
      <alignment vertical="center" wrapText="1"/>
      <protection locked="0"/>
    </xf>
    <xf numFmtId="166" fontId="11" fillId="8" borderId="12" xfId="0" applyNumberFormat="1" applyFont="1" applyFill="1" applyBorder="1" applyAlignment="1" applyProtection="1">
      <alignment vertical="center" wrapText="1"/>
      <protection locked="0"/>
    </xf>
    <xf numFmtId="166" fontId="11" fillId="8" borderId="12" xfId="0" quotePrefix="1" applyNumberFormat="1" applyFont="1" applyFill="1" applyBorder="1" applyAlignment="1" applyProtection="1">
      <alignment vertical="center" wrapText="1"/>
      <protection locked="0"/>
    </xf>
    <xf numFmtId="166" fontId="12" fillId="8" borderId="12" xfId="0" applyNumberFormat="1" applyFont="1" applyFill="1" applyBorder="1" applyAlignment="1" applyProtection="1">
      <alignment vertical="center" wrapText="1"/>
      <protection locked="0"/>
    </xf>
    <xf numFmtId="166" fontId="12" fillId="8" borderId="26" xfId="0" applyNumberFormat="1" applyFont="1" applyFill="1" applyBorder="1" applyAlignment="1" applyProtection="1">
      <alignment vertical="center" wrapText="1"/>
      <protection locked="0"/>
    </xf>
    <xf numFmtId="166" fontId="11" fillId="0" borderId="0" xfId="0" applyNumberFormat="1" applyFont="1" applyAlignment="1" applyProtection="1">
      <alignment vertical="center"/>
      <protection locked="0"/>
    </xf>
    <xf numFmtId="166" fontId="11" fillId="0" borderId="0" xfId="0" applyNumberFormat="1" applyFont="1" applyAlignment="1">
      <alignment vertical="center"/>
    </xf>
    <xf numFmtId="0" fontId="11" fillId="3" borderId="34" xfId="0" applyFont="1" applyFill="1" applyBorder="1" applyAlignment="1" applyProtection="1">
      <alignment horizontal="center" vertical="center" wrapText="1"/>
      <protection hidden="1"/>
    </xf>
    <xf numFmtId="0" fontId="14" fillId="3" borderId="13" xfId="0" applyFont="1" applyFill="1" applyBorder="1" applyAlignment="1">
      <alignment vertical="center"/>
    </xf>
    <xf numFmtId="0" fontId="14" fillId="3" borderId="14" xfId="0" applyFont="1" applyFill="1" applyBorder="1" applyAlignment="1">
      <alignment vertical="center"/>
    </xf>
    <xf numFmtId="43" fontId="15" fillId="3" borderId="2" xfId="1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 wrapText="1"/>
    </xf>
    <xf numFmtId="0" fontId="10" fillId="3" borderId="9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wrapText="1"/>
    </xf>
    <xf numFmtId="0" fontId="11" fillId="3" borderId="19" xfId="0" applyFont="1" applyFill="1" applyBorder="1" applyAlignment="1">
      <alignment vertical="center" wrapText="1"/>
    </xf>
    <xf numFmtId="43" fontId="11" fillId="11" borderId="20" xfId="1" applyFont="1" applyFill="1" applyBorder="1" applyAlignment="1" applyProtection="1">
      <alignment vertical="center" wrapText="1"/>
    </xf>
    <xf numFmtId="43" fontId="11" fillId="8" borderId="36" xfId="1" applyFont="1" applyFill="1" applyBorder="1" applyAlignment="1" applyProtection="1">
      <alignment vertical="center" wrapText="1"/>
    </xf>
    <xf numFmtId="0" fontId="11" fillId="3" borderId="22" xfId="0" applyFont="1" applyFill="1" applyBorder="1" applyAlignment="1">
      <alignment horizontal="center" vertical="center" wrapText="1"/>
    </xf>
    <xf numFmtId="0" fontId="11" fillId="3" borderId="23" xfId="0" applyFont="1" applyFill="1" applyBorder="1" applyAlignment="1">
      <alignment vertical="center" wrapText="1"/>
    </xf>
    <xf numFmtId="43" fontId="11" fillId="11" borderId="12" xfId="1" applyFont="1" applyFill="1" applyBorder="1" applyAlignment="1" applyProtection="1">
      <alignment vertical="center" wrapText="1"/>
    </xf>
    <xf numFmtId="43" fontId="11" fillId="8" borderId="23" xfId="1" applyFont="1" applyFill="1" applyBorder="1" applyAlignment="1" applyProtection="1">
      <alignment vertical="center" wrapText="1"/>
    </xf>
    <xf numFmtId="0" fontId="12" fillId="3" borderId="23" xfId="0" applyFont="1" applyFill="1" applyBorder="1" applyAlignment="1">
      <alignment vertical="center" wrapText="1"/>
    </xf>
    <xf numFmtId="0" fontId="12" fillId="3" borderId="22" xfId="0" applyFont="1" applyFill="1" applyBorder="1" applyAlignment="1">
      <alignment horizontal="center" vertical="center" wrapText="1"/>
    </xf>
    <xf numFmtId="0" fontId="10" fillId="10" borderId="31" xfId="0" applyFont="1" applyFill="1" applyBorder="1" applyAlignment="1" applyProtection="1">
      <alignment vertical="center" wrapText="1"/>
      <protection hidden="1"/>
    </xf>
    <xf numFmtId="43" fontId="24" fillId="10" borderId="17" xfId="1" applyFont="1" applyFill="1" applyBorder="1" applyAlignment="1" applyProtection="1">
      <alignment horizontal="right" vertical="center" wrapText="1" indent="1"/>
      <protection hidden="1"/>
    </xf>
    <xf numFmtId="0" fontId="10" fillId="10" borderId="32" xfId="0" applyFont="1" applyFill="1" applyBorder="1" applyAlignment="1" applyProtection="1">
      <alignment vertical="center" wrapText="1"/>
      <protection hidden="1"/>
    </xf>
    <xf numFmtId="43" fontId="10" fillId="10" borderId="15" xfId="1" applyFont="1" applyFill="1" applyBorder="1" applyAlignment="1" applyProtection="1">
      <alignment vertical="center" wrapText="1"/>
      <protection hidden="1"/>
    </xf>
    <xf numFmtId="43" fontId="11" fillId="0" borderId="0" xfId="1" applyFont="1" applyAlignment="1">
      <alignment vertical="center"/>
    </xf>
    <xf numFmtId="0" fontId="11" fillId="3" borderId="35" xfId="0" applyFont="1" applyFill="1" applyBorder="1" applyAlignment="1">
      <alignment vertical="center" wrapText="1"/>
    </xf>
    <xf numFmtId="0" fontId="11" fillId="3" borderId="24" xfId="0" applyFont="1" applyFill="1" applyBorder="1" applyAlignment="1">
      <alignment vertical="center" wrapText="1"/>
    </xf>
    <xf numFmtId="0" fontId="13" fillId="3" borderId="7" xfId="0" applyFont="1" applyFill="1" applyBorder="1" applyAlignment="1" applyProtection="1">
      <alignment vertical="center"/>
      <protection hidden="1"/>
    </xf>
    <xf numFmtId="43" fontId="10" fillId="6" borderId="15" xfId="1" applyFont="1" applyFill="1" applyBorder="1" applyAlignment="1" applyProtection="1">
      <alignment vertical="center" wrapText="1"/>
      <protection hidden="1"/>
    </xf>
    <xf numFmtId="43" fontId="10" fillId="11" borderId="15" xfId="1" applyFont="1" applyFill="1" applyBorder="1" applyAlignment="1" applyProtection="1">
      <alignment vertical="center" wrapText="1"/>
      <protection hidden="1"/>
    </xf>
    <xf numFmtId="43" fontId="10" fillId="7" borderId="9" xfId="1" applyFont="1" applyFill="1" applyBorder="1" applyAlignment="1" applyProtection="1">
      <alignment horizontal="center" vertical="center" wrapText="1"/>
      <protection locked="0"/>
    </xf>
    <xf numFmtId="43" fontId="11" fillId="7" borderId="11" xfId="1" applyFont="1" applyFill="1" applyBorder="1" applyAlignment="1" applyProtection="1">
      <alignment vertical="center" wrapText="1"/>
      <protection locked="0"/>
    </xf>
    <xf numFmtId="43" fontId="12" fillId="7" borderId="12" xfId="1" applyFont="1" applyFill="1" applyBorder="1" applyAlignment="1" applyProtection="1">
      <alignment vertical="center" wrapText="1"/>
      <protection locked="0"/>
    </xf>
    <xf numFmtId="43" fontId="11" fillId="7" borderId="12" xfId="1" applyFont="1" applyFill="1" applyBorder="1" applyAlignment="1" applyProtection="1">
      <alignment vertical="center" wrapText="1"/>
      <protection locked="0"/>
    </xf>
    <xf numFmtId="43" fontId="11" fillId="7" borderId="26" xfId="1" applyFont="1" applyFill="1" applyBorder="1" applyAlignment="1" applyProtection="1">
      <alignment vertical="center" wrapText="1"/>
      <protection locked="0"/>
    </xf>
    <xf numFmtId="43" fontId="10" fillId="0" borderId="0" xfId="0" applyNumberFormat="1" applyFont="1" applyAlignment="1">
      <alignment vertical="center"/>
    </xf>
    <xf numFmtId="0" fontId="14" fillId="3" borderId="0" xfId="0" applyFont="1" applyFill="1" applyAlignment="1" applyProtection="1">
      <alignment vertical="center"/>
      <protection hidden="1"/>
    </xf>
    <xf numFmtId="165" fontId="11" fillId="3" borderId="11" xfId="0" applyNumberFormat="1" applyFont="1" applyFill="1" applyBorder="1" applyAlignment="1" applyProtection="1">
      <alignment horizontal="center" vertical="center" wrapText="1"/>
      <protection hidden="1"/>
    </xf>
    <xf numFmtId="0" fontId="11" fillId="3" borderId="29" xfId="0" applyFont="1" applyFill="1" applyBorder="1" applyAlignment="1">
      <alignment vertical="center" wrapText="1"/>
    </xf>
    <xf numFmtId="0" fontId="10" fillId="12" borderId="9" xfId="0" applyFont="1" applyFill="1" applyBorder="1" applyAlignment="1" applyProtection="1">
      <alignment horizontal="center" vertical="center" wrapText="1"/>
      <protection hidden="1"/>
    </xf>
    <xf numFmtId="43" fontId="11" fillId="12" borderId="20" xfId="1" applyFont="1" applyFill="1" applyBorder="1" applyAlignment="1" applyProtection="1">
      <alignment vertical="center" wrapText="1"/>
      <protection hidden="1"/>
    </xf>
    <xf numFmtId="43" fontId="11" fillId="12" borderId="12" xfId="1" applyFont="1" applyFill="1" applyBorder="1" applyAlignment="1" applyProtection="1">
      <alignment vertical="center" wrapText="1"/>
      <protection hidden="1"/>
    </xf>
    <xf numFmtId="0" fontId="10" fillId="13" borderId="9" xfId="0" applyFont="1" applyFill="1" applyBorder="1" applyAlignment="1" applyProtection="1">
      <alignment horizontal="center" vertical="center" wrapText="1"/>
      <protection hidden="1"/>
    </xf>
    <xf numFmtId="43" fontId="11" fillId="13" borderId="11" xfId="1" applyFont="1" applyFill="1" applyBorder="1" applyAlignment="1" applyProtection="1">
      <alignment vertical="center" wrapText="1"/>
      <protection hidden="1"/>
    </xf>
    <xf numFmtId="0" fontId="10" fillId="0" borderId="0" xfId="0" applyFont="1" applyAlignment="1">
      <alignment vertical="center" wrapText="1"/>
    </xf>
    <xf numFmtId="0" fontId="12" fillId="7" borderId="11" xfId="0" applyFont="1" applyFill="1" applyBorder="1" applyAlignment="1" applyProtection="1">
      <alignment vertical="center" wrapText="1"/>
      <protection locked="0"/>
    </xf>
    <xf numFmtId="14" fontId="12" fillId="7" borderId="11" xfId="0" applyNumberFormat="1" applyFont="1" applyFill="1" applyBorder="1" applyAlignment="1" applyProtection="1">
      <alignment horizontal="center" vertical="center" wrapText="1"/>
      <protection locked="0"/>
    </xf>
    <xf numFmtId="43" fontId="10" fillId="0" borderId="0" xfId="1" applyFont="1" applyAlignment="1">
      <alignment vertical="center"/>
    </xf>
    <xf numFmtId="43" fontId="12" fillId="7" borderId="11" xfId="1" applyFont="1" applyFill="1" applyBorder="1" applyAlignment="1" applyProtection="1">
      <alignment vertical="center" wrapText="1"/>
      <protection locked="0"/>
    </xf>
    <xf numFmtId="0" fontId="2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left" vertical="top" indent="1"/>
      <protection locked="0"/>
    </xf>
    <xf numFmtId="43" fontId="11" fillId="11" borderId="26" xfId="1" applyFont="1" applyFill="1" applyBorder="1" applyAlignment="1" applyProtection="1">
      <alignment vertical="center" wrapText="1"/>
    </xf>
    <xf numFmtId="43" fontId="10" fillId="8" borderId="36" xfId="1" applyFont="1" applyFill="1" applyBorder="1" applyAlignment="1" applyProtection="1">
      <alignment horizontal="center" vertical="center" wrapText="1"/>
    </xf>
    <xf numFmtId="0" fontId="10" fillId="14" borderId="9" xfId="0" applyFont="1" applyFill="1" applyBorder="1" applyAlignment="1">
      <alignment horizontal="center" vertical="center" wrapText="1"/>
    </xf>
    <xf numFmtId="43" fontId="11" fillId="14" borderId="11" xfId="1" applyFont="1" applyFill="1" applyBorder="1" applyAlignment="1" applyProtection="1">
      <alignment vertical="center" wrapText="1"/>
    </xf>
    <xf numFmtId="43" fontId="16" fillId="14" borderId="9" xfId="1" applyFont="1" applyFill="1" applyBorder="1" applyAlignment="1">
      <alignment horizontal="center" vertical="center" wrapText="1"/>
    </xf>
    <xf numFmtId="43" fontId="10" fillId="14" borderId="9" xfId="1" applyFont="1" applyFill="1" applyBorder="1" applyAlignment="1">
      <alignment horizontal="center" vertical="center" wrapText="1"/>
    </xf>
    <xf numFmtId="43" fontId="11" fillId="14" borderId="22" xfId="1" applyFont="1" applyFill="1" applyBorder="1" applyAlignment="1" applyProtection="1">
      <alignment vertical="center" wrapText="1"/>
    </xf>
    <xf numFmtId="43" fontId="11" fillId="14" borderId="20" xfId="1" applyFont="1" applyFill="1" applyBorder="1" applyAlignment="1" applyProtection="1">
      <alignment vertical="center" wrapText="1"/>
    </xf>
    <xf numFmtId="43" fontId="11" fillId="14" borderId="12" xfId="1" applyFont="1" applyFill="1" applyBorder="1" applyAlignment="1" applyProtection="1">
      <alignment vertical="center" wrapText="1"/>
    </xf>
    <xf numFmtId="43" fontId="11" fillId="14" borderId="26" xfId="1" applyFont="1" applyFill="1" applyBorder="1" applyAlignment="1" applyProtection="1">
      <alignment vertical="center" wrapText="1"/>
    </xf>
    <xf numFmtId="43" fontId="10" fillId="6" borderId="16" xfId="1" applyFont="1" applyFill="1" applyBorder="1" applyAlignment="1" applyProtection="1">
      <alignment vertical="center" wrapText="1"/>
      <protection hidden="1"/>
    </xf>
    <xf numFmtId="0" fontId="10" fillId="6" borderId="16" xfId="0" applyFont="1" applyFill="1" applyBorder="1" applyAlignment="1">
      <alignment horizontal="center" vertical="center" wrapText="1"/>
    </xf>
    <xf numFmtId="43" fontId="11" fillId="6" borderId="36" xfId="1" applyFont="1" applyFill="1" applyBorder="1" applyAlignment="1" applyProtection="1">
      <alignment vertical="center" wrapText="1"/>
    </xf>
    <xf numFmtId="43" fontId="11" fillId="6" borderId="23" xfId="1" applyFont="1" applyFill="1" applyBorder="1" applyAlignment="1" applyProtection="1">
      <alignment vertical="center" wrapText="1"/>
    </xf>
    <xf numFmtId="165" fontId="11" fillId="3" borderId="26" xfId="0" applyNumberFormat="1" applyFont="1" applyFill="1" applyBorder="1" applyAlignment="1" applyProtection="1">
      <alignment horizontal="center" vertical="center" wrapText="1"/>
      <protection hidden="1"/>
    </xf>
    <xf numFmtId="1" fontId="11" fillId="6" borderId="20" xfId="1" applyNumberFormat="1" applyFont="1" applyFill="1" applyBorder="1" applyAlignment="1" applyProtection="1">
      <alignment horizontal="center" vertical="center" wrapText="1"/>
      <protection locked="0" hidden="1"/>
    </xf>
    <xf numFmtId="1" fontId="11" fillId="6" borderId="26" xfId="1" applyNumberFormat="1" applyFont="1" applyFill="1" applyBorder="1" applyAlignment="1" applyProtection="1">
      <alignment horizontal="center" vertical="center" wrapText="1"/>
      <protection locked="0" hidden="1"/>
    </xf>
    <xf numFmtId="0" fontId="11" fillId="0" borderId="7" xfId="0" applyFont="1" applyBorder="1" applyAlignment="1" applyProtection="1">
      <alignment vertical="center" wrapText="1"/>
      <protection hidden="1"/>
    </xf>
    <xf numFmtId="0" fontId="11" fillId="0" borderId="14" xfId="0" applyFont="1" applyBorder="1" applyAlignment="1" applyProtection="1">
      <alignment vertical="center" wrapText="1"/>
      <protection hidden="1"/>
    </xf>
    <xf numFmtId="165" fontId="10" fillId="10" borderId="28" xfId="1" applyNumberFormat="1" applyFont="1" applyFill="1" applyBorder="1" applyAlignment="1" applyProtection="1">
      <alignment horizontal="center" vertical="center" wrapText="1"/>
      <protection hidden="1"/>
    </xf>
    <xf numFmtId="0" fontId="11" fillId="0" borderId="33" xfId="0" applyFont="1" applyBorder="1" applyAlignment="1" applyProtection="1">
      <alignment vertical="center" wrapText="1"/>
      <protection hidden="1"/>
    </xf>
    <xf numFmtId="0" fontId="10" fillId="0" borderId="0" xfId="0" applyFont="1" applyAlignment="1">
      <alignment vertical="center"/>
    </xf>
    <xf numFmtId="43" fontId="10" fillId="9" borderId="0" xfId="0" applyNumberFormat="1" applyFont="1" applyFill="1" applyAlignment="1">
      <alignment vertical="center" wrapText="1"/>
    </xf>
    <xf numFmtId="0" fontId="11" fillId="7" borderId="12" xfId="0" quotePrefix="1" applyFont="1" applyFill="1" applyBorder="1" applyAlignment="1" applyProtection="1">
      <alignment horizontal="left" vertical="center" wrapText="1"/>
      <protection locked="0"/>
    </xf>
    <xf numFmtId="165" fontId="11" fillId="6" borderId="20" xfId="1" applyNumberFormat="1" applyFont="1" applyFill="1" applyBorder="1" applyAlignment="1" applyProtection="1">
      <alignment horizontal="center" vertical="center" wrapText="1"/>
      <protection hidden="1"/>
    </xf>
    <xf numFmtId="43" fontId="11" fillId="6" borderId="26" xfId="1" applyFont="1" applyFill="1" applyBorder="1" applyAlignment="1" applyProtection="1">
      <alignment vertical="center" wrapText="1"/>
      <protection hidden="1"/>
    </xf>
    <xf numFmtId="43" fontId="23" fillId="0" borderId="0" xfId="0" applyNumberFormat="1" applyFont="1" applyAlignment="1">
      <alignment vertical="center" wrapText="1"/>
    </xf>
    <xf numFmtId="43" fontId="10" fillId="9" borderId="28" xfId="1" applyFont="1" applyFill="1" applyBorder="1" applyAlignment="1" applyProtection="1">
      <alignment vertical="center"/>
      <protection hidden="1"/>
    </xf>
    <xf numFmtId="0" fontId="20" fillId="9" borderId="37" xfId="0" applyFont="1" applyFill="1" applyBorder="1" applyAlignment="1" applyProtection="1">
      <alignment vertical="center"/>
      <protection hidden="1"/>
    </xf>
    <xf numFmtId="0" fontId="11" fillId="0" borderId="38" xfId="0" applyFont="1" applyBorder="1" applyAlignment="1" applyProtection="1">
      <alignment vertical="center" wrapText="1"/>
      <protection hidden="1"/>
    </xf>
    <xf numFmtId="165" fontId="11" fillId="6" borderId="26" xfId="1" applyNumberFormat="1" applyFont="1" applyFill="1" applyBorder="1" applyAlignment="1" applyProtection="1">
      <alignment horizontal="center" vertical="center" wrapText="1"/>
      <protection hidden="1"/>
    </xf>
    <xf numFmtId="0" fontId="20" fillId="9" borderId="8" xfId="0" applyFont="1" applyFill="1" applyBorder="1" applyAlignment="1" applyProtection="1">
      <alignment vertical="center"/>
      <protection hidden="1"/>
    </xf>
    <xf numFmtId="0" fontId="11" fillId="3" borderId="12" xfId="0" applyFont="1" applyFill="1" applyBorder="1" applyAlignment="1" applyProtection="1">
      <alignment vertical="center" wrapText="1"/>
      <protection hidden="1"/>
    </xf>
    <xf numFmtId="0" fontId="11" fillId="3" borderId="12" xfId="0" applyFont="1" applyFill="1" applyBorder="1" applyAlignment="1" applyProtection="1">
      <alignment horizontal="center" vertical="center" wrapText="1"/>
      <protection hidden="1"/>
    </xf>
    <xf numFmtId="0" fontId="11" fillId="4" borderId="12" xfId="0" applyFont="1" applyFill="1" applyBorder="1" applyAlignment="1" applyProtection="1">
      <alignment vertical="center" wrapText="1"/>
      <protection hidden="1"/>
    </xf>
    <xf numFmtId="43" fontId="11" fillId="13" borderId="12" xfId="1" applyFont="1" applyFill="1" applyBorder="1" applyAlignment="1" applyProtection="1">
      <alignment vertical="center" wrapText="1"/>
      <protection hidden="1"/>
    </xf>
    <xf numFmtId="0" fontId="20" fillId="9" borderId="30" xfId="0" applyFont="1" applyFill="1" applyBorder="1" applyAlignment="1" applyProtection="1">
      <alignment vertical="center"/>
      <protection hidden="1"/>
    </xf>
    <xf numFmtId="0" fontId="11" fillId="3" borderId="26" xfId="0" applyFont="1" applyFill="1" applyBorder="1" applyAlignment="1" applyProtection="1">
      <alignment vertical="center" wrapText="1"/>
      <protection hidden="1"/>
    </xf>
    <xf numFmtId="0" fontId="11" fillId="3" borderId="26" xfId="0" applyFont="1" applyFill="1" applyBorder="1" applyAlignment="1" applyProtection="1">
      <alignment horizontal="center" vertical="center" wrapText="1"/>
      <protection hidden="1"/>
    </xf>
    <xf numFmtId="0" fontId="11" fillId="3" borderId="26" xfId="0" applyFont="1" applyFill="1" applyBorder="1" applyAlignment="1" applyProtection="1">
      <alignment horizontal="center" vertical="center" wrapText="1"/>
      <protection locked="0" hidden="1"/>
    </xf>
    <xf numFmtId="0" fontId="11" fillId="4" borderId="26" xfId="0" applyFont="1" applyFill="1" applyBorder="1" applyAlignment="1" applyProtection="1">
      <alignment vertical="center" wrapText="1"/>
      <protection hidden="1"/>
    </xf>
    <xf numFmtId="0" fontId="11" fillId="3" borderId="27" xfId="0" applyFont="1" applyFill="1" applyBorder="1" applyAlignment="1" applyProtection="1">
      <alignment vertical="center" wrapText="1"/>
      <protection hidden="1"/>
    </xf>
    <xf numFmtId="43" fontId="11" fillId="5" borderId="25" xfId="1" applyFont="1" applyFill="1" applyBorder="1" applyAlignment="1" applyProtection="1">
      <alignment vertical="center" wrapText="1"/>
      <protection hidden="1"/>
    </xf>
    <xf numFmtId="43" fontId="11" fillId="5" borderId="26" xfId="1" applyFont="1" applyFill="1" applyBorder="1" applyAlignment="1" applyProtection="1">
      <alignment vertical="center" wrapText="1"/>
      <protection hidden="1"/>
    </xf>
    <xf numFmtId="43" fontId="11" fillId="12" borderId="26" xfId="1" applyFont="1" applyFill="1" applyBorder="1" applyAlignment="1" applyProtection="1">
      <alignment vertical="center" wrapText="1"/>
      <protection hidden="1"/>
    </xf>
    <xf numFmtId="43" fontId="11" fillId="13" borderId="26" xfId="1" applyFont="1" applyFill="1" applyBorder="1" applyAlignment="1" applyProtection="1">
      <alignment vertical="center" wrapText="1"/>
      <protection hidden="1"/>
    </xf>
    <xf numFmtId="0" fontId="20" fillId="9" borderId="39" xfId="0" applyFont="1" applyFill="1" applyBorder="1" applyAlignment="1" applyProtection="1">
      <alignment vertical="center"/>
      <protection hidden="1"/>
    </xf>
    <xf numFmtId="43" fontId="26" fillId="0" borderId="0" xfId="1" applyFont="1" applyAlignment="1" applyProtection="1">
      <alignment horizontal="center" vertical="center" wrapText="1"/>
      <protection locked="0"/>
    </xf>
    <xf numFmtId="43" fontId="11" fillId="0" borderId="0" xfId="1" applyFont="1" applyAlignment="1" applyProtection="1">
      <alignment vertical="center"/>
      <protection locked="0"/>
    </xf>
    <xf numFmtId="43" fontId="23" fillId="0" borderId="0" xfId="1" applyFont="1" applyAlignment="1" applyProtection="1">
      <alignment vertical="center" wrapText="1"/>
      <protection locked="0"/>
    </xf>
    <xf numFmtId="43" fontId="11" fillId="0" borderId="0" xfId="1" applyFont="1" applyAlignment="1" applyProtection="1">
      <alignment vertical="center" wrapText="1"/>
      <protection locked="0"/>
    </xf>
    <xf numFmtId="0" fontId="7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top" indent="1"/>
    </xf>
    <xf numFmtId="0" fontId="3" fillId="0" borderId="0" xfId="0" applyFont="1" applyAlignment="1">
      <alignment horizontal="left" vertical="top" indent="1"/>
    </xf>
    <xf numFmtId="43" fontId="3" fillId="0" borderId="0" xfId="1" applyFont="1" applyFill="1" applyBorder="1" applyAlignment="1">
      <alignment horizontal="right" vertical="top"/>
    </xf>
    <xf numFmtId="43" fontId="3" fillId="0" borderId="5" xfId="1" applyFont="1" applyFill="1" applyBorder="1" applyAlignment="1">
      <alignment horizontal="right" vertical="top"/>
    </xf>
    <xf numFmtId="0" fontId="4" fillId="0" borderId="4" xfId="0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43" fontId="4" fillId="0" borderId="0" xfId="0" applyNumberFormat="1" applyFont="1" applyAlignment="1">
      <alignment horizontal="center" vertical="center"/>
    </xf>
    <xf numFmtId="43" fontId="4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 inden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43" fontId="3" fillId="0" borderId="0" xfId="0" applyNumberFormat="1" applyFont="1" applyAlignment="1">
      <alignment horizontal="right" vertical="top"/>
    </xf>
    <xf numFmtId="43" fontId="3" fillId="0" borderId="5" xfId="0" applyNumberFormat="1" applyFont="1" applyBorder="1" applyAlignment="1">
      <alignment horizontal="right" vertical="top"/>
    </xf>
    <xf numFmtId="1" fontId="3" fillId="0" borderId="0" xfId="0" applyNumberFormat="1" applyFont="1" applyAlignment="1">
      <alignment horizontal="left" vertical="top"/>
    </xf>
    <xf numFmtId="0" fontId="2" fillId="0" borderId="1" xfId="0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3" fillId="0" borderId="4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5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2" xfId="0" applyFont="1" applyBorder="1" applyAlignment="1">
      <alignment horizontal="right" vertical="top" indent="1"/>
    </xf>
    <xf numFmtId="164" fontId="4" fillId="0" borderId="2" xfId="0" applyNumberFormat="1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right" vertical="top" indent="1"/>
    </xf>
    <xf numFmtId="0" fontId="3" fillId="0" borderId="0" xfId="0" applyFont="1" applyAlignment="1">
      <alignment horizontal="left" vertical="top"/>
    </xf>
    <xf numFmtId="166" fontId="18" fillId="0" borderId="7" xfId="0" applyNumberFormat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4" fillId="3" borderId="14" xfId="0" applyFont="1" applyFill="1" applyBorder="1" applyAlignment="1">
      <alignment horizontal="center" vertical="center"/>
    </xf>
    <xf numFmtId="0" fontId="25" fillId="3" borderId="7" xfId="0" applyFont="1" applyFill="1" applyBorder="1" applyAlignment="1" applyProtection="1">
      <alignment vertical="center"/>
      <protection locked="0" hidden="1"/>
    </xf>
    <xf numFmtId="0" fontId="21" fillId="9" borderId="0" xfId="0" applyFont="1" applyFill="1" applyAlignment="1" applyProtection="1">
      <alignment horizontal="center" vertical="center" wrapText="1"/>
      <protection hidden="1"/>
    </xf>
    <xf numFmtId="0" fontId="10" fillId="10" borderId="31" xfId="0" applyFont="1" applyFill="1" applyBorder="1" applyAlignment="1" applyProtection="1">
      <alignment horizontal="right" vertical="center" wrapText="1" indent="1"/>
      <protection hidden="1"/>
    </xf>
    <xf numFmtId="0" fontId="10" fillId="10" borderId="32" xfId="0" applyFont="1" applyFill="1" applyBorder="1" applyAlignment="1" applyProtection="1">
      <alignment horizontal="right" vertical="center" wrapText="1" indent="1"/>
      <protection hidden="1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Invisible" pivot="0" table="0" count="0" xr9:uid="{E3B12EE5-1175-4E47-899A-969C7BB41AB5}"/>
  </tableStyles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66675</xdr:rowOff>
    </xdr:from>
    <xdr:to>
      <xdr:col>1</xdr:col>
      <xdr:colOff>1514475</xdr:colOff>
      <xdr:row>0</xdr:row>
      <xdr:rowOff>638175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5725" y="66675"/>
          <a:ext cx="2543175" cy="571500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66675</xdr:rowOff>
    </xdr:from>
    <xdr:to>
      <xdr:col>1</xdr:col>
      <xdr:colOff>1514475</xdr:colOff>
      <xdr:row>0</xdr:row>
      <xdr:rowOff>638175</xdr:rowOff>
    </xdr:to>
    <xdr:sp macro="" textlink="">
      <xdr:nvSpPr>
        <xdr:cNvPr id="31" name="Arrow: Right 30">
          <a:extLst>
            <a:ext uri="{FF2B5EF4-FFF2-40B4-BE49-F238E27FC236}">
              <a16:creationId xmlns:a16="http://schemas.microsoft.com/office/drawing/2014/main" id="{3DAB7F07-C8E8-4B47-B45A-BB3D6E9BEFEF}"/>
            </a:ext>
          </a:extLst>
        </xdr:cNvPr>
        <xdr:cNvSpPr/>
      </xdr:nvSpPr>
      <xdr:spPr>
        <a:xfrm>
          <a:off x="85725" y="66675"/>
          <a:ext cx="2543175" cy="571500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47625</xdr:rowOff>
    </xdr:from>
    <xdr:to>
      <xdr:col>1</xdr:col>
      <xdr:colOff>1019175</xdr:colOff>
      <xdr:row>1</xdr:row>
      <xdr:rowOff>190500</xdr:rowOff>
    </xdr:to>
    <xdr:sp macro="[0]!Macro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FD501D2-DCC8-4916-81D7-42499628821C}"/>
            </a:ext>
          </a:extLst>
        </xdr:cNvPr>
        <xdr:cNvSpPr/>
      </xdr:nvSpPr>
      <xdr:spPr>
        <a:xfrm>
          <a:off x="104775" y="47625"/>
          <a:ext cx="1188720" cy="45529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Sorting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47625</xdr:rowOff>
    </xdr:from>
    <xdr:to>
      <xdr:col>1</xdr:col>
      <xdr:colOff>1019175</xdr:colOff>
      <xdr:row>1</xdr:row>
      <xdr:rowOff>190500</xdr:rowOff>
    </xdr:to>
    <xdr:sp macro="[0]!Macro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720ED6-66D7-4049-B81D-A7E4A4430930}"/>
            </a:ext>
          </a:extLst>
        </xdr:cNvPr>
        <xdr:cNvSpPr/>
      </xdr:nvSpPr>
      <xdr:spPr>
        <a:xfrm>
          <a:off x="104775" y="47625"/>
          <a:ext cx="1188720" cy="45529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Sorting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47625</xdr:rowOff>
    </xdr:from>
    <xdr:to>
      <xdr:col>1</xdr:col>
      <xdr:colOff>1019175</xdr:colOff>
      <xdr:row>1</xdr:row>
      <xdr:rowOff>190500</xdr:rowOff>
    </xdr:to>
    <xdr:sp macro="[0]!Macro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E52D568-83DF-4A90-B6F1-F42C3FEEF77E}"/>
            </a:ext>
          </a:extLst>
        </xdr:cNvPr>
        <xdr:cNvSpPr/>
      </xdr:nvSpPr>
      <xdr:spPr>
        <a:xfrm>
          <a:off x="104775" y="47625"/>
          <a:ext cx="1188720" cy="455295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/>
            <a:t>Sorting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85725</xdr:colOff>
      <xdr:row>0</xdr:row>
      <xdr:rowOff>57150</xdr:rowOff>
    </xdr:from>
    <xdr:to>
      <xdr:col>33</xdr:col>
      <xdr:colOff>104775</xdr:colOff>
      <xdr:row>1</xdr:row>
      <xdr:rowOff>161925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43E405A-CCC2-4634-9134-02A508701682}"/>
            </a:ext>
          </a:extLst>
        </xdr:cNvPr>
        <xdr:cNvSpPr/>
      </xdr:nvSpPr>
      <xdr:spPr>
        <a:xfrm>
          <a:off x="16758285" y="5715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85725</xdr:colOff>
      <xdr:row>0</xdr:row>
      <xdr:rowOff>57150</xdr:rowOff>
    </xdr:from>
    <xdr:to>
      <xdr:col>33</xdr:col>
      <xdr:colOff>104775</xdr:colOff>
      <xdr:row>1</xdr:row>
      <xdr:rowOff>161925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23740F-9772-4C18-BC7F-5B97A9525620}"/>
            </a:ext>
          </a:extLst>
        </xdr:cNvPr>
        <xdr:cNvSpPr/>
      </xdr:nvSpPr>
      <xdr:spPr>
        <a:xfrm>
          <a:off x="16758285" y="5715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85725</xdr:colOff>
      <xdr:row>0</xdr:row>
      <xdr:rowOff>57150</xdr:rowOff>
    </xdr:from>
    <xdr:to>
      <xdr:col>33</xdr:col>
      <xdr:colOff>104775</xdr:colOff>
      <xdr:row>1</xdr:row>
      <xdr:rowOff>161925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D1644F-DE17-4542-BEA6-631A27AFF207}"/>
            </a:ext>
          </a:extLst>
        </xdr:cNvPr>
        <xdr:cNvSpPr/>
      </xdr:nvSpPr>
      <xdr:spPr>
        <a:xfrm>
          <a:off x="16758285" y="5715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85725</xdr:colOff>
      <xdr:row>0</xdr:row>
      <xdr:rowOff>57150</xdr:rowOff>
    </xdr:from>
    <xdr:to>
      <xdr:col>33</xdr:col>
      <xdr:colOff>104775</xdr:colOff>
      <xdr:row>1</xdr:row>
      <xdr:rowOff>161925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290496-D333-4CFA-8DC5-17853EDBA136}"/>
            </a:ext>
          </a:extLst>
        </xdr:cNvPr>
        <xdr:cNvSpPr/>
      </xdr:nvSpPr>
      <xdr:spPr>
        <a:xfrm>
          <a:off x="16758285" y="5715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85725</xdr:colOff>
      <xdr:row>0</xdr:row>
      <xdr:rowOff>57150</xdr:rowOff>
    </xdr:from>
    <xdr:to>
      <xdr:col>33</xdr:col>
      <xdr:colOff>104775</xdr:colOff>
      <xdr:row>1</xdr:row>
      <xdr:rowOff>161925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A4BB35-1A3E-4E2E-ACA6-DFEB10E9532B}"/>
            </a:ext>
          </a:extLst>
        </xdr:cNvPr>
        <xdr:cNvSpPr/>
      </xdr:nvSpPr>
      <xdr:spPr>
        <a:xfrm>
          <a:off x="16758285" y="5715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9AA877-A673-4D22-A3BC-0943E912B3B5}"/>
            </a:ext>
          </a:extLst>
        </xdr:cNvPr>
        <xdr:cNvSpPr/>
      </xdr:nvSpPr>
      <xdr:spPr>
        <a:xfrm>
          <a:off x="18427065" y="2667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3B692-380B-4612-BA25-3425D3EB1E27}"/>
            </a:ext>
          </a:extLst>
        </xdr:cNvPr>
        <xdr:cNvSpPr/>
      </xdr:nvSpPr>
      <xdr:spPr>
        <a:xfrm>
          <a:off x="18270855" y="26670"/>
          <a:ext cx="104775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6B00D25-B12D-4C22-8A55-F6B6A047664D}"/>
            </a:ext>
          </a:extLst>
        </xdr:cNvPr>
        <xdr:cNvSpPr/>
      </xdr:nvSpPr>
      <xdr:spPr>
        <a:xfrm>
          <a:off x="18337530" y="26670"/>
          <a:ext cx="104775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8D16A42-7E97-40CB-879A-C7570A3EB400}"/>
            </a:ext>
          </a:extLst>
        </xdr:cNvPr>
        <xdr:cNvSpPr/>
      </xdr:nvSpPr>
      <xdr:spPr>
        <a:xfrm>
          <a:off x="18792825" y="2667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094B1C9-D039-4EDE-8552-F53C38E1B628}"/>
            </a:ext>
          </a:extLst>
        </xdr:cNvPr>
        <xdr:cNvSpPr/>
      </xdr:nvSpPr>
      <xdr:spPr>
        <a:xfrm>
          <a:off x="18792825" y="2667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AB0DAF-C23F-4B1A-BA3E-B1E389857F23}"/>
            </a:ext>
          </a:extLst>
        </xdr:cNvPr>
        <xdr:cNvSpPr/>
      </xdr:nvSpPr>
      <xdr:spPr>
        <a:xfrm>
          <a:off x="18792825" y="2667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40005</xdr:colOff>
      <xdr:row>0</xdr:row>
      <xdr:rowOff>26670</xdr:rowOff>
    </xdr:from>
    <xdr:to>
      <xdr:col>34</xdr:col>
      <xdr:colOff>59055</xdr:colOff>
      <xdr:row>1</xdr:row>
      <xdr:rowOff>131445</xdr:rowOff>
    </xdr:to>
    <xdr:sp macro="[0]!Macr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214E40-4E97-45DA-8819-3EE4DB96C049}"/>
            </a:ext>
          </a:extLst>
        </xdr:cNvPr>
        <xdr:cNvSpPr/>
      </xdr:nvSpPr>
      <xdr:spPr>
        <a:xfrm>
          <a:off x="18792825" y="26670"/>
          <a:ext cx="1070610" cy="4171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74930</xdr:colOff>
      <xdr:row>0</xdr:row>
      <xdr:rowOff>13971</xdr:rowOff>
    </xdr:from>
    <xdr:to>
      <xdr:col>22</xdr:col>
      <xdr:colOff>325120</xdr:colOff>
      <xdr:row>1</xdr:row>
      <xdr:rowOff>143511</xdr:rowOff>
    </xdr:to>
    <xdr:sp macro="[0]!MacroP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44340A5-2202-42D0-8E21-23F43236DE03}"/>
            </a:ext>
          </a:extLst>
        </xdr:cNvPr>
        <xdr:cNvSpPr/>
      </xdr:nvSpPr>
      <xdr:spPr>
        <a:xfrm>
          <a:off x="15676880" y="13971"/>
          <a:ext cx="859790" cy="44069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C068A-7FB4-4F25-9D61-E5A76B6EBEDF}">
  <sheetPr codeName="Sheet2">
    <tabColor rgb="FFFFC000"/>
  </sheetPr>
  <dimension ref="A1:N1081"/>
  <sheetViews>
    <sheetView view="pageBreakPreview" zoomScale="90" zoomScaleNormal="93" zoomScaleSheetLayoutView="90" workbookViewId="0">
      <pane ySplit="1" topLeftCell="A2" activePane="bottomLeft" state="frozen"/>
      <selection pane="bottomLeft" activeCell="P11" sqref="P11"/>
    </sheetView>
  </sheetViews>
  <sheetFormatPr defaultColWidth="8.88671875" defaultRowHeight="12" customHeight="1" x14ac:dyDescent="0.3"/>
  <cols>
    <col min="1" max="1" width="16.6640625" style="124" customWidth="1"/>
    <col min="2" max="2" width="24.6640625" style="113" customWidth="1"/>
    <col min="3" max="4" width="6.6640625" style="113" customWidth="1"/>
    <col min="5" max="5" width="11.6640625" style="124" customWidth="1"/>
    <col min="6" max="6" width="3.6640625" style="124" customWidth="1"/>
    <col min="7" max="7" width="13.6640625" style="113" customWidth="1"/>
    <col min="8" max="8" width="6.6640625" style="113" customWidth="1"/>
    <col min="9" max="9" width="7.6640625" style="113" customWidth="1"/>
    <col min="10" max="11" width="6.6640625" style="113" customWidth="1"/>
    <col min="12" max="12" width="8.88671875" style="113" customWidth="1"/>
    <col min="13" max="13" width="11.33203125" style="131" bestFit="1" customWidth="1"/>
    <col min="14" max="14" width="5.6640625" style="132" customWidth="1"/>
    <col min="15" max="15" width="8.88671875" style="113" customWidth="1"/>
    <col min="16" max="16384" width="8.88671875" style="113"/>
  </cols>
  <sheetData>
    <row r="1" spans="1:14" ht="60" customHeight="1" x14ac:dyDescent="0.3">
      <c r="A1" s="113"/>
      <c r="C1" s="354" t="s">
        <v>84</v>
      </c>
      <c r="D1" s="354"/>
      <c r="E1" s="353">
        <v>45809</v>
      </c>
      <c r="F1" s="353"/>
    </row>
    <row r="2" spans="1:14" s="2" customFormat="1" ht="19.95" customHeight="1" x14ac:dyDescent="0.3">
      <c r="A2" s="338" t="s">
        <v>107</v>
      </c>
      <c r="B2" s="339"/>
      <c r="C2" s="339"/>
      <c r="D2" s="339"/>
      <c r="E2" s="339"/>
      <c r="F2" s="339"/>
      <c r="G2" s="339"/>
      <c r="H2" s="339"/>
      <c r="I2" s="339"/>
      <c r="J2" s="339"/>
      <c r="K2" s="340"/>
      <c r="L2" s="1"/>
      <c r="M2" s="86"/>
      <c r="N2" s="87"/>
    </row>
    <row r="3" spans="1:14" s="2" customFormat="1" ht="15" customHeight="1" x14ac:dyDescent="0.3">
      <c r="A3" s="341" t="s">
        <v>180</v>
      </c>
      <c r="B3" s="342"/>
      <c r="C3" s="342"/>
      <c r="D3" s="342"/>
      <c r="E3" s="342"/>
      <c r="F3" s="342"/>
      <c r="G3" s="342"/>
      <c r="H3" s="342"/>
      <c r="I3" s="342"/>
      <c r="J3" s="342"/>
      <c r="K3" s="343"/>
      <c r="L3" s="1"/>
      <c r="M3" s="86"/>
      <c r="N3" s="88"/>
    </row>
    <row r="4" spans="1:14" s="2" customFormat="1" ht="15" customHeight="1" x14ac:dyDescent="0.3">
      <c r="A4" s="344" t="s">
        <v>72</v>
      </c>
      <c r="B4" s="345"/>
      <c r="C4" s="345"/>
      <c r="D4" s="345"/>
      <c r="E4" s="345"/>
      <c r="F4" s="345"/>
      <c r="G4" s="345"/>
      <c r="H4" s="345"/>
      <c r="I4" s="345"/>
      <c r="J4" s="345"/>
      <c r="K4" s="346"/>
      <c r="L4" s="1"/>
      <c r="M4" s="86"/>
      <c r="N4" s="88"/>
    </row>
    <row r="5" spans="1:14" s="2" customFormat="1" ht="4.95" customHeight="1" x14ac:dyDescent="0.3">
      <c r="A5" s="92"/>
      <c r="B5" s="347"/>
      <c r="C5" s="347"/>
      <c r="D5" s="347"/>
      <c r="E5" s="347"/>
      <c r="F5" s="347"/>
      <c r="G5" s="347"/>
      <c r="H5" s="347"/>
      <c r="I5" s="347"/>
      <c r="J5" s="347"/>
      <c r="K5" s="348"/>
      <c r="L5" s="1"/>
      <c r="M5" s="88"/>
      <c r="N5" s="88"/>
    </row>
    <row r="6" spans="1:14" s="2" customFormat="1" ht="3" customHeight="1" x14ac:dyDescent="0.3">
      <c r="A6" s="93"/>
      <c r="B6" s="94"/>
      <c r="C6" s="94"/>
      <c r="D6" s="94"/>
      <c r="E6" s="95"/>
      <c r="F6" s="95"/>
      <c r="G6" s="94"/>
      <c r="H6" s="94"/>
      <c r="I6" s="94"/>
      <c r="J6" s="94"/>
      <c r="K6" s="96"/>
      <c r="L6" s="1"/>
      <c r="M6" s="88"/>
      <c r="N6" s="88"/>
    </row>
    <row r="7" spans="1:14" s="2" customFormat="1" x14ac:dyDescent="0.3">
      <c r="A7" s="123" t="s">
        <v>68</v>
      </c>
      <c r="B7" s="124" t="str">
        <f ca="1">VLOOKUP($B8,Salary_Master_2,3,FALSE)</f>
        <v>W007</v>
      </c>
      <c r="C7" s="349" t="s">
        <v>21</v>
      </c>
      <c r="D7" s="349"/>
      <c r="E7" s="350">
        <f>IF($E$1="","",$E$1)</f>
        <v>45809</v>
      </c>
      <c r="F7" s="350"/>
      <c r="G7" s="97" t="s">
        <v>22</v>
      </c>
      <c r="H7" s="98">
        <f ca="1">VLOOKUP($B8,INDIRECT(VLOOKUP($E$7,$M$2:$N$20,2,FALSE)),3,FALSE)</f>
        <v>31</v>
      </c>
      <c r="I7" s="99"/>
      <c r="J7" s="100" t="s">
        <v>27</v>
      </c>
      <c r="K7" s="101"/>
      <c r="L7" s="1"/>
      <c r="M7" s="86">
        <v>45748</v>
      </c>
      <c r="N7" s="88" t="s">
        <v>202</v>
      </c>
    </row>
    <row r="8" spans="1:14" s="2" customFormat="1" x14ac:dyDescent="0.3">
      <c r="A8" s="123" t="s">
        <v>19</v>
      </c>
      <c r="B8" s="124" t="str">
        <f ca="1">IF(Salary_Master_2!$B$5="","",VLOOKUP(Salary_Master_2!$B$5,INDIRECT(VLOOKUP($E7,$M$2:$N$20,2,FALSE)),1,FALSE))</f>
        <v>Munna Prasad Vishwakarma</v>
      </c>
      <c r="C8" s="351" t="s">
        <v>1</v>
      </c>
      <c r="D8" s="351"/>
      <c r="E8" s="352">
        <f ca="1">SUM($H7:$H10)</f>
        <v>31</v>
      </c>
      <c r="F8" s="352"/>
      <c r="G8" s="97" t="s">
        <v>24</v>
      </c>
      <c r="H8" s="102">
        <f ca="1">VLOOKUP($B8,INDIRECT(VLOOKUP($E$7,$M$2:$N$20,2,FALSE)),4,FALSE)</f>
        <v>0</v>
      </c>
      <c r="I8" s="100"/>
      <c r="J8" s="103" t="s">
        <v>28</v>
      </c>
      <c r="K8" s="101">
        <f ca="1">VLOOKUP($B8,INDIRECT(VLOOKUP($E$7,$M$2:$N$20,2,FALSE)),31,FALSE)</f>
        <v>0</v>
      </c>
      <c r="L8" s="1"/>
      <c r="M8" s="86">
        <v>45778</v>
      </c>
      <c r="N8" s="88" t="s">
        <v>203</v>
      </c>
    </row>
    <row r="9" spans="1:14" s="2" customFormat="1" x14ac:dyDescent="0.3">
      <c r="A9" s="123" t="s">
        <v>0</v>
      </c>
      <c r="B9" s="124" t="str">
        <f ca="1">VLOOKUP($B8,Salary_Master_2,4,FALSE)</f>
        <v>Production Engineer</v>
      </c>
      <c r="C9" s="124"/>
      <c r="D9" s="103" t="s">
        <v>70</v>
      </c>
      <c r="E9" s="337" t="str">
        <f ca="1">VLOOKUP($B8,Salary_Master_2,9,FALSE)</f>
        <v>NA</v>
      </c>
      <c r="F9" s="337"/>
      <c r="G9" s="97" t="s">
        <v>25</v>
      </c>
      <c r="H9" s="102">
        <f ca="1">VLOOKUP($B8,INDIRECT(VLOOKUP($E$7,$M$2:$N$20,2,FALSE)),5,FALSE)</f>
        <v>0</v>
      </c>
      <c r="I9" s="97"/>
      <c r="J9" s="103" t="s">
        <v>29</v>
      </c>
      <c r="K9" s="101">
        <f ca="1">VLOOKUP($B8,INDIRECT(VLOOKUP($E$7,$M$2:$N$20,2,FALSE)),32,FALSE)</f>
        <v>0</v>
      </c>
      <c r="L9" s="1"/>
      <c r="M9" s="86">
        <v>45809</v>
      </c>
      <c r="N9" s="88" t="s">
        <v>204</v>
      </c>
    </row>
    <row r="10" spans="1:14" s="2" customFormat="1" x14ac:dyDescent="0.3">
      <c r="A10" s="123" t="s">
        <v>20</v>
      </c>
      <c r="B10" s="124" t="str">
        <f ca="1">VLOOKUP($B8,Salary_Master_2,5,FALSE)</f>
        <v>Production</v>
      </c>
      <c r="C10" s="124"/>
      <c r="D10" s="103" t="s">
        <v>71</v>
      </c>
      <c r="E10" s="337" t="str">
        <f ca="1">VLOOKUP($B8,Salary_Master_2,10,FALSE)</f>
        <v>NA</v>
      </c>
      <c r="F10" s="337"/>
      <c r="G10" s="97" t="s">
        <v>26</v>
      </c>
      <c r="H10" s="102">
        <f ca="1">VLOOKUP($B8,INDIRECT(VLOOKUP($E$7,$M$2:$N$20,2,FALSE)),6,FALSE)</f>
        <v>0</v>
      </c>
      <c r="I10" s="97"/>
      <c r="J10" s="103" t="s">
        <v>30</v>
      </c>
      <c r="K10" s="101">
        <f ca="1">VLOOKUP($B8,INDIRECT(VLOOKUP($E$7,$M$2:$N$20,2,FALSE)),33,FALSE)</f>
        <v>5</v>
      </c>
      <c r="L10" s="1"/>
      <c r="M10" s="86">
        <v>45839</v>
      </c>
      <c r="N10" s="88" t="s">
        <v>205</v>
      </c>
    </row>
    <row r="11" spans="1:14" s="2" customFormat="1" x14ac:dyDescent="0.3">
      <c r="A11" s="123" t="s">
        <v>69</v>
      </c>
      <c r="B11" s="124" t="str">
        <f ca="1">VLOOKUP($B8,Salary_Master_2,6,FALSE)</f>
        <v>Ansa Factory</v>
      </c>
      <c r="C11" s="124"/>
      <c r="D11" s="104"/>
      <c r="E11" s="105"/>
      <c r="F11" s="105"/>
      <c r="G11" s="97" t="s">
        <v>23</v>
      </c>
      <c r="H11" s="102">
        <f ca="1">VLOOKUP($B8,INDIRECT(VLOOKUP($E$7,$M$2:$N$20,2,FALSE)),8,FALSE)</f>
        <v>0</v>
      </c>
      <c r="I11" s="97"/>
      <c r="J11" s="125"/>
      <c r="K11" s="101"/>
      <c r="L11" s="1"/>
      <c r="M11" s="86">
        <v>45870</v>
      </c>
      <c r="N11" s="88" t="s">
        <v>206</v>
      </c>
    </row>
    <row r="12" spans="1:14" s="2" customFormat="1" x14ac:dyDescent="0.3">
      <c r="A12" s="123" t="s">
        <v>32</v>
      </c>
      <c r="B12" s="106">
        <f ca="1">VLOOKUP($B8,Salary_Master_2,7,FALSE)</f>
        <v>33604</v>
      </c>
      <c r="C12" s="106"/>
      <c r="D12" s="104"/>
      <c r="E12" s="105"/>
      <c r="F12" s="105"/>
      <c r="G12" s="97" t="s">
        <v>31</v>
      </c>
      <c r="H12" s="102">
        <f ca="1">VLOOKUP($B8,INDIRECT(VLOOKUP($E$7,$M$2:$N$20,2,FALSE)),9,FALSE)</f>
        <v>1</v>
      </c>
      <c r="I12" s="107"/>
      <c r="J12" s="107"/>
      <c r="K12" s="101"/>
      <c r="L12" s="1"/>
      <c r="M12" s="86">
        <v>45901</v>
      </c>
      <c r="N12" s="88" t="s">
        <v>207</v>
      </c>
    </row>
    <row r="13" spans="1:14" s="2" customFormat="1" ht="3" customHeight="1" x14ac:dyDescent="0.3">
      <c r="A13" s="108"/>
      <c r="B13" s="109"/>
      <c r="C13" s="109"/>
      <c r="D13" s="109"/>
      <c r="E13" s="110"/>
      <c r="F13" s="110"/>
      <c r="G13" s="109"/>
      <c r="H13" s="109"/>
      <c r="I13" s="111"/>
      <c r="J13" s="111"/>
      <c r="K13" s="112"/>
      <c r="L13" s="1"/>
      <c r="M13" s="89">
        <v>45931</v>
      </c>
      <c r="N13" s="88" t="s">
        <v>208</v>
      </c>
    </row>
    <row r="14" spans="1:14" s="2" customFormat="1" ht="3" customHeight="1" x14ac:dyDescent="0.3">
      <c r="A14" s="123"/>
      <c r="B14" s="113"/>
      <c r="C14" s="113"/>
      <c r="D14" s="113"/>
      <c r="E14" s="124"/>
      <c r="F14" s="124"/>
      <c r="G14" s="113"/>
      <c r="H14" s="113"/>
      <c r="I14" s="114"/>
      <c r="J14" s="114"/>
      <c r="K14" s="115"/>
      <c r="L14" s="1"/>
      <c r="M14" s="89">
        <v>45962</v>
      </c>
      <c r="N14" s="88" t="s">
        <v>209</v>
      </c>
    </row>
    <row r="15" spans="1:14" s="1" customFormat="1" ht="3" customHeight="1" x14ac:dyDescent="0.3">
      <c r="A15" s="116"/>
      <c r="B15" s="117"/>
      <c r="C15" s="117"/>
      <c r="D15" s="115"/>
      <c r="E15" s="118"/>
      <c r="F15" s="118"/>
      <c r="G15" s="117"/>
      <c r="H15" s="117"/>
      <c r="I15" s="119"/>
      <c r="J15" s="119"/>
      <c r="K15" s="115"/>
      <c r="M15" s="89">
        <v>45992</v>
      </c>
      <c r="N15" s="88" t="s">
        <v>210</v>
      </c>
    </row>
    <row r="16" spans="1:14" s="1" customFormat="1" ht="12" customHeight="1" x14ac:dyDescent="0.3">
      <c r="A16" s="120" t="s">
        <v>4</v>
      </c>
      <c r="B16" s="113"/>
      <c r="C16" s="113"/>
      <c r="D16" s="121" t="s">
        <v>5</v>
      </c>
      <c r="E16" s="122" t="s">
        <v>6</v>
      </c>
      <c r="F16" s="122"/>
      <c r="G16" s="113"/>
      <c r="H16" s="113"/>
      <c r="I16" s="113"/>
      <c r="J16" s="113"/>
      <c r="K16" s="121" t="s">
        <v>5</v>
      </c>
      <c r="M16" s="86">
        <v>46023</v>
      </c>
      <c r="N16" s="88" t="s">
        <v>211</v>
      </c>
    </row>
    <row r="17" spans="1:14" s="1" customFormat="1" ht="3" customHeight="1" x14ac:dyDescent="0.3">
      <c r="A17" s="108"/>
      <c r="B17" s="109"/>
      <c r="C17" s="109"/>
      <c r="D17" s="112"/>
      <c r="E17" s="110"/>
      <c r="F17" s="110"/>
      <c r="G17" s="109"/>
      <c r="H17" s="109"/>
      <c r="I17" s="111"/>
      <c r="J17" s="111"/>
      <c r="K17" s="112"/>
      <c r="M17" s="89">
        <v>46054</v>
      </c>
      <c r="N17" s="88" t="s">
        <v>212</v>
      </c>
    </row>
    <row r="18" spans="1:14" s="1" customFormat="1" ht="3" customHeight="1" x14ac:dyDescent="0.3">
      <c r="A18" s="123"/>
      <c r="B18" s="113"/>
      <c r="C18" s="113"/>
      <c r="D18" s="101"/>
      <c r="E18" s="124"/>
      <c r="F18" s="124"/>
      <c r="G18" s="113"/>
      <c r="H18" s="113"/>
      <c r="I18" s="114"/>
      <c r="J18" s="114"/>
      <c r="K18" s="101"/>
      <c r="M18" s="89">
        <v>46082</v>
      </c>
      <c r="N18" s="88" t="s">
        <v>213</v>
      </c>
    </row>
    <row r="19" spans="1:14" s="1" customFormat="1" ht="12" customHeight="1" x14ac:dyDescent="0.3">
      <c r="A19" s="324" t="s">
        <v>7</v>
      </c>
      <c r="B19" s="325"/>
      <c r="C19" s="326">
        <f ca="1">VLOOKUP($B8,INDIRECT(VLOOKUP($E7,$M$2:$N$20,2,FALSE)),13,FALSE)</f>
        <v>20000</v>
      </c>
      <c r="D19" s="327"/>
      <c r="E19" s="324" t="s">
        <v>8</v>
      </c>
      <c r="F19" s="325"/>
      <c r="G19" s="325"/>
      <c r="H19" s="325"/>
      <c r="I19" s="325"/>
      <c r="J19" s="326">
        <f ca="1">VLOOKUP($B8,INDIRECT(VLOOKUP($E7,$M$2:$N$20,2,FALSE)),22,FALSE)</f>
        <v>0</v>
      </c>
      <c r="K19" s="327"/>
      <c r="M19" s="86"/>
      <c r="N19" s="88"/>
    </row>
    <row r="20" spans="1:14" s="1" customFormat="1" ht="12" customHeight="1" x14ac:dyDescent="0.3">
      <c r="A20" s="324" t="s">
        <v>9</v>
      </c>
      <c r="B20" s="325"/>
      <c r="C20" s="326">
        <f ca="1">VLOOKUP($B8,INDIRECT(VLOOKUP($E7,$M$2:$N$20,2,FALSE)),14,FALSE)</f>
        <v>10000</v>
      </c>
      <c r="D20" s="327"/>
      <c r="E20" s="324" t="s">
        <v>94</v>
      </c>
      <c r="F20" s="325"/>
      <c r="G20" s="325"/>
      <c r="H20" s="325"/>
      <c r="I20" s="325"/>
      <c r="J20" s="326">
        <f ca="1">VLOOKUP($B8,INDIRECT(VLOOKUP($E7,$M$2:$N$20,2,FALSE)),23,FALSE)</f>
        <v>0</v>
      </c>
      <c r="K20" s="327"/>
      <c r="M20" s="86"/>
      <c r="N20" s="88"/>
    </row>
    <row r="21" spans="1:14" s="1" customFormat="1" ht="12" customHeight="1" x14ac:dyDescent="0.3">
      <c r="A21" s="324" t="s">
        <v>11</v>
      </c>
      <c r="B21" s="325"/>
      <c r="C21" s="326">
        <f ca="1">VLOOKUP($B8,INDIRECT(VLOOKUP($E7,$M$2:$N$20,2,FALSE)),15,FALSE)</f>
        <v>1600</v>
      </c>
      <c r="D21" s="327"/>
      <c r="E21" s="324" t="s">
        <v>10</v>
      </c>
      <c r="F21" s="325"/>
      <c r="G21" s="325"/>
      <c r="H21" s="325"/>
      <c r="I21" s="325"/>
      <c r="J21" s="326">
        <f ca="1">VLOOKUP($B8,INDIRECT(VLOOKUP($E7,$M$2:$N$20,2,FALSE)),24,FALSE)</f>
        <v>0</v>
      </c>
      <c r="K21" s="327"/>
      <c r="M21" s="87"/>
      <c r="N21" s="86"/>
    </row>
    <row r="22" spans="1:14" s="1" customFormat="1" ht="12" customHeight="1" x14ac:dyDescent="0.3">
      <c r="A22" s="324" t="s">
        <v>3</v>
      </c>
      <c r="B22" s="325"/>
      <c r="C22" s="326">
        <f ca="1">VLOOKUP($B8,INDIRECT(VLOOKUP($E7,$M$2:$N$20,2,FALSE)),16,FALSE)</f>
        <v>1667</v>
      </c>
      <c r="D22" s="327"/>
      <c r="E22" s="324" t="s">
        <v>93</v>
      </c>
      <c r="F22" s="325"/>
      <c r="G22" s="325"/>
      <c r="H22" s="325"/>
      <c r="I22" s="325"/>
      <c r="J22" s="326">
        <f ca="1">VLOOKUP($B8,INDIRECT(VLOOKUP($E7,$M$2:$N$20,2,FALSE)),25,FALSE)</f>
        <v>0</v>
      </c>
      <c r="K22" s="327"/>
      <c r="M22" s="87"/>
      <c r="N22" s="89"/>
    </row>
    <row r="23" spans="1:14" s="1" customFormat="1" ht="12" customHeight="1" x14ac:dyDescent="0.3">
      <c r="A23" s="324" t="s">
        <v>13</v>
      </c>
      <c r="B23" s="325"/>
      <c r="C23" s="326">
        <f ca="1">VLOOKUP($B8,INDIRECT(VLOOKUP($E7,$M$2:$N$20,2,FALSE)),17,FALSE)</f>
        <v>44733</v>
      </c>
      <c r="D23" s="327"/>
      <c r="E23" s="324" t="s">
        <v>12</v>
      </c>
      <c r="F23" s="325"/>
      <c r="G23" s="325"/>
      <c r="H23" s="325"/>
      <c r="I23" s="325"/>
      <c r="J23" s="326">
        <f ca="1">VLOOKUP($B8,INDIRECT(VLOOKUP($E7,$M$2:$N$20,2,FALSE)),26,FALSE)</f>
        <v>200</v>
      </c>
      <c r="K23" s="327"/>
      <c r="M23" s="88" t="s">
        <v>73</v>
      </c>
      <c r="N23" s="88" t="str">
        <f ca="1">IF(VLOOKUP($B8,INDIRECT(VLOOKUP($E7,$M$2:$N$20,2,FALSE)),38,FALSE)&gt;0,"Yes","No")</f>
        <v>No</v>
      </c>
    </row>
    <row r="24" spans="1:14" s="1" customFormat="1" ht="12" customHeight="1" x14ac:dyDescent="0.3">
      <c r="A24" s="324" t="str">
        <f ca="1">IF($J20&gt;0,"Other Allowance",IF(VLOOKUP($B8,INDIRECT(VLOOKUP($E7,$M$2:$N$20,2,FALSE)),44,FALSE)=0,"",IF($E7=DATE(2025,6,1),"Arrears of Apr &amp; May-2025","")))</f>
        <v>Arrears of Apr &amp; May-2025</v>
      </c>
      <c r="B24" s="325"/>
      <c r="C24" s="326" cm="1">
        <f t="array" aca="1" ref="C24" ca="1">_xlfn.IFS($A24="","",$A24="Other Allowance",VLOOKUP($B8,INDIRECT(VLOOKUP($E7,$M$2:$N$20,2,FALSE)),18,FALSE),$A24="Arrears of Apr &amp; May-2025",VLOOKUP($B8,INDIRECT(VLOOKUP($E7,$M$2:$N$20,2,FALSE)),44,FALSE))</f>
        <v>8000</v>
      </c>
      <c r="D24" s="327"/>
      <c r="E24" s="324" t="str" cm="1">
        <f t="array" aca="1" ref="E24" ca="1">_xlfn.IFS(N23="Yes",M23,N24="Yes",M24,TRUE,"")</f>
        <v/>
      </c>
      <c r="F24" s="325"/>
      <c r="G24" s="325"/>
      <c r="H24" s="325"/>
      <c r="I24" s="325"/>
      <c r="J24" s="335" t="str" cm="1">
        <f t="array" aca="1" ref="J24" ca="1">IF(E24="","",_xlfn.IFS(N23="Yes",VLOOKUP($B8,INDIRECT(VLOOKUP($E7,$M$2:$N$20,2,FALSE)),27,FALSE),N24="Yes",VLOOKUP($B8,INDIRECT(VLOOKUP($E7,$M$2:$N$20,2,FALSE)),28,FALSE)))</f>
        <v/>
      </c>
      <c r="K24" s="336"/>
      <c r="M24" s="88" t="s">
        <v>14</v>
      </c>
      <c r="N24" s="88" t="str">
        <f ca="1">IF(VLOOKUP($B8,INDIRECT(VLOOKUP($E$7,$M$2:$N$20,2,FALSE)),39,FALSE)&gt;0,"Yes","No")</f>
        <v>No</v>
      </c>
    </row>
    <row r="25" spans="1:14" s="1" customFormat="1" ht="12" customHeight="1" x14ac:dyDescent="0.3">
      <c r="A25" s="324" t="str" cm="1">
        <f t="array" aca="1" ref="A25" ca="1">_xlfn.IFS($A24="","",$A24="Other Allowance","EPF",$A24="Arrears of Apr &amp; May-2025","",VLOOKUP($B8,INDIRECT(VLOOKUP($E7,$M$2:$N$20,2,FALSE)),44,FALSE)=0,"",$E7=DATE(2025,6,1),"Arrears of Apr &amp; May-2025")</f>
        <v/>
      </c>
      <c r="B25" s="325"/>
      <c r="C25" s="326" t="str" cm="1">
        <f t="array" aca="1" ref="C25" ca="1">_xlfn.IFS($A25="","",$A25="EPF",VLOOKUP($B8,INDIRECT(VLOOKUP($E7,$M$2:$N$20,2,FALSE)),19,FALSE),$A25="Arrears of Apr &amp; May-2025",VLOOKUP($B8,INDIRECT(VLOOKUP($E7,$M$2:$N$20,2,FALSE)),44,FALSE))</f>
        <v/>
      </c>
      <c r="D25" s="327"/>
      <c r="E25" s="324" t="str" cm="1">
        <f t="array" aca="1" ref="E25" ca="1">_xlfn.IFS(N24="No","",N23="Yes",M24,TRUE,"")</f>
        <v/>
      </c>
      <c r="F25" s="325"/>
      <c r="G25" s="325"/>
      <c r="H25" s="325"/>
      <c r="I25" s="325"/>
      <c r="J25" s="335" t="str">
        <f ca="1">IF(E25="","",VLOOKUP($B8,INDIRECT(VLOOKUP($E7,$M$2:$N$20,2,FALSE)),28,FALSE))</f>
        <v/>
      </c>
      <c r="K25" s="336"/>
      <c r="M25" s="130"/>
      <c r="N25" s="88"/>
    </row>
    <row r="26" spans="1:14" s="1" customFormat="1" ht="12" customHeight="1" x14ac:dyDescent="0.3">
      <c r="A26" s="324" t="str">
        <f ca="1">IF($J22&gt;0,"ESIC (Employer)",IF($A25="","",IF(VLOOKUP($B8,INDIRECT(VLOOKUP($E7,$M$2:$N$20,2,FALSE)),44,FALSE)="","",IF($E7=DATE(2025,6,1),"Arrears of Apr &amp; May-2025",""))))</f>
        <v/>
      </c>
      <c r="B26" s="325"/>
      <c r="C26" s="326" t="str" cm="1">
        <f t="array" aca="1" ref="C26" ca="1">_xlfn.IFS($A26="","",$A26="ESIC (Employer)",VLOOKUP($B8,INDIRECT(VLOOKUP($E7,$M$2:$N$20,2,FALSE)),20,FALSE),$A26="Arrears of Apr &amp; May-2025",VLOOKUP($B8,INDIRECT(VLOOKUP($E7,$M$2:$N$20,2,FALSE)),44,FALSE))</f>
        <v/>
      </c>
      <c r="D26" s="327"/>
      <c r="E26" s="324"/>
      <c r="F26" s="325"/>
      <c r="G26" s="325"/>
      <c r="H26" s="325"/>
      <c r="I26" s="325"/>
      <c r="J26" s="335"/>
      <c r="K26" s="336"/>
      <c r="M26" s="88"/>
      <c r="N26" s="88"/>
    </row>
    <row r="27" spans="1:14" s="1" customFormat="1" ht="12" customHeight="1" x14ac:dyDescent="0.3">
      <c r="A27" s="324" t="str">
        <f ca="1">IF($A26="","",IF(VLOOKUP($B8,INDIRECT(VLOOKUP($E7,$M$2:$N$20,2,FALSE)),44,FALSE)=0,"",IF($A26="Arrears of Apr &amp; May-2025","",IF($E7=DATE(2025,6,1),"Arrears of Apr &amp; May-2025",""))))</f>
        <v/>
      </c>
      <c r="B27" s="325"/>
      <c r="C27" s="326" t="str" cm="1">
        <f t="array" aca="1" ref="C27" ca="1">_xlfn.IFS($A27="","",$A27="Arrears of Apr &amp; May-2025",VLOOKUP($B8,INDIRECT(VLOOKUP($E7,$M$2:$N$20,2,FALSE)),44,FALSE))</f>
        <v/>
      </c>
      <c r="D27" s="327"/>
      <c r="E27" s="324"/>
      <c r="F27" s="325"/>
      <c r="G27" s="325"/>
      <c r="H27" s="325"/>
      <c r="I27" s="325"/>
      <c r="J27" s="335"/>
      <c r="K27" s="336"/>
      <c r="M27" s="88"/>
      <c r="N27" s="88"/>
    </row>
    <row r="28" spans="1:14" s="1" customFormat="1" ht="12" customHeight="1" x14ac:dyDescent="0.3">
      <c r="A28" s="324"/>
      <c r="B28" s="325"/>
      <c r="C28" s="326"/>
      <c r="D28" s="327"/>
      <c r="E28" s="124"/>
      <c r="F28" s="124"/>
      <c r="G28" s="124"/>
      <c r="H28" s="124"/>
      <c r="I28" s="124"/>
      <c r="J28" s="335"/>
      <c r="K28" s="336"/>
      <c r="M28" s="88"/>
      <c r="N28" s="88"/>
    </row>
    <row r="29" spans="1:14" s="1" customFormat="1" ht="3" customHeight="1" x14ac:dyDescent="0.3">
      <c r="A29" s="108"/>
      <c r="B29" s="109"/>
      <c r="C29" s="109"/>
      <c r="D29" s="112"/>
      <c r="E29" s="110"/>
      <c r="F29" s="110"/>
      <c r="G29" s="109"/>
      <c r="H29" s="109"/>
      <c r="I29" s="111"/>
      <c r="J29" s="111"/>
      <c r="K29" s="112"/>
      <c r="M29" s="88"/>
      <c r="N29" s="88"/>
    </row>
    <row r="30" spans="1:14" s="1" customFormat="1" ht="3" customHeight="1" x14ac:dyDescent="0.3">
      <c r="A30" s="123"/>
      <c r="B30" s="113"/>
      <c r="C30" s="113"/>
      <c r="D30" s="101"/>
      <c r="E30" s="124"/>
      <c r="F30" s="124"/>
      <c r="G30" s="113"/>
      <c r="H30" s="113"/>
      <c r="I30" s="114"/>
      <c r="J30" s="114"/>
      <c r="K30" s="101"/>
      <c r="M30" s="88"/>
      <c r="N30" s="88"/>
    </row>
    <row r="31" spans="1:14" s="4" customFormat="1" ht="19.95" customHeight="1" x14ac:dyDescent="0.3">
      <c r="A31" s="328" t="s">
        <v>15</v>
      </c>
      <c r="B31" s="329"/>
      <c r="C31" s="330">
        <f ca="1">SUM(C19:D30)</f>
        <v>86000</v>
      </c>
      <c r="D31" s="331"/>
      <c r="E31" s="328" t="s">
        <v>16</v>
      </c>
      <c r="F31" s="329"/>
      <c r="G31" s="329"/>
      <c r="H31" s="329"/>
      <c r="I31" s="329"/>
      <c r="J31" s="330">
        <f ca="1">SUM(J19:K27)</f>
        <v>200</v>
      </c>
      <c r="K31" s="331"/>
      <c r="M31" s="129"/>
      <c r="N31" s="90"/>
    </row>
    <row r="32" spans="1:14" s="1" customFormat="1" ht="3" customHeight="1" x14ac:dyDescent="0.3">
      <c r="A32" s="108"/>
      <c r="B32" s="109"/>
      <c r="C32" s="109"/>
      <c r="D32" s="112"/>
      <c r="E32" s="110"/>
      <c r="F32" s="110"/>
      <c r="G32" s="109"/>
      <c r="H32" s="109"/>
      <c r="I32" s="111"/>
      <c r="J32" s="111"/>
      <c r="K32" s="112"/>
      <c r="M32" s="88"/>
      <c r="N32" s="88"/>
    </row>
    <row r="33" spans="1:14" s="1" customFormat="1" ht="3" customHeight="1" x14ac:dyDescent="0.3">
      <c r="A33" s="123"/>
      <c r="B33" s="113"/>
      <c r="C33" s="113"/>
      <c r="D33" s="117"/>
      <c r="E33" s="118"/>
      <c r="F33" s="124"/>
      <c r="G33" s="113"/>
      <c r="H33" s="126"/>
      <c r="I33" s="119"/>
      <c r="J33" s="119"/>
      <c r="K33" s="115"/>
      <c r="M33" s="88"/>
      <c r="N33" s="88"/>
    </row>
    <row r="34" spans="1:14" s="5" customFormat="1" ht="19.95" customHeight="1" x14ac:dyDescent="0.3">
      <c r="A34" s="328" t="str" cm="1">
        <f t="array" aca="1" ref="A34" ca="1">mgm(J34)</f>
        <v>Rupees Eighty Five Thousand Eight Hundred Only</v>
      </c>
      <c r="B34" s="329"/>
      <c r="C34" s="329"/>
      <c r="D34" s="329"/>
      <c r="E34" s="329"/>
      <c r="F34" s="329"/>
      <c r="G34" s="332"/>
      <c r="H34" s="333" t="s">
        <v>17</v>
      </c>
      <c r="I34" s="334"/>
      <c r="J34" s="330">
        <f ca="1">C31-J31</f>
        <v>85800</v>
      </c>
      <c r="K34" s="331"/>
      <c r="L34" s="205"/>
      <c r="M34" s="90"/>
      <c r="N34" s="90"/>
    </row>
    <row r="35" spans="1:14" s="1" customFormat="1" ht="3" customHeight="1" x14ac:dyDescent="0.3">
      <c r="A35" s="108"/>
      <c r="B35" s="109"/>
      <c r="C35" s="109"/>
      <c r="D35" s="109"/>
      <c r="E35" s="110"/>
      <c r="F35" s="110"/>
      <c r="G35" s="109"/>
      <c r="H35" s="127"/>
      <c r="I35" s="111"/>
      <c r="J35" s="111"/>
      <c r="K35" s="112"/>
      <c r="M35" s="88"/>
      <c r="N35" s="88"/>
    </row>
    <row r="36" spans="1:14" s="1" customFormat="1" ht="19.95" customHeight="1" x14ac:dyDescent="0.3">
      <c r="A36" s="323" t="s">
        <v>18</v>
      </c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M36" s="88"/>
      <c r="N36" s="88"/>
    </row>
    <row r="37" spans="1:14" s="132" customFormat="1" ht="60" customHeight="1" x14ac:dyDescent="0.3">
      <c r="A37" s="181"/>
      <c r="E37" s="181"/>
      <c r="F37" s="181"/>
    </row>
    <row r="38" spans="1:14" s="2" customFormat="1" ht="19.95" customHeight="1" x14ac:dyDescent="0.3">
      <c r="A38" s="338" t="s">
        <v>107</v>
      </c>
      <c r="B38" s="339"/>
      <c r="C38" s="339"/>
      <c r="D38" s="339"/>
      <c r="E38" s="339"/>
      <c r="F38" s="339"/>
      <c r="G38" s="339"/>
      <c r="H38" s="339"/>
      <c r="I38" s="339"/>
      <c r="J38" s="339"/>
      <c r="K38" s="340"/>
      <c r="L38" s="1"/>
      <c r="M38" s="86"/>
      <c r="N38" s="87"/>
    </row>
    <row r="39" spans="1:14" s="2" customFormat="1" ht="15" customHeight="1" x14ac:dyDescent="0.3">
      <c r="A39" s="341" t="s">
        <v>180</v>
      </c>
      <c r="B39" s="342"/>
      <c r="C39" s="342"/>
      <c r="D39" s="342"/>
      <c r="E39" s="342"/>
      <c r="F39" s="342"/>
      <c r="G39" s="342"/>
      <c r="H39" s="342"/>
      <c r="I39" s="342"/>
      <c r="J39" s="342"/>
      <c r="K39" s="343"/>
      <c r="L39" s="1"/>
      <c r="M39" s="86"/>
      <c r="N39" s="88"/>
    </row>
    <row r="40" spans="1:14" s="2" customFormat="1" ht="15" customHeight="1" x14ac:dyDescent="0.3">
      <c r="A40" s="344" t="s">
        <v>72</v>
      </c>
      <c r="B40" s="345"/>
      <c r="C40" s="345"/>
      <c r="D40" s="345"/>
      <c r="E40" s="345"/>
      <c r="F40" s="345"/>
      <c r="G40" s="345"/>
      <c r="H40" s="345"/>
      <c r="I40" s="345"/>
      <c r="J40" s="345"/>
      <c r="K40" s="346"/>
      <c r="L40" s="1"/>
      <c r="M40" s="86"/>
      <c r="N40" s="88"/>
    </row>
    <row r="41" spans="1:14" s="2" customFormat="1" ht="4.95" customHeight="1" x14ac:dyDescent="0.3">
      <c r="A41" s="92"/>
      <c r="B41" s="347"/>
      <c r="C41" s="347"/>
      <c r="D41" s="347"/>
      <c r="E41" s="347"/>
      <c r="F41" s="347"/>
      <c r="G41" s="347"/>
      <c r="H41" s="347"/>
      <c r="I41" s="347"/>
      <c r="J41" s="347"/>
      <c r="K41" s="348"/>
      <c r="L41" s="1"/>
      <c r="M41" s="88"/>
      <c r="N41" s="88"/>
    </row>
    <row r="42" spans="1:14" s="2" customFormat="1" ht="3" customHeight="1" x14ac:dyDescent="0.3">
      <c r="A42" s="93"/>
      <c r="B42" s="94"/>
      <c r="C42" s="94"/>
      <c r="D42" s="94"/>
      <c r="E42" s="95"/>
      <c r="F42" s="95"/>
      <c r="G42" s="94"/>
      <c r="H42" s="94"/>
      <c r="I42" s="94"/>
      <c r="J42" s="94"/>
      <c r="K42" s="96"/>
      <c r="L42" s="1"/>
      <c r="M42" s="88"/>
      <c r="N42" s="88"/>
    </row>
    <row r="43" spans="1:14" s="2" customFormat="1" x14ac:dyDescent="0.3">
      <c r="A43" s="123" t="s">
        <v>68</v>
      </c>
      <c r="B43" s="124" t="str">
        <f ca="1">VLOOKUP($B44,Salary_Master_2,3,FALSE)</f>
        <v>W003</v>
      </c>
      <c r="C43" s="349" t="s">
        <v>21</v>
      </c>
      <c r="D43" s="349"/>
      <c r="E43" s="350">
        <f>IF($E$1="","",$E$1)</f>
        <v>45809</v>
      </c>
      <c r="F43" s="350"/>
      <c r="G43" s="97" t="s">
        <v>22</v>
      </c>
      <c r="H43" s="98">
        <f ca="1">VLOOKUP($B44,INDIRECT(VLOOKUP($E$7,$M$2:$N$20,2,FALSE)),3,FALSE)</f>
        <v>30.5</v>
      </c>
      <c r="I43" s="99"/>
      <c r="J43" s="100" t="s">
        <v>27</v>
      </c>
      <c r="K43" s="101"/>
      <c r="L43" s="1"/>
      <c r="M43" s="86"/>
      <c r="N43" s="88"/>
    </row>
    <row r="44" spans="1:14" s="2" customFormat="1" x14ac:dyDescent="0.3">
      <c r="A44" s="123" t="s">
        <v>19</v>
      </c>
      <c r="B44" s="124" t="str">
        <f ca="1">IF(Salary_Master_2!$B$6="","",VLOOKUP(Salary_Master_2!$B$6,INDIRECT(VLOOKUP($E43,$M$2:$N$20,2,FALSE)),1,FALSE))</f>
        <v>Ramesh Poojari</v>
      </c>
      <c r="C44" s="351" t="s">
        <v>1</v>
      </c>
      <c r="D44" s="351"/>
      <c r="E44" s="352">
        <f ca="1">SUM($H43:$H46)</f>
        <v>31</v>
      </c>
      <c r="F44" s="352"/>
      <c r="G44" s="97" t="s">
        <v>24</v>
      </c>
      <c r="H44" s="102">
        <f ca="1">VLOOKUP($B44,INDIRECT(VLOOKUP($E$7,$M$2:$N$20,2,FALSE)),4,FALSE)</f>
        <v>0.5</v>
      </c>
      <c r="I44" s="100"/>
      <c r="J44" s="103" t="s">
        <v>28</v>
      </c>
      <c r="K44" s="101">
        <f ca="1">VLOOKUP($B44,INDIRECT(VLOOKUP($E$7,$M$2:$N$20,2,FALSE)),29,FALSE)</f>
        <v>37300</v>
      </c>
      <c r="L44" s="1"/>
      <c r="M44" s="86"/>
      <c r="N44" s="88"/>
    </row>
    <row r="45" spans="1:14" s="2" customFormat="1" x14ac:dyDescent="0.3">
      <c r="A45" s="123" t="s">
        <v>0</v>
      </c>
      <c r="B45" s="124" t="str">
        <f ca="1">VLOOKUP($B44,Salary_Master_2,4,FALSE)</f>
        <v>Technician</v>
      </c>
      <c r="C45" s="124"/>
      <c r="D45" s="103" t="s">
        <v>70</v>
      </c>
      <c r="E45" s="337" t="str">
        <f ca="1">VLOOKUP($B44,Salary_Master_2,9,FALSE)</f>
        <v xml:space="preserve">Extension in service </v>
      </c>
      <c r="F45" s="337"/>
      <c r="G45" s="97" t="s">
        <v>25</v>
      </c>
      <c r="H45" s="102">
        <f ca="1">VLOOKUP($B44,INDIRECT(VLOOKUP($E$7,$M$2:$N$20,2,FALSE)),5,FALSE)</f>
        <v>0</v>
      </c>
      <c r="I45" s="97"/>
      <c r="J45" s="103" t="s">
        <v>29</v>
      </c>
      <c r="K45" s="101" t="str">
        <f ca="1">VLOOKUP($B44,INDIRECT(VLOOKUP($E$7,$M$2:$N$20,2,FALSE)),30,FALSE)</f>
        <v>Male</v>
      </c>
      <c r="L45" s="1"/>
      <c r="M45" s="86"/>
      <c r="N45" s="88"/>
    </row>
    <row r="46" spans="1:14" s="2" customFormat="1" x14ac:dyDescent="0.3">
      <c r="A46" s="123" t="s">
        <v>20</v>
      </c>
      <c r="B46" s="124" t="str">
        <f ca="1">VLOOKUP($B44,Salary_Master_2,5,FALSE)</f>
        <v>Production</v>
      </c>
      <c r="C46" s="124"/>
      <c r="D46" s="103" t="s">
        <v>71</v>
      </c>
      <c r="E46" s="337" t="str">
        <f ca="1">VLOOKUP($B44,Salary_Master_2,10,FALSE)</f>
        <v>NA</v>
      </c>
      <c r="F46" s="337"/>
      <c r="G46" s="97" t="s">
        <v>26</v>
      </c>
      <c r="H46" s="102">
        <f ca="1">VLOOKUP($B44,INDIRECT(VLOOKUP($E$7,$M$2:$N$20,2,FALSE)),6,FALSE)</f>
        <v>0</v>
      </c>
      <c r="I46" s="97"/>
      <c r="J46" s="103" t="s">
        <v>30</v>
      </c>
      <c r="K46" s="101">
        <f ca="1">VLOOKUP($B44,INDIRECT(VLOOKUP($E$7,$M$2:$N$20,2,FALSE)),31,FALSE)</f>
        <v>1</v>
      </c>
      <c r="L46" s="1"/>
      <c r="M46" s="86"/>
      <c r="N46" s="88"/>
    </row>
    <row r="47" spans="1:14" s="2" customFormat="1" x14ac:dyDescent="0.3">
      <c r="A47" s="123" t="s">
        <v>69</v>
      </c>
      <c r="B47" s="124" t="str">
        <f ca="1">VLOOKUP($B44,Salary_Master_2,6,FALSE)</f>
        <v>Ansa Factory</v>
      </c>
      <c r="C47" s="124"/>
      <c r="D47" s="104"/>
      <c r="E47" s="105"/>
      <c r="F47" s="105"/>
      <c r="G47" s="97" t="s">
        <v>23</v>
      </c>
      <c r="H47" s="102">
        <f ca="1">VLOOKUP($B44,INDIRECT(VLOOKUP($E$7,$M$2:$N$20,2,FALSE)),8,FALSE)</f>
        <v>0</v>
      </c>
      <c r="I47" s="97"/>
      <c r="J47" s="125"/>
      <c r="K47" s="101"/>
      <c r="L47" s="1"/>
      <c r="M47" s="86"/>
      <c r="N47" s="88"/>
    </row>
    <row r="48" spans="1:14" s="2" customFormat="1" x14ac:dyDescent="0.3">
      <c r="A48" s="123" t="s">
        <v>32</v>
      </c>
      <c r="B48" s="106">
        <f ca="1">VLOOKUP($B44,Salary_Master_2,7,FALSE)</f>
        <v>35947</v>
      </c>
      <c r="C48" s="106"/>
      <c r="D48" s="104"/>
      <c r="E48" s="105"/>
      <c r="F48" s="105"/>
      <c r="G48" s="97" t="s">
        <v>31</v>
      </c>
      <c r="H48" s="102">
        <f ca="1">VLOOKUP($B44,INDIRECT(VLOOKUP($E$7,$M$2:$N$20,2,FALSE)),9,FALSE)</f>
        <v>1</v>
      </c>
      <c r="I48" s="107"/>
      <c r="J48" s="107"/>
      <c r="K48" s="101"/>
      <c r="L48" s="1"/>
      <c r="M48" s="86"/>
      <c r="N48" s="88"/>
    </row>
    <row r="49" spans="1:14" s="2" customFormat="1" ht="3" customHeight="1" x14ac:dyDescent="0.3">
      <c r="A49" s="108"/>
      <c r="B49" s="109"/>
      <c r="C49" s="109"/>
      <c r="D49" s="109"/>
      <c r="E49" s="110"/>
      <c r="F49" s="110"/>
      <c r="G49" s="109"/>
      <c r="H49" s="109"/>
      <c r="I49" s="111"/>
      <c r="J49" s="111"/>
      <c r="K49" s="112"/>
      <c r="L49" s="1"/>
      <c r="M49" s="88"/>
      <c r="N49" s="88"/>
    </row>
    <row r="50" spans="1:14" s="2" customFormat="1" ht="3" customHeight="1" x14ac:dyDescent="0.3">
      <c r="A50" s="123"/>
      <c r="B50" s="113"/>
      <c r="C50" s="113"/>
      <c r="D50" s="113"/>
      <c r="E50" s="124"/>
      <c r="F50" s="124"/>
      <c r="G50" s="113"/>
      <c r="H50" s="113"/>
      <c r="I50" s="114"/>
      <c r="J50" s="114"/>
      <c r="K50" s="115"/>
      <c r="L50" s="1"/>
      <c r="M50" s="88"/>
      <c r="N50" s="88"/>
    </row>
    <row r="51" spans="1:14" s="1" customFormat="1" ht="3" customHeight="1" x14ac:dyDescent="0.3">
      <c r="A51" s="116"/>
      <c r="B51" s="117"/>
      <c r="C51" s="117"/>
      <c r="D51" s="115"/>
      <c r="E51" s="118"/>
      <c r="F51" s="118"/>
      <c r="G51" s="117"/>
      <c r="H51" s="117"/>
      <c r="I51" s="119"/>
      <c r="J51" s="119"/>
      <c r="K51" s="115"/>
      <c r="M51" s="88"/>
      <c r="N51" s="88"/>
    </row>
    <row r="52" spans="1:14" s="1" customFormat="1" ht="12" customHeight="1" x14ac:dyDescent="0.3">
      <c r="A52" s="120" t="s">
        <v>4</v>
      </c>
      <c r="B52" s="113"/>
      <c r="C52" s="113"/>
      <c r="D52" s="121" t="s">
        <v>5</v>
      </c>
      <c r="E52" s="122" t="s">
        <v>6</v>
      </c>
      <c r="F52" s="122"/>
      <c r="G52" s="113"/>
      <c r="H52" s="113"/>
      <c r="I52" s="113"/>
      <c r="J52" s="113"/>
      <c r="K52" s="121" t="s">
        <v>5</v>
      </c>
      <c r="M52" s="86"/>
      <c r="N52" s="88"/>
    </row>
    <row r="53" spans="1:14" s="1" customFormat="1" ht="3" customHeight="1" x14ac:dyDescent="0.3">
      <c r="A53" s="108"/>
      <c r="B53" s="109"/>
      <c r="C53" s="109"/>
      <c r="D53" s="112"/>
      <c r="E53" s="110"/>
      <c r="F53" s="110"/>
      <c r="G53" s="109"/>
      <c r="H53" s="109"/>
      <c r="I53" s="111"/>
      <c r="J53" s="111"/>
      <c r="K53" s="112"/>
      <c r="M53" s="88"/>
      <c r="N53" s="88"/>
    </row>
    <row r="54" spans="1:14" s="1" customFormat="1" ht="3" customHeight="1" x14ac:dyDescent="0.3">
      <c r="A54" s="123"/>
      <c r="B54" s="113"/>
      <c r="C54" s="113"/>
      <c r="D54" s="101"/>
      <c r="E54" s="124"/>
      <c r="F54" s="124"/>
      <c r="G54" s="113"/>
      <c r="H54" s="113"/>
      <c r="I54" s="114"/>
      <c r="J54" s="114"/>
      <c r="K54" s="101"/>
      <c r="M54" s="88"/>
      <c r="N54" s="88"/>
    </row>
    <row r="55" spans="1:14" s="1" customFormat="1" ht="12" customHeight="1" x14ac:dyDescent="0.3">
      <c r="A55" s="324" t="s">
        <v>7</v>
      </c>
      <c r="B55" s="325"/>
      <c r="C55" s="326">
        <f ca="1">VLOOKUP($B44,INDIRECT(VLOOKUP($E43,$M$2:$N$20,2,FALSE)),13,FALSE)</f>
        <v>11500</v>
      </c>
      <c r="D55" s="327"/>
      <c r="E55" s="324" t="s">
        <v>8</v>
      </c>
      <c r="F55" s="325"/>
      <c r="G55" s="325"/>
      <c r="H55" s="325"/>
      <c r="I55" s="325"/>
      <c r="J55" s="326">
        <f ca="1">VLOOKUP($B44,INDIRECT(VLOOKUP($E43,$M$2:$N$20,2,FALSE)),22,FALSE)</f>
        <v>0</v>
      </c>
      <c r="K55" s="327"/>
      <c r="M55" s="86"/>
      <c r="N55" s="88"/>
    </row>
    <row r="56" spans="1:14" s="1" customFormat="1" ht="12" customHeight="1" x14ac:dyDescent="0.3">
      <c r="A56" s="324" t="s">
        <v>9</v>
      </c>
      <c r="B56" s="325"/>
      <c r="C56" s="326">
        <f ca="1">VLOOKUP($B44,INDIRECT(VLOOKUP($E43,$M$2:$N$20,2,FALSE)),14,FALSE)</f>
        <v>4600</v>
      </c>
      <c r="D56" s="327"/>
      <c r="E56" s="324" t="s">
        <v>94</v>
      </c>
      <c r="F56" s="325"/>
      <c r="G56" s="325"/>
      <c r="H56" s="325"/>
      <c r="I56" s="325"/>
      <c r="J56" s="326">
        <f ca="1">VLOOKUP($B44,INDIRECT(VLOOKUP($E43,$M$2:$N$20,2,FALSE)),23,FALSE)</f>
        <v>0</v>
      </c>
      <c r="K56" s="327"/>
      <c r="M56" s="86"/>
      <c r="N56" s="88"/>
    </row>
    <row r="57" spans="1:14" s="1" customFormat="1" ht="12" customHeight="1" x14ac:dyDescent="0.3">
      <c r="A57" s="324" t="s">
        <v>11</v>
      </c>
      <c r="B57" s="325"/>
      <c r="C57" s="326">
        <f ca="1">VLOOKUP($B44,INDIRECT(VLOOKUP($E43,$M$2:$N$20,2,FALSE)),15,FALSE)</f>
        <v>1600</v>
      </c>
      <c r="D57" s="327"/>
      <c r="E57" s="324" t="s">
        <v>10</v>
      </c>
      <c r="F57" s="325"/>
      <c r="G57" s="325"/>
      <c r="H57" s="325"/>
      <c r="I57" s="325"/>
      <c r="J57" s="326">
        <f ca="1">VLOOKUP($B44,INDIRECT(VLOOKUP($E43,$M$2:$N$20,2,FALSE)),24,FALSE)</f>
        <v>0</v>
      </c>
      <c r="K57" s="327"/>
      <c r="M57" s="87"/>
      <c r="N57" s="86"/>
    </row>
    <row r="58" spans="1:14" s="1" customFormat="1" ht="12" customHeight="1" x14ac:dyDescent="0.3">
      <c r="A58" s="324" t="s">
        <v>3</v>
      </c>
      <c r="B58" s="325"/>
      <c r="C58" s="326">
        <f ca="1">VLOOKUP($B44,INDIRECT(VLOOKUP($E43,$M$2:$N$20,2,FALSE)),16,FALSE)</f>
        <v>958</v>
      </c>
      <c r="D58" s="327"/>
      <c r="E58" s="324" t="s">
        <v>93</v>
      </c>
      <c r="F58" s="325"/>
      <c r="G58" s="325"/>
      <c r="H58" s="325"/>
      <c r="I58" s="325"/>
      <c r="J58" s="326">
        <f ca="1">VLOOKUP($B44,INDIRECT(VLOOKUP($E43,$M$2:$N$20,2,FALSE)),25,FALSE)</f>
        <v>0</v>
      </c>
      <c r="K58" s="327"/>
      <c r="M58" s="87"/>
      <c r="N58" s="89"/>
    </row>
    <row r="59" spans="1:14" s="1" customFormat="1" ht="12" customHeight="1" x14ac:dyDescent="0.3">
      <c r="A59" s="324" t="s">
        <v>13</v>
      </c>
      <c r="B59" s="325"/>
      <c r="C59" s="326">
        <f ca="1">VLOOKUP($B44,INDIRECT(VLOOKUP($E43,$M$2:$N$20,2,FALSE)),17,FALSE)</f>
        <v>18842</v>
      </c>
      <c r="D59" s="327"/>
      <c r="E59" s="324" t="s">
        <v>12</v>
      </c>
      <c r="F59" s="325"/>
      <c r="G59" s="325"/>
      <c r="H59" s="325"/>
      <c r="I59" s="325"/>
      <c r="J59" s="326">
        <f ca="1">VLOOKUP($B44,INDIRECT(VLOOKUP($E43,$M$2:$N$20,2,FALSE)),26,FALSE)</f>
        <v>200</v>
      </c>
      <c r="K59" s="327"/>
      <c r="M59" s="88" t="s">
        <v>73</v>
      </c>
      <c r="N59" s="88" t="str">
        <f ca="1">IF(VLOOKUP($B44,INDIRECT(VLOOKUP($E43,$M$2:$N$20,2,FALSE)),38,FALSE)&gt;0,"Yes","No")</f>
        <v>No</v>
      </c>
    </row>
    <row r="60" spans="1:14" s="1" customFormat="1" ht="12" customHeight="1" x14ac:dyDescent="0.3">
      <c r="A60" s="324" t="str">
        <f ca="1">IF($J56&gt;0,"Other Allowance",IF(VLOOKUP($B44,INDIRECT(VLOOKUP($E43,$M$2:$N$20,2,FALSE)),44,FALSE)=0,"",IF($E43=DATE(2025,6,1),"Arrears of Apr &amp; May-2025","")))</f>
        <v>Arrears of Apr &amp; May-2025</v>
      </c>
      <c r="B60" s="325"/>
      <c r="C60" s="326" cm="1">
        <f t="array" aca="1" ref="C60" ca="1">_xlfn.IFS($A60="","",$A60="Other Allowance",VLOOKUP($B44,INDIRECT(VLOOKUP($E43,$M$2:$N$20,2,FALSE)),18,FALSE),$A60="Arrears of Apr &amp; May-2025",VLOOKUP($B44,INDIRECT(VLOOKUP($E43,$M$2:$N$20,2,FALSE)),44,FALSE))</f>
        <v>4000</v>
      </c>
      <c r="D60" s="327"/>
      <c r="E60" s="324" t="str" cm="1">
        <f t="array" aca="1" ref="E60" ca="1">_xlfn.IFS(N59="Yes",M59,N60="Yes",M60,TRUE,"")</f>
        <v/>
      </c>
      <c r="F60" s="325"/>
      <c r="G60" s="325"/>
      <c r="H60" s="325"/>
      <c r="I60" s="325"/>
      <c r="J60" s="335" t="str" cm="1">
        <f t="array" aca="1" ref="J60" ca="1">IF(E60="","",_xlfn.IFS(N59="Yes",VLOOKUP($B44,INDIRECT(VLOOKUP($E43,$M$2:$N$20,2,FALSE)),27,FALSE),N60="Yes",VLOOKUP($B44,INDIRECT(VLOOKUP($E43,$M$2:$N$20,2,FALSE)),28,FALSE)))</f>
        <v/>
      </c>
      <c r="K60" s="336"/>
      <c r="M60" s="88" t="s">
        <v>14</v>
      </c>
      <c r="N60" s="88" t="str">
        <f ca="1">IF(VLOOKUP($B44,INDIRECT(VLOOKUP($E$7,$M$2:$N$20,2,FALSE)),39,FALSE)&gt;0,"Yes","No")</f>
        <v>No</v>
      </c>
    </row>
    <row r="61" spans="1:14" s="1" customFormat="1" ht="12" customHeight="1" x14ac:dyDescent="0.3">
      <c r="A61" s="324" t="str" cm="1">
        <f t="array" aca="1" ref="A61" ca="1">_xlfn.IFS($A60="","",$A60="Other Allowance","EPF",$A60="Arrears of Apr &amp; May-2025","",VLOOKUP($B44,INDIRECT(VLOOKUP($E43,$M$2:$N$20,2,FALSE)),44,FALSE)=0,"",$E43=DATE(2025,6,1),"Arrears of Apr &amp; May-2025")</f>
        <v/>
      </c>
      <c r="B61" s="325"/>
      <c r="C61" s="326" t="str" cm="1">
        <f t="array" aca="1" ref="C61" ca="1">_xlfn.IFS($A61="","",$A61="EPF",VLOOKUP($B44,INDIRECT(VLOOKUP($E43,$M$2:$N$20,2,FALSE)),19,FALSE),$A61="Arrears of Apr &amp; May-2025",VLOOKUP($B44,INDIRECT(VLOOKUP($E43,$M$2:$N$20,2,FALSE)),44,FALSE))</f>
        <v/>
      </c>
      <c r="D61" s="327"/>
      <c r="E61" s="324" t="str" cm="1">
        <f t="array" aca="1" ref="E61" ca="1">_xlfn.IFS(N60="No","",N59="Yes",M60,TRUE,"")</f>
        <v/>
      </c>
      <c r="F61" s="325"/>
      <c r="G61" s="325"/>
      <c r="H61" s="325"/>
      <c r="I61" s="325"/>
      <c r="J61" s="335" t="str">
        <f ca="1">IF(E61="","",VLOOKUP($B44,INDIRECT(VLOOKUP($E43,$M$2:$N$20,2,FALSE)),28,FALSE))</f>
        <v/>
      </c>
      <c r="K61" s="336"/>
      <c r="M61" s="130"/>
      <c r="N61" s="88"/>
    </row>
    <row r="62" spans="1:14" s="1" customFormat="1" ht="12" customHeight="1" x14ac:dyDescent="0.3">
      <c r="A62" s="324" t="str">
        <f ca="1">IF($J58&gt;0,"ESIC (Employer)",IF($A61="","",IF(VLOOKUP($B44,INDIRECT(VLOOKUP($E43,$M$2:$N$20,2,FALSE)),44,FALSE)="","",IF($E43=DATE(2025,6,1),"Arrears of Apr &amp; May-2025",""))))</f>
        <v/>
      </c>
      <c r="B62" s="325"/>
      <c r="C62" s="326" t="str" cm="1">
        <f t="array" aca="1" ref="C62" ca="1">_xlfn.IFS($A62="","",$A62="ESIC (Employer)",VLOOKUP($B44,INDIRECT(VLOOKUP($E43,$M$2:$N$20,2,FALSE)),20,FALSE),$A62="Arrears of Apr &amp; May-2025",VLOOKUP($B44,INDIRECT(VLOOKUP($E43,$M$2:$N$20,2,FALSE)),44,FALSE))</f>
        <v/>
      </c>
      <c r="D62" s="327"/>
      <c r="E62" s="324"/>
      <c r="F62" s="325"/>
      <c r="G62" s="325"/>
      <c r="H62" s="325"/>
      <c r="I62" s="325"/>
      <c r="J62" s="335"/>
      <c r="K62" s="336"/>
      <c r="M62" s="88"/>
      <c r="N62" s="88"/>
    </row>
    <row r="63" spans="1:14" s="1" customFormat="1" ht="12" customHeight="1" x14ac:dyDescent="0.3">
      <c r="A63" s="324" t="str">
        <f ca="1">IF($A62="","",IF(VLOOKUP($B44,INDIRECT(VLOOKUP($E43,$M$2:$N$20,2,FALSE)),44,FALSE)=0,"",IF($A62="Arrears of Apr &amp; May-2025","",IF($E43=DATE(2025,6,1),"Arrears of Apr &amp; May-2025",""))))</f>
        <v/>
      </c>
      <c r="B63" s="325"/>
      <c r="C63" s="326" t="str" cm="1">
        <f t="array" aca="1" ref="C63" ca="1">_xlfn.IFS($A63="","",$A63="Arrears of Apr &amp; May-2025",VLOOKUP($B44,INDIRECT(VLOOKUP($E43,$M$2:$N$20,2,FALSE)),44,FALSE))</f>
        <v/>
      </c>
      <c r="D63" s="327"/>
      <c r="E63" s="324"/>
      <c r="F63" s="325"/>
      <c r="G63" s="325"/>
      <c r="H63" s="325"/>
      <c r="I63" s="325"/>
      <c r="J63" s="335"/>
      <c r="K63" s="336"/>
      <c r="M63" s="88"/>
      <c r="N63" s="88"/>
    </row>
    <row r="64" spans="1:14" s="1" customFormat="1" ht="12" customHeight="1" x14ac:dyDescent="0.3">
      <c r="A64" s="324"/>
      <c r="B64" s="325"/>
      <c r="C64" s="326"/>
      <c r="D64" s="327"/>
      <c r="E64" s="124"/>
      <c r="F64" s="124"/>
      <c r="G64" s="124"/>
      <c r="H64" s="124"/>
      <c r="I64" s="124"/>
      <c r="J64" s="335"/>
      <c r="K64" s="336"/>
      <c r="M64" s="88"/>
      <c r="N64" s="88"/>
    </row>
    <row r="65" spans="1:14" s="1" customFormat="1" ht="3" customHeight="1" x14ac:dyDescent="0.3">
      <c r="A65" s="108"/>
      <c r="B65" s="109"/>
      <c r="C65" s="109"/>
      <c r="D65" s="112"/>
      <c r="E65" s="110"/>
      <c r="F65" s="110"/>
      <c r="G65" s="109"/>
      <c r="H65" s="109"/>
      <c r="I65" s="111"/>
      <c r="J65" s="111"/>
      <c r="K65" s="112"/>
      <c r="M65" s="88"/>
      <c r="N65" s="88"/>
    </row>
    <row r="66" spans="1:14" s="1" customFormat="1" ht="3" customHeight="1" x14ac:dyDescent="0.3">
      <c r="A66" s="123"/>
      <c r="B66" s="113"/>
      <c r="C66" s="113"/>
      <c r="D66" s="101"/>
      <c r="E66" s="124"/>
      <c r="F66" s="124"/>
      <c r="G66" s="113"/>
      <c r="H66" s="113"/>
      <c r="I66" s="114"/>
      <c r="J66" s="114"/>
      <c r="K66" s="101"/>
      <c r="M66" s="88"/>
      <c r="N66" s="88"/>
    </row>
    <row r="67" spans="1:14" s="4" customFormat="1" ht="19.95" customHeight="1" x14ac:dyDescent="0.3">
      <c r="A67" s="328" t="s">
        <v>15</v>
      </c>
      <c r="B67" s="329"/>
      <c r="C67" s="330">
        <f ca="1">SUM(C55:D66)</f>
        <v>41500</v>
      </c>
      <c r="D67" s="331"/>
      <c r="E67" s="328" t="s">
        <v>16</v>
      </c>
      <c r="F67" s="329"/>
      <c r="G67" s="329"/>
      <c r="H67" s="329"/>
      <c r="I67" s="329"/>
      <c r="J67" s="330">
        <f ca="1">SUM(J55:K63)</f>
        <v>200</v>
      </c>
      <c r="K67" s="331"/>
      <c r="M67" s="129"/>
      <c r="N67" s="90"/>
    </row>
    <row r="68" spans="1:14" s="1" customFormat="1" ht="3" customHeight="1" x14ac:dyDescent="0.3">
      <c r="A68" s="108"/>
      <c r="B68" s="109"/>
      <c r="C68" s="109"/>
      <c r="D68" s="112"/>
      <c r="E68" s="110"/>
      <c r="F68" s="110"/>
      <c r="G68" s="109"/>
      <c r="H68" s="109"/>
      <c r="I68" s="111"/>
      <c r="J68" s="111"/>
      <c r="K68" s="112"/>
      <c r="M68" s="88"/>
      <c r="N68" s="88"/>
    </row>
    <row r="69" spans="1:14" s="1" customFormat="1" ht="3" customHeight="1" x14ac:dyDescent="0.3">
      <c r="A69" s="123"/>
      <c r="B69" s="113"/>
      <c r="C69" s="113"/>
      <c r="D69" s="117"/>
      <c r="E69" s="118"/>
      <c r="F69" s="124"/>
      <c r="G69" s="113"/>
      <c r="H69" s="126"/>
      <c r="I69" s="119"/>
      <c r="J69" s="119"/>
      <c r="K69" s="115"/>
      <c r="M69" s="88"/>
      <c r="N69" s="88"/>
    </row>
    <row r="70" spans="1:14" s="5" customFormat="1" ht="19.95" customHeight="1" x14ac:dyDescent="0.3">
      <c r="A70" s="328" t="str" cm="1">
        <f t="array" aca="1" ref="A70" ca="1">mgm(J70)</f>
        <v>Rupees Forty One Thousand Three Hundred Only</v>
      </c>
      <c r="B70" s="329"/>
      <c r="C70" s="329"/>
      <c r="D70" s="329"/>
      <c r="E70" s="329"/>
      <c r="F70" s="329"/>
      <c r="G70" s="332"/>
      <c r="H70" s="333" t="s">
        <v>17</v>
      </c>
      <c r="I70" s="334"/>
      <c r="J70" s="330">
        <f ca="1">C67-J67</f>
        <v>41300</v>
      </c>
      <c r="K70" s="331"/>
      <c r="L70" s="205"/>
      <c r="M70" s="90"/>
      <c r="N70" s="90"/>
    </row>
    <row r="71" spans="1:14" s="1" customFormat="1" ht="3" customHeight="1" x14ac:dyDescent="0.3">
      <c r="A71" s="108"/>
      <c r="B71" s="109"/>
      <c r="C71" s="109"/>
      <c r="D71" s="109"/>
      <c r="E71" s="110"/>
      <c r="F71" s="110"/>
      <c r="G71" s="109"/>
      <c r="H71" s="127"/>
      <c r="I71" s="111"/>
      <c r="J71" s="111"/>
      <c r="K71" s="112"/>
      <c r="M71" s="88"/>
      <c r="N71" s="88"/>
    </row>
    <row r="72" spans="1:14" s="1" customFormat="1" ht="19.95" customHeight="1" x14ac:dyDescent="0.3">
      <c r="A72" s="323" t="s">
        <v>18</v>
      </c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M72" s="88"/>
      <c r="N72" s="88"/>
    </row>
    <row r="73" spans="1:14" s="132" customFormat="1" ht="60" customHeight="1" x14ac:dyDescent="0.3">
      <c r="A73" s="181"/>
      <c r="E73" s="181"/>
      <c r="F73" s="181"/>
    </row>
    <row r="74" spans="1:14" s="2" customFormat="1" ht="19.95" customHeight="1" x14ac:dyDescent="0.3">
      <c r="A74" s="338" t="s">
        <v>107</v>
      </c>
      <c r="B74" s="339"/>
      <c r="C74" s="339"/>
      <c r="D74" s="339"/>
      <c r="E74" s="339"/>
      <c r="F74" s="339"/>
      <c r="G74" s="339"/>
      <c r="H74" s="339"/>
      <c r="I74" s="339"/>
      <c r="J74" s="339"/>
      <c r="K74" s="340"/>
      <c r="L74" s="1"/>
      <c r="M74" s="86"/>
      <c r="N74" s="87"/>
    </row>
    <row r="75" spans="1:14" s="2" customFormat="1" ht="15" customHeight="1" x14ac:dyDescent="0.3">
      <c r="A75" s="341" t="s">
        <v>180</v>
      </c>
      <c r="B75" s="342"/>
      <c r="C75" s="342"/>
      <c r="D75" s="342"/>
      <c r="E75" s="342"/>
      <c r="F75" s="342"/>
      <c r="G75" s="342"/>
      <c r="H75" s="342"/>
      <c r="I75" s="342"/>
      <c r="J75" s="342"/>
      <c r="K75" s="343"/>
      <c r="L75" s="1"/>
      <c r="M75" s="86"/>
      <c r="N75" s="88"/>
    </row>
    <row r="76" spans="1:14" s="2" customFormat="1" ht="15" customHeight="1" x14ac:dyDescent="0.3">
      <c r="A76" s="344" t="s">
        <v>72</v>
      </c>
      <c r="B76" s="345"/>
      <c r="C76" s="345"/>
      <c r="D76" s="345"/>
      <c r="E76" s="345"/>
      <c r="F76" s="345"/>
      <c r="G76" s="345"/>
      <c r="H76" s="345"/>
      <c r="I76" s="345"/>
      <c r="J76" s="345"/>
      <c r="K76" s="346"/>
      <c r="L76" s="1"/>
      <c r="M76" s="86"/>
      <c r="N76" s="88"/>
    </row>
    <row r="77" spans="1:14" s="2" customFormat="1" ht="4.95" customHeight="1" x14ac:dyDescent="0.3">
      <c r="A77" s="92"/>
      <c r="B77" s="347"/>
      <c r="C77" s="347"/>
      <c r="D77" s="347"/>
      <c r="E77" s="347"/>
      <c r="F77" s="347"/>
      <c r="G77" s="347"/>
      <c r="H77" s="347"/>
      <c r="I77" s="347"/>
      <c r="J77" s="347"/>
      <c r="K77" s="348"/>
      <c r="L77" s="1"/>
      <c r="M77" s="88"/>
      <c r="N77" s="88"/>
    </row>
    <row r="78" spans="1:14" s="2" customFormat="1" ht="3" customHeight="1" x14ac:dyDescent="0.3">
      <c r="A78" s="93"/>
      <c r="B78" s="94"/>
      <c r="C78" s="94"/>
      <c r="D78" s="94"/>
      <c r="E78" s="95"/>
      <c r="F78" s="95"/>
      <c r="G78" s="94"/>
      <c r="H78" s="94"/>
      <c r="I78" s="94"/>
      <c r="J78" s="94"/>
      <c r="K78" s="96"/>
      <c r="L78" s="1"/>
      <c r="M78" s="88"/>
      <c r="N78" s="88"/>
    </row>
    <row r="79" spans="1:14" s="2" customFormat="1" x14ac:dyDescent="0.3">
      <c r="A79" s="123" t="s">
        <v>68</v>
      </c>
      <c r="B79" s="124" t="str">
        <f ca="1">VLOOKUP($B80,Salary_Master_2,3,FALSE)</f>
        <v>H003</v>
      </c>
      <c r="C79" s="349" t="s">
        <v>21</v>
      </c>
      <c r="D79" s="349"/>
      <c r="E79" s="350">
        <f>IF($E$1="","",$E$1)</f>
        <v>45809</v>
      </c>
      <c r="F79" s="350"/>
      <c r="G79" s="97" t="s">
        <v>22</v>
      </c>
      <c r="H79" s="98">
        <f ca="1">VLOOKUP($B80,INDIRECT(VLOOKUP($E$7,$M$2:$N$20,2,FALSE)),3,FALSE)</f>
        <v>28</v>
      </c>
      <c r="I79" s="99"/>
      <c r="J79" s="100" t="s">
        <v>27</v>
      </c>
      <c r="K79" s="101"/>
      <c r="L79" s="1"/>
      <c r="M79" s="86"/>
      <c r="N79" s="88"/>
    </row>
    <row r="80" spans="1:14" s="2" customFormat="1" x14ac:dyDescent="0.3">
      <c r="A80" s="123" t="s">
        <v>19</v>
      </c>
      <c r="B80" s="124" t="str">
        <f ca="1">IF(Salary_Master_2!$B$7="","",VLOOKUP(Salary_Master_2!$B$7,INDIRECT(VLOOKUP($E79,$M$2:$N$20,2,FALSE)),1,FALSE))</f>
        <v>Rajan Fernandes</v>
      </c>
      <c r="C80" s="351" t="s">
        <v>1</v>
      </c>
      <c r="D80" s="351"/>
      <c r="E80" s="352">
        <f ca="1">SUM($H79:$H82)</f>
        <v>31</v>
      </c>
      <c r="F80" s="352"/>
      <c r="G80" s="97" t="s">
        <v>24</v>
      </c>
      <c r="H80" s="102">
        <f ca="1">VLOOKUP($B80,INDIRECT(VLOOKUP($E$7,$M$2:$N$20,2,FALSE)),4,FALSE)</f>
        <v>3</v>
      </c>
      <c r="I80" s="100"/>
      <c r="J80" s="103" t="s">
        <v>28</v>
      </c>
      <c r="K80" s="101">
        <f ca="1">VLOOKUP($B80,INDIRECT(VLOOKUP($E$7,$M$2:$N$20,2,FALSE)),29,FALSE)</f>
        <v>60300</v>
      </c>
      <c r="L80" s="1"/>
      <c r="M80" s="86"/>
      <c r="N80" s="88"/>
    </row>
    <row r="81" spans="1:14" s="2" customFormat="1" x14ac:dyDescent="0.3">
      <c r="A81" s="123" t="s">
        <v>0</v>
      </c>
      <c r="B81" s="124" t="str">
        <f ca="1">VLOOKUP($B80,Salary_Master_2,4,FALSE)</f>
        <v>General Manager- Marketing</v>
      </c>
      <c r="C81" s="124"/>
      <c r="D81" s="103" t="s">
        <v>70</v>
      </c>
      <c r="E81" s="337" t="str">
        <f ca="1">VLOOKUP($B80,Salary_Master_2,9,FALSE)</f>
        <v>NA</v>
      </c>
      <c r="F81" s="337"/>
      <c r="G81" s="97" t="s">
        <v>25</v>
      </c>
      <c r="H81" s="102">
        <f ca="1">VLOOKUP($B80,INDIRECT(VLOOKUP($E$7,$M$2:$N$20,2,FALSE)),5,FALSE)</f>
        <v>0</v>
      </c>
      <c r="I81" s="97"/>
      <c r="J81" s="103" t="s">
        <v>29</v>
      </c>
      <c r="K81" s="101" t="str">
        <f ca="1">VLOOKUP($B80,INDIRECT(VLOOKUP($E$7,$M$2:$N$20,2,FALSE)),30,FALSE)</f>
        <v>Male</v>
      </c>
      <c r="L81" s="1"/>
      <c r="M81" s="86"/>
      <c r="N81" s="88"/>
    </row>
    <row r="82" spans="1:14" s="2" customFormat="1" x14ac:dyDescent="0.3">
      <c r="A82" s="123" t="s">
        <v>20</v>
      </c>
      <c r="B82" s="124" t="str">
        <f ca="1">VLOOKUP($B80,Salary_Master_2,5,FALSE)</f>
        <v>Sales</v>
      </c>
      <c r="C82" s="124"/>
      <c r="D82" s="103" t="s">
        <v>71</v>
      </c>
      <c r="E82" s="337" t="str">
        <f ca="1">VLOOKUP($B80,Salary_Master_2,10,FALSE)</f>
        <v>NA</v>
      </c>
      <c r="F82" s="337"/>
      <c r="G82" s="97" t="s">
        <v>26</v>
      </c>
      <c r="H82" s="102">
        <f ca="1">VLOOKUP($B80,INDIRECT(VLOOKUP($E$7,$M$2:$N$20,2,FALSE)),6,FALSE)</f>
        <v>0</v>
      </c>
      <c r="I82" s="97"/>
      <c r="J82" s="103" t="s">
        <v>30</v>
      </c>
      <c r="K82" s="101">
        <f ca="1">VLOOKUP($B80,INDIRECT(VLOOKUP($E$7,$M$2:$N$20,2,FALSE)),31,FALSE)</f>
        <v>-3</v>
      </c>
      <c r="L82" s="1"/>
      <c r="M82" s="86"/>
      <c r="N82" s="88"/>
    </row>
    <row r="83" spans="1:14" s="2" customFormat="1" x14ac:dyDescent="0.3">
      <c r="A83" s="123" t="s">
        <v>69</v>
      </c>
      <c r="B83" s="124" t="str">
        <f ca="1">VLOOKUP($B80,Salary_Master_2,6,FALSE)</f>
        <v>HO</v>
      </c>
      <c r="C83" s="124"/>
      <c r="D83" s="104"/>
      <c r="E83" s="105"/>
      <c r="F83" s="105"/>
      <c r="G83" s="97" t="s">
        <v>23</v>
      </c>
      <c r="H83" s="102">
        <f ca="1">VLOOKUP($B80,INDIRECT(VLOOKUP($E$7,$M$2:$N$20,2,FALSE)),8,FALSE)</f>
        <v>0</v>
      </c>
      <c r="I83" s="97"/>
      <c r="J83" s="125"/>
      <c r="K83" s="101"/>
      <c r="L83" s="1"/>
      <c r="M83" s="86"/>
      <c r="N83" s="88"/>
    </row>
    <row r="84" spans="1:14" s="2" customFormat="1" x14ac:dyDescent="0.3">
      <c r="A84" s="123" t="s">
        <v>32</v>
      </c>
      <c r="B84" s="106">
        <f ca="1">VLOOKUP($B80,Salary_Master_2,7,FALSE)</f>
        <v>37218</v>
      </c>
      <c r="C84" s="106"/>
      <c r="D84" s="104"/>
      <c r="E84" s="105"/>
      <c r="F84" s="105"/>
      <c r="G84" s="97" t="s">
        <v>31</v>
      </c>
      <c r="H84" s="102">
        <f ca="1">VLOOKUP($B80,INDIRECT(VLOOKUP($E$7,$M$2:$N$20,2,FALSE)),9,FALSE)</f>
        <v>0</v>
      </c>
      <c r="I84" s="107"/>
      <c r="J84" s="107"/>
      <c r="K84" s="101"/>
      <c r="L84" s="1"/>
      <c r="M84" s="86"/>
      <c r="N84" s="88"/>
    </row>
    <row r="85" spans="1:14" s="2" customFormat="1" ht="3" customHeight="1" x14ac:dyDescent="0.3">
      <c r="A85" s="108"/>
      <c r="B85" s="109"/>
      <c r="C85" s="109"/>
      <c r="D85" s="109"/>
      <c r="E85" s="110"/>
      <c r="F85" s="110"/>
      <c r="G85" s="109"/>
      <c r="H85" s="109"/>
      <c r="I85" s="111"/>
      <c r="J85" s="111"/>
      <c r="K85" s="112"/>
      <c r="L85" s="1"/>
      <c r="M85" s="88"/>
      <c r="N85" s="88"/>
    </row>
    <row r="86" spans="1:14" s="2" customFormat="1" ht="3" customHeight="1" x14ac:dyDescent="0.3">
      <c r="A86" s="123"/>
      <c r="B86" s="113"/>
      <c r="C86" s="113"/>
      <c r="D86" s="113"/>
      <c r="E86" s="124"/>
      <c r="F86" s="124"/>
      <c r="G86" s="113"/>
      <c r="H86" s="113"/>
      <c r="I86" s="114"/>
      <c r="J86" s="114"/>
      <c r="K86" s="115"/>
      <c r="L86" s="1"/>
      <c r="M86" s="88"/>
      <c r="N86" s="88"/>
    </row>
    <row r="87" spans="1:14" s="1" customFormat="1" ht="3" customHeight="1" x14ac:dyDescent="0.3">
      <c r="A87" s="116"/>
      <c r="B87" s="117"/>
      <c r="C87" s="117"/>
      <c r="D87" s="115"/>
      <c r="E87" s="118"/>
      <c r="F87" s="118"/>
      <c r="G87" s="117"/>
      <c r="H87" s="117"/>
      <c r="I87" s="119"/>
      <c r="J87" s="119"/>
      <c r="K87" s="115"/>
      <c r="M87" s="88"/>
      <c r="N87" s="88"/>
    </row>
    <row r="88" spans="1:14" s="1" customFormat="1" ht="12" customHeight="1" x14ac:dyDescent="0.3">
      <c r="A88" s="120" t="s">
        <v>4</v>
      </c>
      <c r="B88" s="113"/>
      <c r="C88" s="113"/>
      <c r="D88" s="121" t="s">
        <v>5</v>
      </c>
      <c r="E88" s="122" t="s">
        <v>6</v>
      </c>
      <c r="F88" s="122"/>
      <c r="G88" s="113"/>
      <c r="H88" s="113"/>
      <c r="I88" s="113"/>
      <c r="J88" s="113"/>
      <c r="K88" s="121" t="s">
        <v>5</v>
      </c>
      <c r="M88" s="86"/>
      <c r="N88" s="88"/>
    </row>
    <row r="89" spans="1:14" s="1" customFormat="1" ht="3" customHeight="1" x14ac:dyDescent="0.3">
      <c r="A89" s="108"/>
      <c r="B89" s="109"/>
      <c r="C89" s="109"/>
      <c r="D89" s="112"/>
      <c r="E89" s="110"/>
      <c r="F89" s="110"/>
      <c r="G89" s="109"/>
      <c r="H89" s="109"/>
      <c r="I89" s="111"/>
      <c r="J89" s="111"/>
      <c r="K89" s="112"/>
      <c r="M89" s="88"/>
      <c r="N89" s="88"/>
    </row>
    <row r="90" spans="1:14" s="1" customFormat="1" ht="3" customHeight="1" x14ac:dyDescent="0.3">
      <c r="A90" s="123"/>
      <c r="B90" s="113"/>
      <c r="C90" s="113"/>
      <c r="D90" s="101"/>
      <c r="E90" s="124"/>
      <c r="F90" s="124"/>
      <c r="G90" s="113"/>
      <c r="H90" s="113"/>
      <c r="I90" s="114"/>
      <c r="J90" s="114"/>
      <c r="K90" s="101"/>
      <c r="M90" s="88"/>
      <c r="N90" s="88"/>
    </row>
    <row r="91" spans="1:14" s="1" customFormat="1" ht="12" customHeight="1" x14ac:dyDescent="0.3">
      <c r="A91" s="324" t="s">
        <v>7</v>
      </c>
      <c r="B91" s="325"/>
      <c r="C91" s="326">
        <f ca="1">VLOOKUP($B80,INDIRECT(VLOOKUP($E79,$M$2:$N$20,2,FALSE)),13,FALSE)</f>
        <v>20000</v>
      </c>
      <c r="D91" s="327"/>
      <c r="E91" s="324" t="s">
        <v>8</v>
      </c>
      <c r="F91" s="325"/>
      <c r="G91" s="325"/>
      <c r="H91" s="325"/>
      <c r="I91" s="325"/>
      <c r="J91" s="326">
        <f ca="1">VLOOKUP($B80,INDIRECT(VLOOKUP($E79,$M$2:$N$20,2,FALSE)),22,FALSE)</f>
        <v>0</v>
      </c>
      <c r="K91" s="327"/>
      <c r="M91" s="86"/>
      <c r="N91" s="88"/>
    </row>
    <row r="92" spans="1:14" s="1" customFormat="1" ht="12" customHeight="1" x14ac:dyDescent="0.3">
      <c r="A92" s="324" t="s">
        <v>9</v>
      </c>
      <c r="B92" s="325"/>
      <c r="C92" s="326">
        <f ca="1">VLOOKUP($B80,INDIRECT(VLOOKUP($E79,$M$2:$N$20,2,FALSE)),14,FALSE)</f>
        <v>10000</v>
      </c>
      <c r="D92" s="327"/>
      <c r="E92" s="324" t="s">
        <v>94</v>
      </c>
      <c r="F92" s="325"/>
      <c r="G92" s="325"/>
      <c r="H92" s="325"/>
      <c r="I92" s="325"/>
      <c r="J92" s="326">
        <f ca="1">VLOOKUP($B80,INDIRECT(VLOOKUP($E79,$M$2:$N$20,2,FALSE)),23,FALSE)</f>
        <v>0</v>
      </c>
      <c r="K92" s="327"/>
      <c r="M92" s="86"/>
      <c r="N92" s="88"/>
    </row>
    <row r="93" spans="1:14" s="1" customFormat="1" ht="12" customHeight="1" x14ac:dyDescent="0.3">
      <c r="A93" s="324" t="s">
        <v>11</v>
      </c>
      <c r="B93" s="325"/>
      <c r="C93" s="326">
        <f ca="1">VLOOKUP($B80,INDIRECT(VLOOKUP($E79,$M$2:$N$20,2,FALSE)),15,FALSE)</f>
        <v>1600</v>
      </c>
      <c r="D93" s="327"/>
      <c r="E93" s="324" t="s">
        <v>10</v>
      </c>
      <c r="F93" s="325"/>
      <c r="G93" s="325"/>
      <c r="H93" s="325"/>
      <c r="I93" s="325"/>
      <c r="J93" s="326">
        <f ca="1">VLOOKUP($B80,INDIRECT(VLOOKUP($E79,$M$2:$N$20,2,FALSE)),24,FALSE)</f>
        <v>0</v>
      </c>
      <c r="K93" s="327"/>
      <c r="M93" s="87"/>
      <c r="N93" s="86"/>
    </row>
    <row r="94" spans="1:14" s="1" customFormat="1" ht="12" customHeight="1" x14ac:dyDescent="0.3">
      <c r="A94" s="324" t="s">
        <v>3</v>
      </c>
      <c r="B94" s="325"/>
      <c r="C94" s="326">
        <f ca="1">VLOOKUP($B80,INDIRECT(VLOOKUP($E79,$M$2:$N$20,2,FALSE)),16,FALSE)</f>
        <v>1667</v>
      </c>
      <c r="D94" s="327"/>
      <c r="E94" s="324" t="s">
        <v>93</v>
      </c>
      <c r="F94" s="325"/>
      <c r="G94" s="325"/>
      <c r="H94" s="325"/>
      <c r="I94" s="325"/>
      <c r="J94" s="326">
        <f ca="1">VLOOKUP($B80,INDIRECT(VLOOKUP($E79,$M$2:$N$20,2,FALSE)),25,FALSE)</f>
        <v>0</v>
      </c>
      <c r="K94" s="327"/>
      <c r="M94" s="87"/>
      <c r="N94" s="89"/>
    </row>
    <row r="95" spans="1:14" s="1" customFormat="1" ht="12" customHeight="1" x14ac:dyDescent="0.3">
      <c r="A95" s="324" t="s">
        <v>13</v>
      </c>
      <c r="B95" s="325"/>
      <c r="C95" s="326">
        <f ca="1">VLOOKUP($B80,INDIRECT(VLOOKUP($E79,$M$2:$N$20,2,FALSE)),17,FALSE)</f>
        <v>27233</v>
      </c>
      <c r="D95" s="327"/>
      <c r="E95" s="324" t="s">
        <v>12</v>
      </c>
      <c r="F95" s="325"/>
      <c r="G95" s="325"/>
      <c r="H95" s="325"/>
      <c r="I95" s="325"/>
      <c r="J95" s="326">
        <f ca="1">VLOOKUP($B80,INDIRECT(VLOOKUP($E79,$M$2:$N$20,2,FALSE)),26,FALSE)</f>
        <v>200</v>
      </c>
      <c r="K95" s="327"/>
      <c r="M95" s="88" t="s">
        <v>73</v>
      </c>
      <c r="N95" s="88" t="str">
        <f ca="1">IF(VLOOKUP($B80,INDIRECT(VLOOKUP($E79,$M$2:$N$20,2,FALSE)),38,FALSE)&gt;0,"Yes","No")</f>
        <v>No</v>
      </c>
    </row>
    <row r="96" spans="1:14" s="1" customFormat="1" ht="12" customHeight="1" x14ac:dyDescent="0.3">
      <c r="A96" s="324" t="str">
        <f ca="1">IF($J92&gt;0,"Other Allowance",IF(VLOOKUP($B80,INDIRECT(VLOOKUP($E79,$M$2:$N$20,2,FALSE)),44,FALSE)=0,"",IF($E79=DATE(2025,6,1),"Arrears of Apr &amp; May-2025","")))</f>
        <v>Arrears of Apr &amp; May-2025</v>
      </c>
      <c r="B96" s="325"/>
      <c r="C96" s="326" cm="1">
        <f t="array" aca="1" ref="C96" ca="1">_xlfn.IFS($A96="","",$A96="Other Allowance",VLOOKUP($B80,INDIRECT(VLOOKUP($E79,$M$2:$N$20,2,FALSE)),18,FALSE),$A96="Arrears of Apr &amp; May-2025",VLOOKUP($B80,INDIRECT(VLOOKUP($E79,$M$2:$N$20,2,FALSE)),44,FALSE))</f>
        <v>6000</v>
      </c>
      <c r="D96" s="327"/>
      <c r="E96" s="324" t="str" cm="1">
        <f t="array" aca="1" ref="E96" ca="1">_xlfn.IFS(N95="Yes",M95,N96="Yes",M96,TRUE,"")</f>
        <v/>
      </c>
      <c r="F96" s="325"/>
      <c r="G96" s="325"/>
      <c r="H96" s="325"/>
      <c r="I96" s="325"/>
      <c r="J96" s="335" t="str" cm="1">
        <f t="array" aca="1" ref="J96" ca="1">IF(E96="","",_xlfn.IFS(N95="Yes",VLOOKUP($B80,INDIRECT(VLOOKUP($E79,$M$2:$N$20,2,FALSE)),27,FALSE),N96="Yes",VLOOKUP($B80,INDIRECT(VLOOKUP($E79,$M$2:$N$20,2,FALSE)),28,FALSE)))</f>
        <v/>
      </c>
      <c r="K96" s="336"/>
      <c r="M96" s="88" t="s">
        <v>14</v>
      </c>
      <c r="N96" s="88" t="str">
        <f ca="1">IF(VLOOKUP($B80,INDIRECT(VLOOKUP($E$7,$M$2:$N$20,2,FALSE)),39,FALSE)&gt;0,"Yes","No")</f>
        <v>No</v>
      </c>
    </row>
    <row r="97" spans="1:14" s="1" customFormat="1" ht="12" customHeight="1" x14ac:dyDescent="0.3">
      <c r="A97" s="324" t="str" cm="1">
        <f t="array" aca="1" ref="A97" ca="1">_xlfn.IFS($A96="","",$A96="Other Allowance","EPF",$A96="Arrears of Apr &amp; May-2025","",VLOOKUP($B80,INDIRECT(VLOOKUP($E79,$M$2:$N$20,2,FALSE)),44,FALSE)=0,"",$E79=DATE(2025,6,1),"Arrears of Apr &amp; May-2025")</f>
        <v/>
      </c>
      <c r="B97" s="325"/>
      <c r="C97" s="326" t="str" cm="1">
        <f t="array" aca="1" ref="C97" ca="1">_xlfn.IFS($A97="","",$A97="EPF",VLOOKUP($B80,INDIRECT(VLOOKUP($E79,$M$2:$N$20,2,FALSE)),19,FALSE),$A97="Arrears of Apr &amp; May-2025",VLOOKUP($B80,INDIRECT(VLOOKUP($E79,$M$2:$N$20,2,FALSE)),44,FALSE))</f>
        <v/>
      </c>
      <c r="D97" s="327"/>
      <c r="E97" s="324" t="str" cm="1">
        <f t="array" aca="1" ref="E97" ca="1">_xlfn.IFS(N96="No","",N95="Yes",M96,TRUE,"")</f>
        <v/>
      </c>
      <c r="F97" s="325"/>
      <c r="G97" s="325"/>
      <c r="H97" s="325"/>
      <c r="I97" s="325"/>
      <c r="J97" s="335" t="str">
        <f ca="1">IF(E97="","",VLOOKUP($B80,INDIRECT(VLOOKUP($E79,$M$2:$N$20,2,FALSE)),28,FALSE))</f>
        <v/>
      </c>
      <c r="K97" s="336"/>
      <c r="M97" s="130"/>
      <c r="N97" s="88"/>
    </row>
    <row r="98" spans="1:14" s="1" customFormat="1" ht="12" customHeight="1" x14ac:dyDescent="0.3">
      <c r="A98" s="324" t="str">
        <f ca="1">IF($J94&gt;0,"ESIC (Employer)",IF($A97="","",IF(VLOOKUP($B80,INDIRECT(VLOOKUP($E79,$M$2:$N$20,2,FALSE)),44,FALSE)="","",IF($E79=DATE(2025,6,1),"Arrears of Apr &amp; May-2025",""))))</f>
        <v/>
      </c>
      <c r="B98" s="325"/>
      <c r="C98" s="326" t="str" cm="1">
        <f t="array" aca="1" ref="C98" ca="1">_xlfn.IFS($A98="","",$A98="ESIC (Employer)",VLOOKUP($B80,INDIRECT(VLOOKUP($E79,$M$2:$N$20,2,FALSE)),20,FALSE),$A98="Arrears of Apr &amp; May-2025",VLOOKUP($B80,INDIRECT(VLOOKUP($E79,$M$2:$N$20,2,FALSE)),44,FALSE))</f>
        <v/>
      </c>
      <c r="D98" s="327"/>
      <c r="E98" s="324"/>
      <c r="F98" s="325"/>
      <c r="G98" s="325"/>
      <c r="H98" s="325"/>
      <c r="I98" s="325"/>
      <c r="J98" s="335"/>
      <c r="K98" s="336"/>
      <c r="M98" s="88"/>
      <c r="N98" s="88"/>
    </row>
    <row r="99" spans="1:14" s="1" customFormat="1" ht="12" customHeight="1" x14ac:dyDescent="0.3">
      <c r="A99" s="324" t="str">
        <f ca="1">IF($A98="","",IF(VLOOKUP($B80,INDIRECT(VLOOKUP($E79,$M$2:$N$20,2,FALSE)),44,FALSE)=0,"",IF($A98="Arrears of Apr &amp; May-2025","",IF($E79=DATE(2025,6,1),"Arrears of Apr &amp; May-2025",""))))</f>
        <v/>
      </c>
      <c r="B99" s="325"/>
      <c r="C99" s="326" t="str" cm="1">
        <f t="array" aca="1" ref="C99" ca="1">_xlfn.IFS($A99="","",$A99="Arrears of Apr &amp; May-2025",VLOOKUP($B80,INDIRECT(VLOOKUP($E79,$M$2:$N$20,2,FALSE)),44,FALSE))</f>
        <v/>
      </c>
      <c r="D99" s="327"/>
      <c r="E99" s="324"/>
      <c r="F99" s="325"/>
      <c r="G99" s="325"/>
      <c r="H99" s="325"/>
      <c r="I99" s="325"/>
      <c r="J99" s="335"/>
      <c r="K99" s="336"/>
      <c r="M99" s="88"/>
      <c r="N99" s="88"/>
    </row>
    <row r="100" spans="1:14" s="1" customFormat="1" ht="12" customHeight="1" x14ac:dyDescent="0.3">
      <c r="A100" s="324"/>
      <c r="B100" s="325"/>
      <c r="C100" s="326"/>
      <c r="D100" s="327"/>
      <c r="E100" s="124"/>
      <c r="F100" s="124"/>
      <c r="G100" s="124"/>
      <c r="H100" s="124"/>
      <c r="I100" s="124"/>
      <c r="J100" s="335"/>
      <c r="K100" s="336"/>
      <c r="M100" s="88"/>
      <c r="N100" s="88"/>
    </row>
    <row r="101" spans="1:14" s="1" customFormat="1" ht="3" customHeight="1" x14ac:dyDescent="0.3">
      <c r="A101" s="108"/>
      <c r="B101" s="109"/>
      <c r="C101" s="109"/>
      <c r="D101" s="112"/>
      <c r="E101" s="110"/>
      <c r="F101" s="110"/>
      <c r="G101" s="109"/>
      <c r="H101" s="109"/>
      <c r="I101" s="111"/>
      <c r="J101" s="111"/>
      <c r="K101" s="112"/>
      <c r="M101" s="88"/>
      <c r="N101" s="88"/>
    </row>
    <row r="102" spans="1:14" s="1" customFormat="1" ht="3" customHeight="1" x14ac:dyDescent="0.3">
      <c r="A102" s="123"/>
      <c r="B102" s="113"/>
      <c r="C102" s="113"/>
      <c r="D102" s="101"/>
      <c r="E102" s="124"/>
      <c r="F102" s="124"/>
      <c r="G102" s="113"/>
      <c r="H102" s="113"/>
      <c r="I102" s="114"/>
      <c r="J102" s="114"/>
      <c r="K102" s="101"/>
      <c r="M102" s="88"/>
      <c r="N102" s="88"/>
    </row>
    <row r="103" spans="1:14" s="4" customFormat="1" ht="19.95" customHeight="1" x14ac:dyDescent="0.3">
      <c r="A103" s="328" t="s">
        <v>15</v>
      </c>
      <c r="B103" s="329"/>
      <c r="C103" s="330">
        <f ca="1">SUM(C91:D102)</f>
        <v>66500</v>
      </c>
      <c r="D103" s="331"/>
      <c r="E103" s="328" t="s">
        <v>16</v>
      </c>
      <c r="F103" s="329"/>
      <c r="G103" s="329"/>
      <c r="H103" s="329"/>
      <c r="I103" s="329"/>
      <c r="J103" s="330">
        <f ca="1">SUM(J91:K99)</f>
        <v>200</v>
      </c>
      <c r="K103" s="331"/>
      <c r="M103" s="129"/>
      <c r="N103" s="90"/>
    </row>
    <row r="104" spans="1:14" s="1" customFormat="1" ht="3" customHeight="1" x14ac:dyDescent="0.3">
      <c r="A104" s="108"/>
      <c r="B104" s="109"/>
      <c r="C104" s="109"/>
      <c r="D104" s="112"/>
      <c r="E104" s="110"/>
      <c r="F104" s="110"/>
      <c r="G104" s="109"/>
      <c r="H104" s="109"/>
      <c r="I104" s="111"/>
      <c r="J104" s="111"/>
      <c r="K104" s="112"/>
      <c r="M104" s="88"/>
      <c r="N104" s="88"/>
    </row>
    <row r="105" spans="1:14" s="1" customFormat="1" ht="3" customHeight="1" x14ac:dyDescent="0.3">
      <c r="A105" s="123"/>
      <c r="B105" s="113"/>
      <c r="C105" s="113"/>
      <c r="D105" s="117"/>
      <c r="E105" s="118"/>
      <c r="F105" s="124"/>
      <c r="G105" s="113"/>
      <c r="H105" s="126"/>
      <c r="I105" s="119"/>
      <c r="J105" s="119"/>
      <c r="K105" s="115"/>
      <c r="M105" s="88"/>
      <c r="N105" s="88"/>
    </row>
    <row r="106" spans="1:14" s="5" customFormat="1" ht="19.95" customHeight="1" x14ac:dyDescent="0.3">
      <c r="A106" s="328" t="str" cm="1">
        <f t="array" aca="1" ref="A106" ca="1">mgm(J106)</f>
        <v>Rupees Sixty Six Thousand Three Hundred Only</v>
      </c>
      <c r="B106" s="329"/>
      <c r="C106" s="329"/>
      <c r="D106" s="329"/>
      <c r="E106" s="329"/>
      <c r="F106" s="329"/>
      <c r="G106" s="332"/>
      <c r="H106" s="333" t="s">
        <v>17</v>
      </c>
      <c r="I106" s="334"/>
      <c r="J106" s="330">
        <f ca="1">C103-J103</f>
        <v>66300</v>
      </c>
      <c r="K106" s="331"/>
      <c r="L106" s="205"/>
      <c r="M106" s="90"/>
      <c r="N106" s="90"/>
    </row>
    <row r="107" spans="1:14" s="1" customFormat="1" ht="3" customHeight="1" x14ac:dyDescent="0.3">
      <c r="A107" s="108"/>
      <c r="B107" s="109"/>
      <c r="C107" s="109"/>
      <c r="D107" s="109"/>
      <c r="E107" s="110"/>
      <c r="F107" s="110"/>
      <c r="G107" s="109"/>
      <c r="H107" s="127"/>
      <c r="I107" s="111"/>
      <c r="J107" s="111"/>
      <c r="K107" s="112"/>
      <c r="M107" s="88"/>
      <c r="N107" s="88"/>
    </row>
    <row r="108" spans="1:14" s="1" customFormat="1" ht="19.95" customHeight="1" x14ac:dyDescent="0.3">
      <c r="A108" s="323" t="s">
        <v>18</v>
      </c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M108" s="88"/>
      <c r="N108" s="88"/>
    </row>
    <row r="109" spans="1:14" s="132" customFormat="1" ht="60" customHeight="1" x14ac:dyDescent="0.3">
      <c r="A109" s="181"/>
      <c r="E109" s="181"/>
      <c r="F109" s="181"/>
    </row>
    <row r="110" spans="1:14" s="2" customFormat="1" ht="19.95" customHeight="1" x14ac:dyDescent="0.3">
      <c r="A110" s="338" t="s">
        <v>107</v>
      </c>
      <c r="B110" s="339"/>
      <c r="C110" s="339"/>
      <c r="D110" s="339"/>
      <c r="E110" s="339"/>
      <c r="F110" s="339"/>
      <c r="G110" s="339"/>
      <c r="H110" s="339"/>
      <c r="I110" s="339"/>
      <c r="J110" s="339"/>
      <c r="K110" s="340"/>
      <c r="L110" s="1"/>
      <c r="M110" s="86"/>
      <c r="N110" s="87"/>
    </row>
    <row r="111" spans="1:14" s="2" customFormat="1" ht="15" customHeight="1" x14ac:dyDescent="0.3">
      <c r="A111" s="341" t="s">
        <v>180</v>
      </c>
      <c r="B111" s="342"/>
      <c r="C111" s="342"/>
      <c r="D111" s="342"/>
      <c r="E111" s="342"/>
      <c r="F111" s="342"/>
      <c r="G111" s="342"/>
      <c r="H111" s="342"/>
      <c r="I111" s="342"/>
      <c r="J111" s="342"/>
      <c r="K111" s="343"/>
      <c r="L111" s="1"/>
      <c r="M111" s="86"/>
      <c r="N111" s="88"/>
    </row>
    <row r="112" spans="1:14" s="2" customFormat="1" ht="15" customHeight="1" x14ac:dyDescent="0.3">
      <c r="A112" s="344" t="s">
        <v>72</v>
      </c>
      <c r="B112" s="345"/>
      <c r="C112" s="345"/>
      <c r="D112" s="345"/>
      <c r="E112" s="345"/>
      <c r="F112" s="345"/>
      <c r="G112" s="345"/>
      <c r="H112" s="345"/>
      <c r="I112" s="345"/>
      <c r="J112" s="345"/>
      <c r="K112" s="346"/>
      <c r="L112" s="1"/>
      <c r="M112" s="86"/>
      <c r="N112" s="88"/>
    </row>
    <row r="113" spans="1:14" s="2" customFormat="1" ht="4.95" customHeight="1" x14ac:dyDescent="0.3">
      <c r="A113" s="92"/>
      <c r="B113" s="347"/>
      <c r="C113" s="347"/>
      <c r="D113" s="347"/>
      <c r="E113" s="347"/>
      <c r="F113" s="347"/>
      <c r="G113" s="347"/>
      <c r="H113" s="347"/>
      <c r="I113" s="347"/>
      <c r="J113" s="347"/>
      <c r="K113" s="348"/>
      <c r="L113" s="1"/>
      <c r="M113" s="88"/>
      <c r="N113" s="88"/>
    </row>
    <row r="114" spans="1:14" s="2" customFormat="1" ht="3" customHeight="1" x14ac:dyDescent="0.3">
      <c r="A114" s="93"/>
      <c r="B114" s="94"/>
      <c r="C114" s="94"/>
      <c r="D114" s="94"/>
      <c r="E114" s="95"/>
      <c r="F114" s="95"/>
      <c r="G114" s="94"/>
      <c r="H114" s="94"/>
      <c r="I114" s="94"/>
      <c r="J114" s="94"/>
      <c r="K114" s="96"/>
      <c r="L114" s="1"/>
      <c r="M114" s="88"/>
      <c r="N114" s="88"/>
    </row>
    <row r="115" spans="1:14" s="2" customFormat="1" x14ac:dyDescent="0.3">
      <c r="A115" s="123" t="s">
        <v>68</v>
      </c>
      <c r="B115" s="124" t="str">
        <f ca="1">VLOOKUP($B116,Salary_Master_2,3,FALSE)</f>
        <v>W008</v>
      </c>
      <c r="C115" s="349" t="s">
        <v>21</v>
      </c>
      <c r="D115" s="349"/>
      <c r="E115" s="350">
        <f>IF($E$1="","",$E$1)</f>
        <v>45809</v>
      </c>
      <c r="F115" s="350"/>
      <c r="G115" s="97" t="s">
        <v>22</v>
      </c>
      <c r="H115" s="98">
        <f ca="1">VLOOKUP($B116,INDIRECT(VLOOKUP($E$7,$M$2:$N$20,2,FALSE)),3,FALSE)</f>
        <v>27.5</v>
      </c>
      <c r="I115" s="99"/>
      <c r="J115" s="100" t="s">
        <v>27</v>
      </c>
      <c r="K115" s="101"/>
      <c r="L115" s="1"/>
      <c r="M115" s="86"/>
      <c r="N115" s="88"/>
    </row>
    <row r="116" spans="1:14" s="2" customFormat="1" x14ac:dyDescent="0.3">
      <c r="A116" s="123" t="s">
        <v>19</v>
      </c>
      <c r="B116" s="124" t="str">
        <f ca="1">IF(Salary_Master_2!$B$8="","",VLOOKUP(Salary_Master_2!$B$8,INDIRECT(VLOOKUP($E115,$M$2:$N$20,2,FALSE)),1,FALSE))</f>
        <v>Sanjay Jadhav</v>
      </c>
      <c r="C116" s="351" t="s">
        <v>1</v>
      </c>
      <c r="D116" s="351"/>
      <c r="E116" s="352">
        <f ca="1">SUM($H115:$H118)</f>
        <v>31</v>
      </c>
      <c r="F116" s="352"/>
      <c r="G116" s="97" t="s">
        <v>24</v>
      </c>
      <c r="H116" s="102">
        <f ca="1">VLOOKUP($B116,INDIRECT(VLOOKUP($E$7,$M$2:$N$20,2,FALSE)),4,FALSE)</f>
        <v>0</v>
      </c>
      <c r="I116" s="100"/>
      <c r="J116" s="103" t="s">
        <v>28</v>
      </c>
      <c r="K116" s="101">
        <f ca="1">VLOOKUP($B116,INDIRECT(VLOOKUP($E$7,$M$2:$N$20,2,FALSE)),29,FALSE)</f>
        <v>24200</v>
      </c>
      <c r="L116" s="1"/>
      <c r="M116" s="86"/>
      <c r="N116" s="88"/>
    </row>
    <row r="117" spans="1:14" s="2" customFormat="1" x14ac:dyDescent="0.3">
      <c r="A117" s="123" t="s">
        <v>0</v>
      </c>
      <c r="B117" s="124" t="str">
        <f ca="1">VLOOKUP($B116,Salary_Master_2,4,FALSE)</f>
        <v>Logistic Executive</v>
      </c>
      <c r="C117" s="124"/>
      <c r="D117" s="103" t="s">
        <v>70</v>
      </c>
      <c r="E117" s="337">
        <f ca="1">VLOOKUP($B116,Salary_Master_2,9,FALSE)</f>
        <v>100333067161</v>
      </c>
      <c r="F117" s="337"/>
      <c r="G117" s="97" t="s">
        <v>25</v>
      </c>
      <c r="H117" s="102">
        <f ca="1">VLOOKUP($B116,INDIRECT(VLOOKUP($E$7,$M$2:$N$20,2,FALSE)),5,FALSE)</f>
        <v>0</v>
      </c>
      <c r="I117" s="97"/>
      <c r="J117" s="103" t="s">
        <v>29</v>
      </c>
      <c r="K117" s="101" t="str">
        <f ca="1">VLOOKUP($B116,INDIRECT(VLOOKUP($E$7,$M$2:$N$20,2,FALSE)),30,FALSE)</f>
        <v>Male</v>
      </c>
      <c r="L117" s="1"/>
      <c r="M117" s="86"/>
      <c r="N117" s="88"/>
    </row>
    <row r="118" spans="1:14" s="2" customFormat="1" x14ac:dyDescent="0.3">
      <c r="A118" s="123" t="s">
        <v>20</v>
      </c>
      <c r="B118" s="124" t="str">
        <f ca="1">VLOOKUP($B116,Salary_Master_2,5,FALSE)</f>
        <v>Production</v>
      </c>
      <c r="C118" s="124"/>
      <c r="D118" s="103" t="s">
        <v>71</v>
      </c>
      <c r="E118" s="337" t="str">
        <f ca="1">VLOOKUP($B116,Salary_Master_2,10,FALSE)</f>
        <v>NA</v>
      </c>
      <c r="F118" s="337"/>
      <c r="G118" s="97" t="s">
        <v>26</v>
      </c>
      <c r="H118" s="102">
        <f ca="1">VLOOKUP($B116,INDIRECT(VLOOKUP($E$7,$M$2:$N$20,2,FALSE)),6,FALSE)</f>
        <v>3.5</v>
      </c>
      <c r="I118" s="97"/>
      <c r="J118" s="103" t="s">
        <v>30</v>
      </c>
      <c r="K118" s="101">
        <f ca="1">VLOOKUP($B116,INDIRECT(VLOOKUP($E$7,$M$2:$N$20,2,FALSE)),31,FALSE)</f>
        <v>0</v>
      </c>
      <c r="L118" s="1"/>
      <c r="M118" s="86"/>
      <c r="N118" s="88"/>
    </row>
    <row r="119" spans="1:14" s="2" customFormat="1" x14ac:dyDescent="0.3">
      <c r="A119" s="123" t="s">
        <v>69</v>
      </c>
      <c r="B119" s="124" t="str">
        <f ca="1">VLOOKUP($B116,Salary_Master_2,6,FALSE)</f>
        <v>Ansa Factory</v>
      </c>
      <c r="C119" s="124"/>
      <c r="D119" s="104"/>
      <c r="E119" s="105"/>
      <c r="F119" s="105"/>
      <c r="G119" s="97" t="s">
        <v>23</v>
      </c>
      <c r="H119" s="102">
        <f ca="1">VLOOKUP($B116,INDIRECT(VLOOKUP($E$7,$M$2:$N$20,2,FALSE)),8,FALSE)</f>
        <v>0</v>
      </c>
      <c r="I119" s="97"/>
      <c r="J119" s="125"/>
      <c r="K119" s="101"/>
      <c r="L119" s="1"/>
      <c r="M119" s="86"/>
      <c r="N119" s="88"/>
    </row>
    <row r="120" spans="1:14" s="2" customFormat="1" x14ac:dyDescent="0.3">
      <c r="A120" s="123" t="s">
        <v>32</v>
      </c>
      <c r="B120" s="106">
        <f ca="1">VLOOKUP($B116,Salary_Master_2,7,FALSE)</f>
        <v>38166</v>
      </c>
      <c r="C120" s="106"/>
      <c r="D120" s="104"/>
      <c r="E120" s="105"/>
      <c r="F120" s="105"/>
      <c r="G120" s="97" t="s">
        <v>31</v>
      </c>
      <c r="H120" s="102">
        <f ca="1">VLOOKUP($B116,INDIRECT(VLOOKUP($E$7,$M$2:$N$20,2,FALSE)),9,FALSE)</f>
        <v>3</v>
      </c>
      <c r="I120" s="107"/>
      <c r="J120" s="107"/>
      <c r="K120" s="101"/>
      <c r="L120" s="1"/>
      <c r="M120" s="86"/>
      <c r="N120" s="88"/>
    </row>
    <row r="121" spans="1:14" s="2" customFormat="1" ht="3" customHeight="1" x14ac:dyDescent="0.3">
      <c r="A121" s="108"/>
      <c r="B121" s="109"/>
      <c r="C121" s="109"/>
      <c r="D121" s="109"/>
      <c r="E121" s="110"/>
      <c r="F121" s="110"/>
      <c r="G121" s="109"/>
      <c r="H121" s="109"/>
      <c r="I121" s="111"/>
      <c r="J121" s="111"/>
      <c r="K121" s="112"/>
      <c r="L121" s="1"/>
      <c r="M121" s="88"/>
      <c r="N121" s="88"/>
    </row>
    <row r="122" spans="1:14" s="2" customFormat="1" ht="3" customHeight="1" x14ac:dyDescent="0.3">
      <c r="A122" s="123"/>
      <c r="B122" s="113"/>
      <c r="C122" s="113"/>
      <c r="D122" s="113"/>
      <c r="E122" s="124"/>
      <c r="F122" s="124"/>
      <c r="G122" s="113"/>
      <c r="H122" s="113"/>
      <c r="I122" s="114"/>
      <c r="J122" s="114"/>
      <c r="K122" s="115"/>
      <c r="L122" s="1"/>
      <c r="M122" s="88"/>
      <c r="N122" s="88"/>
    </row>
    <row r="123" spans="1:14" s="1" customFormat="1" ht="3" customHeight="1" x14ac:dyDescent="0.3">
      <c r="A123" s="116"/>
      <c r="B123" s="117"/>
      <c r="C123" s="117"/>
      <c r="D123" s="115"/>
      <c r="E123" s="118"/>
      <c r="F123" s="118"/>
      <c r="G123" s="117"/>
      <c r="H123" s="117"/>
      <c r="I123" s="119"/>
      <c r="J123" s="119"/>
      <c r="K123" s="115"/>
      <c r="M123" s="88"/>
      <c r="N123" s="88"/>
    </row>
    <row r="124" spans="1:14" s="1" customFormat="1" ht="12" customHeight="1" x14ac:dyDescent="0.3">
      <c r="A124" s="120" t="s">
        <v>4</v>
      </c>
      <c r="B124" s="113"/>
      <c r="C124" s="113"/>
      <c r="D124" s="121" t="s">
        <v>5</v>
      </c>
      <c r="E124" s="122" t="s">
        <v>6</v>
      </c>
      <c r="F124" s="122"/>
      <c r="G124" s="113"/>
      <c r="H124" s="113"/>
      <c r="I124" s="113"/>
      <c r="J124" s="113"/>
      <c r="K124" s="121" t="s">
        <v>5</v>
      </c>
      <c r="M124" s="86"/>
      <c r="N124" s="88"/>
    </row>
    <row r="125" spans="1:14" s="1" customFormat="1" ht="3" customHeight="1" x14ac:dyDescent="0.3">
      <c r="A125" s="108"/>
      <c r="B125" s="109"/>
      <c r="C125" s="109"/>
      <c r="D125" s="112"/>
      <c r="E125" s="110"/>
      <c r="F125" s="110"/>
      <c r="G125" s="109"/>
      <c r="H125" s="109"/>
      <c r="I125" s="111"/>
      <c r="J125" s="111"/>
      <c r="K125" s="112"/>
      <c r="M125" s="88"/>
      <c r="N125" s="88"/>
    </row>
    <row r="126" spans="1:14" s="1" customFormat="1" ht="3" customHeight="1" x14ac:dyDescent="0.3">
      <c r="A126" s="123"/>
      <c r="B126" s="113"/>
      <c r="C126" s="113"/>
      <c r="D126" s="101"/>
      <c r="E126" s="124"/>
      <c r="F126" s="124"/>
      <c r="G126" s="113"/>
      <c r="H126" s="113"/>
      <c r="I126" s="114"/>
      <c r="J126" s="114"/>
      <c r="K126" s="101"/>
      <c r="M126" s="88"/>
      <c r="N126" s="88"/>
    </row>
    <row r="127" spans="1:14" s="1" customFormat="1" ht="12" customHeight="1" x14ac:dyDescent="0.3">
      <c r="A127" s="324" t="s">
        <v>7</v>
      </c>
      <c r="B127" s="325"/>
      <c r="C127" s="326">
        <f ca="1">VLOOKUP($B116,INDIRECT(VLOOKUP($E115,$M$2:$N$20,2,FALSE)),13,FALSE)</f>
        <v>11500</v>
      </c>
      <c r="D127" s="327"/>
      <c r="E127" s="324" t="s">
        <v>8</v>
      </c>
      <c r="F127" s="325"/>
      <c r="G127" s="325"/>
      <c r="H127" s="325"/>
      <c r="I127" s="325"/>
      <c r="J127" s="326">
        <f ca="1">VLOOKUP($B116,INDIRECT(VLOOKUP($E115,$M$2:$N$20,2,FALSE)),22,FALSE)</f>
        <v>1800</v>
      </c>
      <c r="K127" s="327"/>
      <c r="M127" s="86"/>
      <c r="N127" s="88"/>
    </row>
    <row r="128" spans="1:14" s="1" customFormat="1" ht="12" customHeight="1" x14ac:dyDescent="0.3">
      <c r="A128" s="324" t="s">
        <v>9</v>
      </c>
      <c r="B128" s="325"/>
      <c r="C128" s="326">
        <f ca="1">VLOOKUP($B116,INDIRECT(VLOOKUP($E115,$M$2:$N$20,2,FALSE)),14,FALSE)</f>
        <v>4600</v>
      </c>
      <c r="D128" s="327"/>
      <c r="E128" s="324" t="s">
        <v>94</v>
      </c>
      <c r="F128" s="325"/>
      <c r="G128" s="325"/>
      <c r="H128" s="325"/>
      <c r="I128" s="325"/>
      <c r="J128" s="326">
        <f ca="1">VLOOKUP($B116,INDIRECT(VLOOKUP($E115,$M$2:$N$20,2,FALSE)),23,FALSE)</f>
        <v>1800</v>
      </c>
      <c r="K128" s="327"/>
      <c r="M128" s="86"/>
      <c r="N128" s="88"/>
    </row>
    <row r="129" spans="1:14" s="1" customFormat="1" ht="12" customHeight="1" x14ac:dyDescent="0.3">
      <c r="A129" s="324" t="s">
        <v>11</v>
      </c>
      <c r="B129" s="325"/>
      <c r="C129" s="326">
        <f ca="1">VLOOKUP($B116,INDIRECT(VLOOKUP($E115,$M$2:$N$20,2,FALSE)),15,FALSE)</f>
        <v>1600</v>
      </c>
      <c r="D129" s="327"/>
      <c r="E129" s="324" t="s">
        <v>10</v>
      </c>
      <c r="F129" s="325"/>
      <c r="G129" s="325"/>
      <c r="H129" s="325"/>
      <c r="I129" s="325"/>
      <c r="J129" s="326">
        <f ca="1">VLOOKUP($B116,INDIRECT(VLOOKUP($E115,$M$2:$N$20,2,FALSE)),24,FALSE)</f>
        <v>0</v>
      </c>
      <c r="K129" s="327"/>
      <c r="M129" s="87"/>
      <c r="N129" s="86"/>
    </row>
    <row r="130" spans="1:14" s="1" customFormat="1" ht="12" customHeight="1" x14ac:dyDescent="0.3">
      <c r="A130" s="324" t="s">
        <v>3</v>
      </c>
      <c r="B130" s="325"/>
      <c r="C130" s="326">
        <f ca="1">VLOOKUP($B116,INDIRECT(VLOOKUP($E115,$M$2:$N$20,2,FALSE)),16,FALSE)</f>
        <v>958</v>
      </c>
      <c r="D130" s="327"/>
      <c r="E130" s="324" t="s">
        <v>93</v>
      </c>
      <c r="F130" s="325"/>
      <c r="G130" s="325"/>
      <c r="H130" s="325"/>
      <c r="I130" s="325"/>
      <c r="J130" s="326">
        <f ca="1">VLOOKUP($B116,INDIRECT(VLOOKUP($E115,$M$2:$N$20,2,FALSE)),25,FALSE)</f>
        <v>0</v>
      </c>
      <c r="K130" s="327"/>
      <c r="M130" s="87"/>
      <c r="N130" s="89"/>
    </row>
    <row r="131" spans="1:14" s="1" customFormat="1" ht="12" customHeight="1" x14ac:dyDescent="0.3">
      <c r="A131" s="324" t="s">
        <v>13</v>
      </c>
      <c r="B131" s="325"/>
      <c r="C131" s="326">
        <f ca="1">VLOOKUP($B116,INDIRECT(VLOOKUP($E115,$M$2:$N$20,2,FALSE)),17,FALSE)</f>
        <v>5742</v>
      </c>
      <c r="D131" s="327"/>
      <c r="E131" s="324" t="s">
        <v>12</v>
      </c>
      <c r="F131" s="325"/>
      <c r="G131" s="325"/>
      <c r="H131" s="325"/>
      <c r="I131" s="325"/>
      <c r="J131" s="326">
        <f ca="1">VLOOKUP($B116,INDIRECT(VLOOKUP($E115,$M$2:$N$20,2,FALSE)),26,FALSE)</f>
        <v>200</v>
      </c>
      <c r="K131" s="327"/>
      <c r="M131" s="88" t="s">
        <v>73</v>
      </c>
      <c r="N131" s="88" t="str">
        <f ca="1">IF(VLOOKUP($B116,INDIRECT(VLOOKUP($E115,$M$2:$N$20,2,FALSE)),38,FALSE)&gt;0,"Yes","No")</f>
        <v>No</v>
      </c>
    </row>
    <row r="132" spans="1:14" s="1" customFormat="1" ht="12" customHeight="1" x14ac:dyDescent="0.3">
      <c r="A132" s="324" t="str">
        <f ca="1">IF($J128&gt;0,"Other Allowance",IF(VLOOKUP($B116,INDIRECT(VLOOKUP($E115,$M$2:$N$20,2,FALSE)),44,FALSE)=0,"",IF($E115=DATE(2025,6,1),"Arrears of Apr &amp; May-2025","")))</f>
        <v>Other Allowance</v>
      </c>
      <c r="B132" s="325"/>
      <c r="C132" s="326" cm="1">
        <f t="array" aca="1" ref="C132" ca="1">_xlfn.IFS($A132="","",$A132="Other Allowance",VLOOKUP($B116,INDIRECT(VLOOKUP($E115,$M$2:$N$20,2,FALSE)),18,FALSE),$A132="Arrears of Apr &amp; May-2025",VLOOKUP($B116,INDIRECT(VLOOKUP($E115,$M$2:$N$20,2,FALSE)),44,FALSE))</f>
        <v>1800</v>
      </c>
      <c r="D132" s="327"/>
      <c r="E132" s="324" t="str" cm="1">
        <f t="array" aca="1" ref="E132" ca="1">_xlfn.IFS(N131="Yes",M131,N132="Yes",M132,TRUE,"")</f>
        <v/>
      </c>
      <c r="F132" s="325"/>
      <c r="G132" s="325"/>
      <c r="H132" s="325"/>
      <c r="I132" s="325"/>
      <c r="J132" s="335" t="str" cm="1">
        <f t="array" aca="1" ref="J132" ca="1">IF(E132="","",_xlfn.IFS(N131="Yes",VLOOKUP($B116,INDIRECT(VLOOKUP($E115,$M$2:$N$20,2,FALSE)),27,FALSE),N132="Yes",VLOOKUP($B116,INDIRECT(VLOOKUP($E115,$M$2:$N$20,2,FALSE)),28,FALSE)))</f>
        <v/>
      </c>
      <c r="K132" s="336"/>
      <c r="M132" s="88" t="s">
        <v>14</v>
      </c>
      <c r="N132" s="88" t="str">
        <f ca="1">IF(VLOOKUP($B116,INDIRECT(VLOOKUP($E$7,$M$2:$N$20,2,FALSE)),39,FALSE)&gt;0,"Yes","No")</f>
        <v>No</v>
      </c>
    </row>
    <row r="133" spans="1:14" s="1" customFormat="1" ht="12" customHeight="1" x14ac:dyDescent="0.3">
      <c r="A133" s="324" t="str" cm="1">
        <f t="array" aca="1" ref="A133" ca="1">_xlfn.IFS($A132="","",$A132="Other Allowance","EPF",$A132="Arrears of Apr &amp; May-2025","",VLOOKUP($B116,INDIRECT(VLOOKUP($E115,$M$2:$N$20,2,FALSE)),44,FALSE)=0,"",$E115=DATE(2025,6,1),"Arrears of Apr &amp; May-2025")</f>
        <v>EPF</v>
      </c>
      <c r="B133" s="325"/>
      <c r="C133" s="326" cm="1">
        <f t="array" aca="1" ref="C133" ca="1">_xlfn.IFS($A133="","",$A133="EPF",VLOOKUP($B116,INDIRECT(VLOOKUP($E115,$M$2:$N$20,2,FALSE)),19,FALSE),$A133="Arrears of Apr &amp; May-2025",VLOOKUP($B116,INDIRECT(VLOOKUP($E115,$M$2:$N$20,2,FALSE)),44,FALSE))</f>
        <v>1800</v>
      </c>
      <c r="D133" s="327"/>
      <c r="E133" s="324" t="str" cm="1">
        <f t="array" aca="1" ref="E133" ca="1">_xlfn.IFS(N132="No","",N131="Yes",M132,TRUE,"")</f>
        <v/>
      </c>
      <c r="F133" s="325"/>
      <c r="G133" s="325"/>
      <c r="H133" s="325"/>
      <c r="I133" s="325"/>
      <c r="J133" s="335" t="str">
        <f ca="1">IF(E133="","",VLOOKUP($B116,INDIRECT(VLOOKUP($E115,$M$2:$N$20,2,FALSE)),28,FALSE))</f>
        <v/>
      </c>
      <c r="K133" s="336"/>
      <c r="M133" s="130"/>
      <c r="N133" s="88"/>
    </row>
    <row r="134" spans="1:14" s="1" customFormat="1" ht="12" customHeight="1" x14ac:dyDescent="0.3">
      <c r="A134" s="324" t="str">
        <f ca="1">IF($J130&gt;0,"ESIC (Employer)",IF($A133="","",IF(VLOOKUP($B116,INDIRECT(VLOOKUP($E115,$M$2:$N$20,2,FALSE)),44,FALSE)="","",IF($E115=DATE(2025,6,1),"Arrears of Apr &amp; May-2025",""))))</f>
        <v>Arrears of Apr &amp; May-2025</v>
      </c>
      <c r="B134" s="325"/>
      <c r="C134" s="326" cm="1">
        <f t="array" aca="1" ref="C134" ca="1">_xlfn.IFS($A134="","",$A134="ESIC (Employer)",VLOOKUP($B116,INDIRECT(VLOOKUP($E115,$M$2:$N$20,2,FALSE)),20,FALSE),$A134="Arrears of Apr &amp; May-2025",VLOOKUP($B116,INDIRECT(VLOOKUP($E115,$M$2:$N$20,2,FALSE)),44,FALSE))</f>
        <v>2000</v>
      </c>
      <c r="D134" s="327"/>
      <c r="E134" s="324"/>
      <c r="F134" s="325"/>
      <c r="G134" s="325"/>
      <c r="H134" s="325"/>
      <c r="I134" s="325"/>
      <c r="J134" s="335"/>
      <c r="K134" s="336"/>
      <c r="M134" s="88"/>
      <c r="N134" s="88"/>
    </row>
    <row r="135" spans="1:14" s="1" customFormat="1" ht="12" customHeight="1" x14ac:dyDescent="0.3">
      <c r="A135" s="324" t="str">
        <f ca="1">IF($A134="","",IF(VLOOKUP($B116,INDIRECT(VLOOKUP($E115,$M$2:$N$20,2,FALSE)),44,FALSE)=0,"",IF($A134="Arrears of Apr &amp; May-2025","",IF($E115=DATE(2025,6,1),"Arrears of Apr &amp; May-2025",""))))</f>
        <v/>
      </c>
      <c r="B135" s="325"/>
      <c r="C135" s="326" t="str" cm="1">
        <f t="array" aca="1" ref="C135" ca="1">_xlfn.IFS($A135="","",$A135="Arrears of Apr &amp; May-2025",VLOOKUP($B116,INDIRECT(VLOOKUP($E115,$M$2:$N$20,2,FALSE)),44,FALSE))</f>
        <v/>
      </c>
      <c r="D135" s="327"/>
      <c r="E135" s="324"/>
      <c r="F135" s="325"/>
      <c r="G135" s="325"/>
      <c r="H135" s="325"/>
      <c r="I135" s="325"/>
      <c r="J135" s="335"/>
      <c r="K135" s="336"/>
      <c r="M135" s="88"/>
      <c r="N135" s="88"/>
    </row>
    <row r="136" spans="1:14" s="1" customFormat="1" ht="12" customHeight="1" x14ac:dyDescent="0.3">
      <c r="A136" s="324"/>
      <c r="B136" s="325"/>
      <c r="C136" s="326"/>
      <c r="D136" s="327"/>
      <c r="E136" s="124"/>
      <c r="F136" s="124"/>
      <c r="G136" s="124"/>
      <c r="H136" s="124"/>
      <c r="I136" s="124"/>
      <c r="J136" s="335"/>
      <c r="K136" s="336"/>
      <c r="M136" s="88"/>
      <c r="N136" s="88"/>
    </row>
    <row r="137" spans="1:14" s="1" customFormat="1" ht="3" customHeight="1" x14ac:dyDescent="0.3">
      <c r="A137" s="108"/>
      <c r="B137" s="109"/>
      <c r="C137" s="109"/>
      <c r="D137" s="112"/>
      <c r="E137" s="110"/>
      <c r="F137" s="110"/>
      <c r="G137" s="109"/>
      <c r="H137" s="109"/>
      <c r="I137" s="111"/>
      <c r="J137" s="111"/>
      <c r="K137" s="112"/>
      <c r="M137" s="88"/>
      <c r="N137" s="88"/>
    </row>
    <row r="138" spans="1:14" s="1" customFormat="1" ht="3" customHeight="1" x14ac:dyDescent="0.3">
      <c r="A138" s="123"/>
      <c r="B138" s="113"/>
      <c r="C138" s="113"/>
      <c r="D138" s="101"/>
      <c r="E138" s="124"/>
      <c r="F138" s="124"/>
      <c r="G138" s="113"/>
      <c r="H138" s="113"/>
      <c r="I138" s="114"/>
      <c r="J138" s="114"/>
      <c r="K138" s="101"/>
      <c r="M138" s="88"/>
      <c r="N138" s="88"/>
    </row>
    <row r="139" spans="1:14" s="4" customFormat="1" ht="19.95" customHeight="1" x14ac:dyDescent="0.3">
      <c r="A139" s="328" t="s">
        <v>15</v>
      </c>
      <c r="B139" s="329"/>
      <c r="C139" s="330">
        <f ca="1">SUM(C127:D138)</f>
        <v>30000</v>
      </c>
      <c r="D139" s="331"/>
      <c r="E139" s="328" t="s">
        <v>16</v>
      </c>
      <c r="F139" s="329"/>
      <c r="G139" s="329"/>
      <c r="H139" s="329"/>
      <c r="I139" s="329"/>
      <c r="J139" s="330">
        <f ca="1">SUM(J127:K135)</f>
        <v>3800</v>
      </c>
      <c r="K139" s="331"/>
      <c r="M139" s="129"/>
      <c r="N139" s="90"/>
    </row>
    <row r="140" spans="1:14" s="1" customFormat="1" ht="3" customHeight="1" x14ac:dyDescent="0.3">
      <c r="A140" s="108"/>
      <c r="B140" s="109"/>
      <c r="C140" s="109"/>
      <c r="D140" s="112"/>
      <c r="E140" s="110"/>
      <c r="F140" s="110"/>
      <c r="G140" s="109"/>
      <c r="H140" s="109"/>
      <c r="I140" s="111"/>
      <c r="J140" s="111"/>
      <c r="K140" s="112"/>
      <c r="M140" s="88"/>
      <c r="N140" s="88"/>
    </row>
    <row r="141" spans="1:14" s="1" customFormat="1" ht="3" customHeight="1" x14ac:dyDescent="0.3">
      <c r="A141" s="123"/>
      <c r="B141" s="113"/>
      <c r="C141" s="113"/>
      <c r="D141" s="117"/>
      <c r="E141" s="118"/>
      <c r="F141" s="124"/>
      <c r="G141" s="113"/>
      <c r="H141" s="126"/>
      <c r="I141" s="119"/>
      <c r="J141" s="119"/>
      <c r="K141" s="115"/>
      <c r="M141" s="88"/>
      <c r="N141" s="88"/>
    </row>
    <row r="142" spans="1:14" s="5" customFormat="1" ht="19.95" customHeight="1" x14ac:dyDescent="0.3">
      <c r="A142" s="328" t="str" cm="1">
        <f t="array" aca="1" ref="A142" ca="1">mgm(J142)</f>
        <v>Rupees Twenty Six Thousand Two Hundred Only</v>
      </c>
      <c r="B142" s="329"/>
      <c r="C142" s="329"/>
      <c r="D142" s="329"/>
      <c r="E142" s="329"/>
      <c r="F142" s="329"/>
      <c r="G142" s="332"/>
      <c r="H142" s="333" t="s">
        <v>17</v>
      </c>
      <c r="I142" s="334"/>
      <c r="J142" s="330">
        <f ca="1">C139-J139</f>
        <v>26200</v>
      </c>
      <c r="K142" s="331"/>
      <c r="L142" s="205"/>
      <c r="M142" s="90"/>
      <c r="N142" s="90"/>
    </row>
    <row r="143" spans="1:14" s="1" customFormat="1" ht="3" customHeight="1" x14ac:dyDescent="0.3">
      <c r="A143" s="108"/>
      <c r="B143" s="109"/>
      <c r="C143" s="109"/>
      <c r="D143" s="109"/>
      <c r="E143" s="110"/>
      <c r="F143" s="110"/>
      <c r="G143" s="109"/>
      <c r="H143" s="127"/>
      <c r="I143" s="111"/>
      <c r="J143" s="111"/>
      <c r="K143" s="112"/>
      <c r="M143" s="88"/>
      <c r="N143" s="88"/>
    </row>
    <row r="144" spans="1:14" s="1" customFormat="1" ht="19.95" customHeight="1" x14ac:dyDescent="0.3">
      <c r="A144" s="323" t="s">
        <v>18</v>
      </c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M144" s="88"/>
      <c r="N144" s="88"/>
    </row>
    <row r="145" spans="1:14" s="132" customFormat="1" ht="60" customHeight="1" x14ac:dyDescent="0.3">
      <c r="A145" s="181"/>
      <c r="E145" s="181"/>
      <c r="F145" s="181"/>
    </row>
    <row r="146" spans="1:14" s="2" customFormat="1" ht="19.95" customHeight="1" x14ac:dyDescent="0.3">
      <c r="A146" s="338" t="s">
        <v>107</v>
      </c>
      <c r="B146" s="339"/>
      <c r="C146" s="339"/>
      <c r="D146" s="339"/>
      <c r="E146" s="339"/>
      <c r="F146" s="339"/>
      <c r="G146" s="339"/>
      <c r="H146" s="339"/>
      <c r="I146" s="339"/>
      <c r="J146" s="339"/>
      <c r="K146" s="340"/>
      <c r="L146" s="1"/>
      <c r="M146" s="86"/>
      <c r="N146" s="87"/>
    </row>
    <row r="147" spans="1:14" s="2" customFormat="1" ht="15" customHeight="1" x14ac:dyDescent="0.3">
      <c r="A147" s="341" t="s">
        <v>180</v>
      </c>
      <c r="B147" s="342"/>
      <c r="C147" s="342"/>
      <c r="D147" s="342"/>
      <c r="E147" s="342"/>
      <c r="F147" s="342"/>
      <c r="G147" s="342"/>
      <c r="H147" s="342"/>
      <c r="I147" s="342"/>
      <c r="J147" s="342"/>
      <c r="K147" s="343"/>
      <c r="L147" s="1"/>
      <c r="M147" s="86"/>
      <c r="N147" s="88"/>
    </row>
    <row r="148" spans="1:14" s="2" customFormat="1" ht="15" customHeight="1" x14ac:dyDescent="0.3">
      <c r="A148" s="344" t="s">
        <v>72</v>
      </c>
      <c r="B148" s="345"/>
      <c r="C148" s="345"/>
      <c r="D148" s="345"/>
      <c r="E148" s="345"/>
      <c r="F148" s="345"/>
      <c r="G148" s="345"/>
      <c r="H148" s="345"/>
      <c r="I148" s="345"/>
      <c r="J148" s="345"/>
      <c r="K148" s="346"/>
      <c r="L148" s="1"/>
      <c r="M148" s="86"/>
      <c r="N148" s="88"/>
    </row>
    <row r="149" spans="1:14" s="2" customFormat="1" ht="4.95" customHeight="1" x14ac:dyDescent="0.3">
      <c r="A149" s="92"/>
      <c r="B149" s="347"/>
      <c r="C149" s="347"/>
      <c r="D149" s="347"/>
      <c r="E149" s="347"/>
      <c r="F149" s="347"/>
      <c r="G149" s="347"/>
      <c r="H149" s="347"/>
      <c r="I149" s="347"/>
      <c r="J149" s="347"/>
      <c r="K149" s="348"/>
      <c r="L149" s="1"/>
      <c r="M149" s="88"/>
      <c r="N149" s="88"/>
    </row>
    <row r="150" spans="1:14" s="2" customFormat="1" ht="3" customHeight="1" x14ac:dyDescent="0.3">
      <c r="A150" s="93"/>
      <c r="B150" s="94"/>
      <c r="C150" s="94"/>
      <c r="D150" s="94"/>
      <c r="E150" s="95"/>
      <c r="F150" s="95"/>
      <c r="G150" s="94"/>
      <c r="H150" s="94"/>
      <c r="I150" s="94"/>
      <c r="J150" s="94"/>
      <c r="K150" s="96"/>
      <c r="L150" s="1"/>
      <c r="M150" s="88"/>
      <c r="N150" s="88"/>
    </row>
    <row r="151" spans="1:14" s="2" customFormat="1" x14ac:dyDescent="0.3">
      <c r="A151" s="123" t="s">
        <v>68</v>
      </c>
      <c r="B151" s="124" t="str">
        <f ca="1">VLOOKUP($B152,Salary_Master_2,3,FALSE)</f>
        <v>W005</v>
      </c>
      <c r="C151" s="349" t="s">
        <v>21</v>
      </c>
      <c r="D151" s="349"/>
      <c r="E151" s="350">
        <f>IF($E$1="","",$E$1)</f>
        <v>45809</v>
      </c>
      <c r="F151" s="350"/>
      <c r="G151" s="97" t="s">
        <v>22</v>
      </c>
      <c r="H151" s="98">
        <f ca="1">VLOOKUP($B152,INDIRECT(VLOOKUP($E$7,$M$2:$N$20,2,FALSE)),3,FALSE)</f>
        <v>30</v>
      </c>
      <c r="I151" s="99"/>
      <c r="J151" s="100" t="s">
        <v>27</v>
      </c>
      <c r="K151" s="101"/>
      <c r="L151" s="1"/>
      <c r="M151" s="86"/>
      <c r="N151" s="88"/>
    </row>
    <row r="152" spans="1:14" s="2" customFormat="1" x14ac:dyDescent="0.3">
      <c r="A152" s="123" t="s">
        <v>19</v>
      </c>
      <c r="B152" s="124" t="str">
        <f ca="1">IF(Salary_Master_2!$B$9="","",VLOOKUP(Salary_Master_2!$B$9,INDIRECT(VLOOKUP($E151,$M$2:$N$20,2,FALSE)),1,FALSE))</f>
        <v>Darshana Bhagat</v>
      </c>
      <c r="C152" s="351" t="s">
        <v>1</v>
      </c>
      <c r="D152" s="351"/>
      <c r="E152" s="352">
        <f ca="1">SUM($H151:$H154)</f>
        <v>31</v>
      </c>
      <c r="F152" s="352"/>
      <c r="G152" s="97" t="s">
        <v>24</v>
      </c>
      <c r="H152" s="102">
        <f ca="1">VLOOKUP($B152,INDIRECT(VLOOKUP($E$7,$M$2:$N$20,2,FALSE)),4,FALSE)</f>
        <v>1</v>
      </c>
      <c r="I152" s="100"/>
      <c r="J152" s="103" t="s">
        <v>28</v>
      </c>
      <c r="K152" s="101">
        <f ca="1">VLOOKUP($B152,INDIRECT(VLOOKUP($E$7,$M$2:$N$20,2,FALSE)),29,FALSE)</f>
        <v>37300</v>
      </c>
      <c r="L152" s="1"/>
      <c r="M152" s="86"/>
      <c r="N152" s="88"/>
    </row>
    <row r="153" spans="1:14" s="2" customFormat="1" x14ac:dyDescent="0.3">
      <c r="A153" s="123" t="s">
        <v>0</v>
      </c>
      <c r="B153" s="124" t="str">
        <f ca="1">VLOOKUP($B152,Salary_Master_2,4,FALSE)</f>
        <v>PCB Assembler</v>
      </c>
      <c r="C153" s="124"/>
      <c r="D153" s="103" t="s">
        <v>70</v>
      </c>
      <c r="E153" s="337">
        <f ca="1">VLOOKUP($B152,Salary_Master_2,9,FALSE)</f>
        <v>100129979250</v>
      </c>
      <c r="F153" s="337"/>
      <c r="G153" s="97" t="s">
        <v>25</v>
      </c>
      <c r="H153" s="102">
        <f ca="1">VLOOKUP($B152,INDIRECT(VLOOKUP($E$7,$M$2:$N$20,2,FALSE)),5,FALSE)</f>
        <v>0</v>
      </c>
      <c r="I153" s="97"/>
      <c r="J153" s="103" t="s">
        <v>29</v>
      </c>
      <c r="K153" s="101" t="str">
        <f ca="1">VLOOKUP($B152,INDIRECT(VLOOKUP($E$7,$M$2:$N$20,2,FALSE)),30,FALSE)</f>
        <v>Female</v>
      </c>
      <c r="L153" s="1"/>
      <c r="M153" s="86"/>
      <c r="N153" s="88"/>
    </row>
    <row r="154" spans="1:14" s="2" customFormat="1" x14ac:dyDescent="0.3">
      <c r="A154" s="123" t="s">
        <v>20</v>
      </c>
      <c r="B154" s="124" t="str">
        <f ca="1">VLOOKUP($B152,Salary_Master_2,5,FALSE)</f>
        <v>Production</v>
      </c>
      <c r="C154" s="124"/>
      <c r="D154" s="103" t="s">
        <v>71</v>
      </c>
      <c r="E154" s="337" t="str">
        <f ca="1">VLOOKUP($B152,Salary_Master_2,10,FALSE)</f>
        <v>NA</v>
      </c>
      <c r="F154" s="337"/>
      <c r="G154" s="97" t="s">
        <v>26</v>
      </c>
      <c r="H154" s="102">
        <f ca="1">VLOOKUP($B152,INDIRECT(VLOOKUP($E$7,$M$2:$N$20,2,FALSE)),6,FALSE)</f>
        <v>0</v>
      </c>
      <c r="I154" s="97"/>
      <c r="J154" s="103" t="s">
        <v>30</v>
      </c>
      <c r="K154" s="101">
        <f ca="1">VLOOKUP($B152,INDIRECT(VLOOKUP($E$7,$M$2:$N$20,2,FALSE)),31,FALSE)</f>
        <v>1.5</v>
      </c>
      <c r="L154" s="1"/>
      <c r="M154" s="86"/>
      <c r="N154" s="88"/>
    </row>
    <row r="155" spans="1:14" s="2" customFormat="1" x14ac:dyDescent="0.3">
      <c r="A155" s="123" t="s">
        <v>69</v>
      </c>
      <c r="B155" s="124" t="str">
        <f ca="1">VLOOKUP($B152,Salary_Master_2,6,FALSE)</f>
        <v>Ansa Factory</v>
      </c>
      <c r="C155" s="124"/>
      <c r="D155" s="104"/>
      <c r="E155" s="105"/>
      <c r="F155" s="105"/>
      <c r="G155" s="97" t="s">
        <v>23</v>
      </c>
      <c r="H155" s="102">
        <f ca="1">VLOOKUP($B152,INDIRECT(VLOOKUP($E$7,$M$2:$N$20,2,FALSE)),8,FALSE)</f>
        <v>0</v>
      </c>
      <c r="I155" s="97"/>
      <c r="J155" s="125"/>
      <c r="K155" s="101"/>
      <c r="L155" s="1"/>
      <c r="M155" s="86"/>
      <c r="N155" s="88"/>
    </row>
    <row r="156" spans="1:14" s="2" customFormat="1" x14ac:dyDescent="0.3">
      <c r="A156" s="123" t="s">
        <v>32</v>
      </c>
      <c r="B156" s="106">
        <f ca="1">VLOOKUP($B152,Salary_Master_2,7,FALSE)</f>
        <v>39213</v>
      </c>
      <c r="C156" s="106"/>
      <c r="D156" s="104"/>
      <c r="E156" s="105"/>
      <c r="F156" s="105"/>
      <c r="G156" s="97" t="s">
        <v>31</v>
      </c>
      <c r="H156" s="102">
        <f ca="1">VLOOKUP($B152,INDIRECT(VLOOKUP($E$7,$M$2:$N$20,2,FALSE)),9,FALSE)</f>
        <v>0</v>
      </c>
      <c r="I156" s="107"/>
      <c r="J156" s="107"/>
      <c r="K156" s="101"/>
      <c r="L156" s="1"/>
      <c r="M156" s="86"/>
      <c r="N156" s="88"/>
    </row>
    <row r="157" spans="1:14" s="2" customFormat="1" ht="3" customHeight="1" x14ac:dyDescent="0.3">
      <c r="A157" s="108"/>
      <c r="B157" s="109"/>
      <c r="C157" s="109"/>
      <c r="D157" s="109"/>
      <c r="E157" s="110"/>
      <c r="F157" s="110"/>
      <c r="G157" s="109"/>
      <c r="H157" s="109"/>
      <c r="I157" s="111"/>
      <c r="J157" s="111"/>
      <c r="K157" s="112"/>
      <c r="L157" s="1"/>
      <c r="M157" s="88"/>
      <c r="N157" s="88"/>
    </row>
    <row r="158" spans="1:14" s="2" customFormat="1" ht="3" customHeight="1" x14ac:dyDescent="0.3">
      <c r="A158" s="123"/>
      <c r="B158" s="113"/>
      <c r="C158" s="113"/>
      <c r="D158" s="113"/>
      <c r="E158" s="124"/>
      <c r="F158" s="124"/>
      <c r="G158" s="113"/>
      <c r="H158" s="113"/>
      <c r="I158" s="114"/>
      <c r="J158" s="114"/>
      <c r="K158" s="115"/>
      <c r="L158" s="1"/>
      <c r="M158" s="88"/>
      <c r="N158" s="88"/>
    </row>
    <row r="159" spans="1:14" s="1" customFormat="1" ht="3" customHeight="1" x14ac:dyDescent="0.3">
      <c r="A159" s="116"/>
      <c r="B159" s="117"/>
      <c r="C159" s="117"/>
      <c r="D159" s="115"/>
      <c r="E159" s="118"/>
      <c r="F159" s="118"/>
      <c r="G159" s="117"/>
      <c r="H159" s="117"/>
      <c r="I159" s="119"/>
      <c r="J159" s="119"/>
      <c r="K159" s="115"/>
      <c r="M159" s="88"/>
      <c r="N159" s="88"/>
    </row>
    <row r="160" spans="1:14" s="1" customFormat="1" ht="12" customHeight="1" x14ac:dyDescent="0.3">
      <c r="A160" s="120" t="s">
        <v>4</v>
      </c>
      <c r="B160" s="113"/>
      <c r="C160" s="113"/>
      <c r="D160" s="121" t="s">
        <v>5</v>
      </c>
      <c r="E160" s="122" t="s">
        <v>6</v>
      </c>
      <c r="F160" s="122"/>
      <c r="G160" s="113"/>
      <c r="H160" s="113"/>
      <c r="I160" s="113"/>
      <c r="J160" s="113"/>
      <c r="K160" s="121" t="s">
        <v>5</v>
      </c>
      <c r="M160" s="86"/>
      <c r="N160" s="88"/>
    </row>
    <row r="161" spans="1:14" s="1" customFormat="1" ht="3" customHeight="1" x14ac:dyDescent="0.3">
      <c r="A161" s="108"/>
      <c r="B161" s="109"/>
      <c r="C161" s="109"/>
      <c r="D161" s="112"/>
      <c r="E161" s="110"/>
      <c r="F161" s="110"/>
      <c r="G161" s="109"/>
      <c r="H161" s="109"/>
      <c r="I161" s="111"/>
      <c r="J161" s="111"/>
      <c r="K161" s="112"/>
      <c r="M161" s="88"/>
      <c r="N161" s="88"/>
    </row>
    <row r="162" spans="1:14" s="1" customFormat="1" ht="3" customHeight="1" x14ac:dyDescent="0.3">
      <c r="A162" s="123"/>
      <c r="B162" s="113"/>
      <c r="C162" s="113"/>
      <c r="D162" s="101"/>
      <c r="E162" s="124"/>
      <c r="F162" s="124"/>
      <c r="G162" s="113"/>
      <c r="H162" s="113"/>
      <c r="I162" s="114"/>
      <c r="J162" s="114"/>
      <c r="K162" s="101"/>
      <c r="M162" s="88"/>
      <c r="N162" s="88"/>
    </row>
    <row r="163" spans="1:14" s="1" customFormat="1" ht="12" customHeight="1" x14ac:dyDescent="0.3">
      <c r="A163" s="324" t="s">
        <v>7</v>
      </c>
      <c r="B163" s="325"/>
      <c r="C163" s="326">
        <f ca="1">VLOOKUP($B152,INDIRECT(VLOOKUP($E151,$M$2:$N$20,2,FALSE)),13,FALSE)</f>
        <v>11500</v>
      </c>
      <c r="D163" s="327"/>
      <c r="E163" s="324" t="s">
        <v>8</v>
      </c>
      <c r="F163" s="325"/>
      <c r="G163" s="325"/>
      <c r="H163" s="325"/>
      <c r="I163" s="325"/>
      <c r="J163" s="326">
        <f ca="1">VLOOKUP($B152,INDIRECT(VLOOKUP($E151,$M$2:$N$20,2,FALSE)),22,FALSE)</f>
        <v>0</v>
      </c>
      <c r="K163" s="327"/>
      <c r="M163" s="86"/>
      <c r="N163" s="88"/>
    </row>
    <row r="164" spans="1:14" s="1" customFormat="1" ht="12" customHeight="1" x14ac:dyDescent="0.3">
      <c r="A164" s="324" t="s">
        <v>9</v>
      </c>
      <c r="B164" s="325"/>
      <c r="C164" s="326">
        <f ca="1">VLOOKUP($B152,INDIRECT(VLOOKUP($E151,$M$2:$N$20,2,FALSE)),14,FALSE)</f>
        <v>4600</v>
      </c>
      <c r="D164" s="327"/>
      <c r="E164" s="324" t="s">
        <v>94</v>
      </c>
      <c r="F164" s="325"/>
      <c r="G164" s="325"/>
      <c r="H164" s="325"/>
      <c r="I164" s="325"/>
      <c r="J164" s="326">
        <f ca="1">VLOOKUP($B152,INDIRECT(VLOOKUP($E151,$M$2:$N$20,2,FALSE)),23,FALSE)</f>
        <v>0</v>
      </c>
      <c r="K164" s="327"/>
      <c r="M164" s="86"/>
      <c r="N164" s="88"/>
    </row>
    <row r="165" spans="1:14" s="1" customFormat="1" ht="12" customHeight="1" x14ac:dyDescent="0.3">
      <c r="A165" s="324" t="s">
        <v>11</v>
      </c>
      <c r="B165" s="325"/>
      <c r="C165" s="326">
        <f ca="1">VLOOKUP($B152,INDIRECT(VLOOKUP($E151,$M$2:$N$20,2,FALSE)),15,FALSE)</f>
        <v>1600</v>
      </c>
      <c r="D165" s="327"/>
      <c r="E165" s="324" t="s">
        <v>10</v>
      </c>
      <c r="F165" s="325"/>
      <c r="G165" s="325"/>
      <c r="H165" s="325"/>
      <c r="I165" s="325"/>
      <c r="J165" s="326">
        <f ca="1">VLOOKUP($B152,INDIRECT(VLOOKUP($E151,$M$2:$N$20,2,FALSE)),24,FALSE)</f>
        <v>0</v>
      </c>
      <c r="K165" s="327"/>
      <c r="M165" s="87"/>
      <c r="N165" s="86"/>
    </row>
    <row r="166" spans="1:14" s="1" customFormat="1" ht="12" customHeight="1" x14ac:dyDescent="0.3">
      <c r="A166" s="324" t="s">
        <v>3</v>
      </c>
      <c r="B166" s="325"/>
      <c r="C166" s="326">
        <f ca="1">VLOOKUP($B152,INDIRECT(VLOOKUP($E151,$M$2:$N$20,2,FALSE)),16,FALSE)</f>
        <v>958</v>
      </c>
      <c r="D166" s="327"/>
      <c r="E166" s="324" t="s">
        <v>93</v>
      </c>
      <c r="F166" s="325"/>
      <c r="G166" s="325"/>
      <c r="H166" s="325"/>
      <c r="I166" s="325"/>
      <c r="J166" s="326">
        <f ca="1">VLOOKUP($B152,INDIRECT(VLOOKUP($E151,$M$2:$N$20,2,FALSE)),25,FALSE)</f>
        <v>0</v>
      </c>
      <c r="K166" s="327"/>
      <c r="M166" s="87"/>
      <c r="N166" s="89"/>
    </row>
    <row r="167" spans="1:14" s="1" customFormat="1" ht="12" customHeight="1" x14ac:dyDescent="0.3">
      <c r="A167" s="324" t="s">
        <v>13</v>
      </c>
      <c r="B167" s="325"/>
      <c r="C167" s="326">
        <f ca="1">VLOOKUP($B152,INDIRECT(VLOOKUP($E151,$M$2:$N$20,2,FALSE)),17,FALSE)</f>
        <v>18842</v>
      </c>
      <c r="D167" s="327"/>
      <c r="E167" s="324" t="s">
        <v>12</v>
      </c>
      <c r="F167" s="325"/>
      <c r="G167" s="325"/>
      <c r="H167" s="325"/>
      <c r="I167" s="325"/>
      <c r="J167" s="326">
        <f ca="1">VLOOKUP($B152,INDIRECT(VLOOKUP($E151,$M$2:$N$20,2,FALSE)),26,FALSE)</f>
        <v>200</v>
      </c>
      <c r="K167" s="327"/>
      <c r="M167" s="88" t="s">
        <v>73</v>
      </c>
      <c r="N167" s="88" t="str">
        <f ca="1">IF(VLOOKUP($B152,INDIRECT(VLOOKUP($E151,$M$2:$N$20,2,FALSE)),38,FALSE)&gt;0,"Yes","No")</f>
        <v>No</v>
      </c>
    </row>
    <row r="168" spans="1:14" s="1" customFormat="1" ht="12" customHeight="1" x14ac:dyDescent="0.3">
      <c r="A168" s="324" t="str">
        <f ca="1">IF($J164&gt;0,"Other Allowance",IF(VLOOKUP($B152,INDIRECT(VLOOKUP($E151,$M$2:$N$20,2,FALSE)),44,FALSE)=0,"",IF($E151=DATE(2025,6,1),"Arrears of Apr &amp; May-2025","")))</f>
        <v>Arrears of Apr &amp; May-2025</v>
      </c>
      <c r="B168" s="325"/>
      <c r="C168" s="326" cm="1">
        <f t="array" aca="1" ref="C168" ca="1">_xlfn.IFS($A168="","",$A168="Other Allowance",VLOOKUP($B152,INDIRECT(VLOOKUP($E151,$M$2:$N$20,2,FALSE)),18,FALSE),$A168="Arrears of Apr &amp; May-2025",VLOOKUP($B152,INDIRECT(VLOOKUP($E151,$M$2:$N$20,2,FALSE)),44,FALSE))</f>
        <v>4000</v>
      </c>
      <c r="D168" s="327"/>
      <c r="E168" s="324" t="str" cm="1">
        <f t="array" aca="1" ref="E168" ca="1">_xlfn.IFS(N167="Yes",M167,N168="Yes",M168,TRUE,"")</f>
        <v/>
      </c>
      <c r="F168" s="325"/>
      <c r="G168" s="325"/>
      <c r="H168" s="325"/>
      <c r="I168" s="325"/>
      <c r="J168" s="335" t="str" cm="1">
        <f t="array" aca="1" ref="J168" ca="1">IF(E168="","",_xlfn.IFS(N167="Yes",VLOOKUP($B152,INDIRECT(VLOOKUP($E151,$M$2:$N$20,2,FALSE)),27,FALSE),N168="Yes",VLOOKUP($B152,INDIRECT(VLOOKUP($E151,$M$2:$N$20,2,FALSE)),28,FALSE)))</f>
        <v/>
      </c>
      <c r="K168" s="336"/>
      <c r="M168" s="88" t="s">
        <v>14</v>
      </c>
      <c r="N168" s="88" t="str">
        <f ca="1">IF(VLOOKUP($B152,INDIRECT(VLOOKUP($E$7,$M$2:$N$20,2,FALSE)),39,FALSE)&gt;0,"Yes","No")</f>
        <v>No</v>
      </c>
    </row>
    <row r="169" spans="1:14" s="1" customFormat="1" ht="12" customHeight="1" x14ac:dyDescent="0.3">
      <c r="A169" s="324" t="str" cm="1">
        <f t="array" aca="1" ref="A169" ca="1">_xlfn.IFS($A168="","",$A168="Other Allowance","EPF",$A168="Arrears of Apr &amp; May-2025","",VLOOKUP($B152,INDIRECT(VLOOKUP($E151,$M$2:$N$20,2,FALSE)),44,FALSE)=0,"",$E151=DATE(2025,6,1),"Arrears of Apr &amp; May-2025")</f>
        <v/>
      </c>
      <c r="B169" s="325"/>
      <c r="C169" s="326" t="str" cm="1">
        <f t="array" aca="1" ref="C169" ca="1">_xlfn.IFS($A169="","",$A169="EPF",VLOOKUP($B152,INDIRECT(VLOOKUP($E151,$M$2:$N$20,2,FALSE)),19,FALSE),$A169="Arrears of Apr &amp; May-2025",VLOOKUP($B152,INDIRECT(VLOOKUP($E151,$M$2:$N$20,2,FALSE)),44,FALSE))</f>
        <v/>
      </c>
      <c r="D169" s="327"/>
      <c r="E169" s="324" t="str" cm="1">
        <f t="array" aca="1" ref="E169" ca="1">_xlfn.IFS(N168="No","",N167="Yes",M168,TRUE,"")</f>
        <v/>
      </c>
      <c r="F169" s="325"/>
      <c r="G169" s="325"/>
      <c r="H169" s="325"/>
      <c r="I169" s="325"/>
      <c r="J169" s="335" t="str">
        <f ca="1">IF(E169="","",VLOOKUP($B152,INDIRECT(VLOOKUP($E151,$M$2:$N$20,2,FALSE)),28,FALSE))</f>
        <v/>
      </c>
      <c r="K169" s="336"/>
      <c r="M169" s="130"/>
      <c r="N169" s="88"/>
    </row>
    <row r="170" spans="1:14" s="1" customFormat="1" ht="12" customHeight="1" x14ac:dyDescent="0.3">
      <c r="A170" s="324" t="str">
        <f ca="1">IF($J166&gt;0,"ESIC (Employer)",IF($A169="","",IF(VLOOKUP($B152,INDIRECT(VLOOKUP($E151,$M$2:$N$20,2,FALSE)),44,FALSE)="","",IF($E151=DATE(2025,6,1),"Arrears of Apr &amp; May-2025",""))))</f>
        <v/>
      </c>
      <c r="B170" s="325"/>
      <c r="C170" s="326" t="str" cm="1">
        <f t="array" aca="1" ref="C170" ca="1">_xlfn.IFS($A170="","",$A170="ESIC (Employer)",VLOOKUP($B152,INDIRECT(VLOOKUP($E151,$M$2:$N$20,2,FALSE)),20,FALSE),$A170="Arrears of Apr &amp; May-2025",VLOOKUP($B152,INDIRECT(VLOOKUP($E151,$M$2:$N$20,2,FALSE)),44,FALSE))</f>
        <v/>
      </c>
      <c r="D170" s="327"/>
      <c r="E170" s="324"/>
      <c r="F170" s="325"/>
      <c r="G170" s="325"/>
      <c r="H170" s="325"/>
      <c r="I170" s="325"/>
      <c r="J170" s="335"/>
      <c r="K170" s="336"/>
      <c r="M170" s="88"/>
      <c r="N170" s="88"/>
    </row>
    <row r="171" spans="1:14" s="1" customFormat="1" ht="12" customHeight="1" x14ac:dyDescent="0.3">
      <c r="A171" s="324" t="str">
        <f ca="1">IF($A170="","",IF(VLOOKUP($B152,INDIRECT(VLOOKUP($E151,$M$2:$N$20,2,FALSE)),44,FALSE)=0,"",IF($A170="Arrears of Apr &amp; May-2025","",IF($E151=DATE(2025,6,1),"Arrears of Apr &amp; May-2025",""))))</f>
        <v/>
      </c>
      <c r="B171" s="325"/>
      <c r="C171" s="326" t="str" cm="1">
        <f t="array" aca="1" ref="C171" ca="1">_xlfn.IFS($A171="","",$A171="Arrears of Apr &amp; May-2025",VLOOKUP($B152,INDIRECT(VLOOKUP($E151,$M$2:$N$20,2,FALSE)),44,FALSE))</f>
        <v/>
      </c>
      <c r="D171" s="327"/>
      <c r="E171" s="324"/>
      <c r="F171" s="325"/>
      <c r="G171" s="325"/>
      <c r="H171" s="325"/>
      <c r="I171" s="325"/>
      <c r="J171" s="335"/>
      <c r="K171" s="336"/>
      <c r="M171" s="88"/>
      <c r="N171" s="88"/>
    </row>
    <row r="172" spans="1:14" s="1" customFormat="1" ht="12" customHeight="1" x14ac:dyDescent="0.3">
      <c r="A172" s="324"/>
      <c r="B172" s="325"/>
      <c r="C172" s="326"/>
      <c r="D172" s="327"/>
      <c r="E172" s="124"/>
      <c r="F172" s="124"/>
      <c r="G172" s="124"/>
      <c r="H172" s="124"/>
      <c r="I172" s="124"/>
      <c r="J172" s="335"/>
      <c r="K172" s="336"/>
      <c r="M172" s="88"/>
      <c r="N172" s="88"/>
    </row>
    <row r="173" spans="1:14" s="1" customFormat="1" ht="3" customHeight="1" x14ac:dyDescent="0.3">
      <c r="A173" s="108"/>
      <c r="B173" s="109"/>
      <c r="C173" s="109"/>
      <c r="D173" s="112"/>
      <c r="E173" s="110"/>
      <c r="F173" s="110"/>
      <c r="G173" s="109"/>
      <c r="H173" s="109"/>
      <c r="I173" s="111"/>
      <c r="J173" s="111"/>
      <c r="K173" s="112"/>
      <c r="M173" s="88"/>
      <c r="N173" s="88"/>
    </row>
    <row r="174" spans="1:14" s="1" customFormat="1" ht="3" customHeight="1" x14ac:dyDescent="0.3">
      <c r="A174" s="123"/>
      <c r="B174" s="113"/>
      <c r="C174" s="113"/>
      <c r="D174" s="101"/>
      <c r="E174" s="124"/>
      <c r="F174" s="124"/>
      <c r="G174" s="113"/>
      <c r="H174" s="113"/>
      <c r="I174" s="114"/>
      <c r="J174" s="114"/>
      <c r="K174" s="101"/>
      <c r="M174" s="88"/>
      <c r="N174" s="88"/>
    </row>
    <row r="175" spans="1:14" s="4" customFormat="1" ht="19.95" customHeight="1" x14ac:dyDescent="0.3">
      <c r="A175" s="328" t="s">
        <v>15</v>
      </c>
      <c r="B175" s="329"/>
      <c r="C175" s="330">
        <f ca="1">SUM(C163:D174)</f>
        <v>41500</v>
      </c>
      <c r="D175" s="331"/>
      <c r="E175" s="328" t="s">
        <v>16</v>
      </c>
      <c r="F175" s="329"/>
      <c r="G175" s="329"/>
      <c r="H175" s="329"/>
      <c r="I175" s="329"/>
      <c r="J175" s="330">
        <f ca="1">SUM(J163:K171)</f>
        <v>200</v>
      </c>
      <c r="K175" s="331"/>
      <c r="M175" s="129"/>
      <c r="N175" s="90"/>
    </row>
    <row r="176" spans="1:14" s="1" customFormat="1" ht="3" customHeight="1" x14ac:dyDescent="0.3">
      <c r="A176" s="108"/>
      <c r="B176" s="109"/>
      <c r="C176" s="109"/>
      <c r="D176" s="112"/>
      <c r="E176" s="110"/>
      <c r="F176" s="110"/>
      <c r="G176" s="109"/>
      <c r="H176" s="109"/>
      <c r="I176" s="111"/>
      <c r="J176" s="111"/>
      <c r="K176" s="112"/>
      <c r="M176" s="88"/>
      <c r="N176" s="88"/>
    </row>
    <row r="177" spans="1:14" s="1" customFormat="1" ht="3" customHeight="1" x14ac:dyDescent="0.3">
      <c r="A177" s="123"/>
      <c r="B177" s="113"/>
      <c r="C177" s="113"/>
      <c r="D177" s="117"/>
      <c r="E177" s="118"/>
      <c r="F177" s="124"/>
      <c r="G177" s="113"/>
      <c r="H177" s="126"/>
      <c r="I177" s="119"/>
      <c r="J177" s="119"/>
      <c r="K177" s="115"/>
      <c r="M177" s="88"/>
      <c r="N177" s="88"/>
    </row>
    <row r="178" spans="1:14" s="5" customFormat="1" ht="19.95" customHeight="1" x14ac:dyDescent="0.3">
      <c r="A178" s="328" t="str" cm="1">
        <f t="array" aca="1" ref="A178" ca="1">mgm(J178)</f>
        <v>Rupees Forty One Thousand Three Hundred Only</v>
      </c>
      <c r="B178" s="329"/>
      <c r="C178" s="329"/>
      <c r="D178" s="329"/>
      <c r="E178" s="329"/>
      <c r="F178" s="329"/>
      <c r="G178" s="332"/>
      <c r="H178" s="333" t="s">
        <v>17</v>
      </c>
      <c r="I178" s="334"/>
      <c r="J178" s="330">
        <f ca="1">C175-J175</f>
        <v>41300</v>
      </c>
      <c r="K178" s="331"/>
      <c r="L178" s="205"/>
      <c r="M178" s="90"/>
      <c r="N178" s="90"/>
    </row>
    <row r="179" spans="1:14" s="1" customFormat="1" ht="3" customHeight="1" x14ac:dyDescent="0.3">
      <c r="A179" s="108"/>
      <c r="B179" s="109"/>
      <c r="C179" s="109"/>
      <c r="D179" s="109"/>
      <c r="E179" s="110"/>
      <c r="F179" s="110"/>
      <c r="G179" s="109"/>
      <c r="H179" s="127"/>
      <c r="I179" s="111"/>
      <c r="J179" s="111"/>
      <c r="K179" s="112"/>
      <c r="M179" s="88"/>
      <c r="N179" s="88"/>
    </row>
    <row r="180" spans="1:14" s="1" customFormat="1" ht="19.95" customHeight="1" x14ac:dyDescent="0.3">
      <c r="A180" s="323" t="s">
        <v>18</v>
      </c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M180" s="88"/>
      <c r="N180" s="88"/>
    </row>
    <row r="181" spans="1:14" s="132" customFormat="1" ht="60" customHeight="1" x14ac:dyDescent="0.3">
      <c r="A181" s="181"/>
      <c r="E181" s="181"/>
      <c r="F181" s="181"/>
    </row>
    <row r="182" spans="1:14" s="2" customFormat="1" ht="19.95" customHeight="1" x14ac:dyDescent="0.3">
      <c r="A182" s="338" t="s">
        <v>107</v>
      </c>
      <c r="B182" s="339"/>
      <c r="C182" s="339"/>
      <c r="D182" s="339"/>
      <c r="E182" s="339"/>
      <c r="F182" s="339"/>
      <c r="G182" s="339"/>
      <c r="H182" s="339"/>
      <c r="I182" s="339"/>
      <c r="J182" s="339"/>
      <c r="K182" s="340"/>
      <c r="L182" s="1"/>
      <c r="M182" s="86"/>
      <c r="N182" s="87"/>
    </row>
    <row r="183" spans="1:14" s="2" customFormat="1" ht="15" customHeight="1" x14ac:dyDescent="0.3">
      <c r="A183" s="341" t="s">
        <v>180</v>
      </c>
      <c r="B183" s="342"/>
      <c r="C183" s="342"/>
      <c r="D183" s="342"/>
      <c r="E183" s="342"/>
      <c r="F183" s="342"/>
      <c r="G183" s="342"/>
      <c r="H183" s="342"/>
      <c r="I183" s="342"/>
      <c r="J183" s="342"/>
      <c r="K183" s="343"/>
      <c r="L183" s="1"/>
      <c r="M183" s="86"/>
      <c r="N183" s="88"/>
    </row>
    <row r="184" spans="1:14" s="2" customFormat="1" ht="15" customHeight="1" x14ac:dyDescent="0.3">
      <c r="A184" s="344" t="s">
        <v>72</v>
      </c>
      <c r="B184" s="345"/>
      <c r="C184" s="345"/>
      <c r="D184" s="345"/>
      <c r="E184" s="345"/>
      <c r="F184" s="345"/>
      <c r="G184" s="345"/>
      <c r="H184" s="345"/>
      <c r="I184" s="345"/>
      <c r="J184" s="345"/>
      <c r="K184" s="346"/>
      <c r="L184" s="1"/>
      <c r="M184" s="86"/>
      <c r="N184" s="88"/>
    </row>
    <row r="185" spans="1:14" s="2" customFormat="1" ht="4.95" customHeight="1" x14ac:dyDescent="0.3">
      <c r="A185" s="92"/>
      <c r="B185" s="347"/>
      <c r="C185" s="347"/>
      <c r="D185" s="347"/>
      <c r="E185" s="347"/>
      <c r="F185" s="347"/>
      <c r="G185" s="347"/>
      <c r="H185" s="347"/>
      <c r="I185" s="347"/>
      <c r="J185" s="347"/>
      <c r="K185" s="348"/>
      <c r="L185" s="1"/>
      <c r="M185" s="88"/>
      <c r="N185" s="88"/>
    </row>
    <row r="186" spans="1:14" s="2" customFormat="1" ht="3" customHeight="1" x14ac:dyDescent="0.3">
      <c r="A186" s="93"/>
      <c r="B186" s="94"/>
      <c r="C186" s="94"/>
      <c r="D186" s="94"/>
      <c r="E186" s="95"/>
      <c r="F186" s="95"/>
      <c r="G186" s="94"/>
      <c r="H186" s="94"/>
      <c r="I186" s="94"/>
      <c r="J186" s="94"/>
      <c r="K186" s="96"/>
      <c r="L186" s="1"/>
      <c r="M186" s="88"/>
      <c r="N186" s="88"/>
    </row>
    <row r="187" spans="1:14" s="2" customFormat="1" x14ac:dyDescent="0.3">
      <c r="A187" s="123" t="s">
        <v>68</v>
      </c>
      <c r="B187" s="124" t="str">
        <f ca="1">VLOOKUP($B188,Salary_Master_2,3,FALSE)</f>
        <v>H002</v>
      </c>
      <c r="C187" s="349" t="s">
        <v>21</v>
      </c>
      <c r="D187" s="349"/>
      <c r="E187" s="350">
        <f>IF($E$1="","",$E$1)</f>
        <v>45809</v>
      </c>
      <c r="F187" s="350"/>
      <c r="G187" s="97" t="s">
        <v>22</v>
      </c>
      <c r="H187" s="98">
        <f ca="1">VLOOKUP($B188,INDIRECT(VLOOKUP($E$7,$M$2:$N$20,2,FALSE)),3,FALSE)</f>
        <v>31</v>
      </c>
      <c r="I187" s="99"/>
      <c r="J187" s="100" t="s">
        <v>27</v>
      </c>
      <c r="K187" s="101"/>
      <c r="L187" s="1"/>
      <c r="M187" s="86"/>
      <c r="N187" s="88"/>
    </row>
    <row r="188" spans="1:14" s="2" customFormat="1" x14ac:dyDescent="0.3">
      <c r="A188" s="123" t="s">
        <v>19</v>
      </c>
      <c r="B188" s="124" t="str">
        <f ca="1">IF(Salary_Master_2!$B$10="","",VLOOKUP(Salary_Master_2!$B$10,INDIRECT(VLOOKUP($E187,$M$2:$N$20,2,FALSE)),1,FALSE))</f>
        <v>Kavita Sawant</v>
      </c>
      <c r="C188" s="351" t="s">
        <v>1</v>
      </c>
      <c r="D188" s="351"/>
      <c r="E188" s="352">
        <f ca="1">SUM($H187:$H190)</f>
        <v>31</v>
      </c>
      <c r="F188" s="352"/>
      <c r="G188" s="97" t="s">
        <v>24</v>
      </c>
      <c r="H188" s="102">
        <f ca="1">VLOOKUP($B188,INDIRECT(VLOOKUP($E$7,$M$2:$N$20,2,FALSE)),4,FALSE)</f>
        <v>0</v>
      </c>
      <c r="I188" s="100"/>
      <c r="J188" s="103" t="s">
        <v>28</v>
      </c>
      <c r="K188" s="101">
        <f ca="1">VLOOKUP($B188,INDIRECT(VLOOKUP($E$7,$M$2:$N$20,2,FALSE)),29,FALSE)</f>
        <v>73800</v>
      </c>
      <c r="L188" s="1"/>
      <c r="M188" s="86"/>
      <c r="N188" s="88"/>
    </row>
    <row r="189" spans="1:14" s="2" customFormat="1" x14ac:dyDescent="0.3">
      <c r="A189" s="123" t="s">
        <v>0</v>
      </c>
      <c r="B189" s="124" t="str">
        <f ca="1">VLOOKUP($B188,Salary_Master_2,4,FALSE)</f>
        <v>Accounts Manager</v>
      </c>
      <c r="C189" s="124"/>
      <c r="D189" s="103" t="s">
        <v>70</v>
      </c>
      <c r="E189" s="337" t="str">
        <f ca="1">VLOOKUP($B188,Salary_Master_2,9,FALSE)</f>
        <v>NA</v>
      </c>
      <c r="F189" s="337"/>
      <c r="G189" s="97" t="s">
        <v>25</v>
      </c>
      <c r="H189" s="102">
        <f ca="1">VLOOKUP($B188,INDIRECT(VLOOKUP($E$7,$M$2:$N$20,2,FALSE)),5,FALSE)</f>
        <v>0</v>
      </c>
      <c r="I189" s="97"/>
      <c r="J189" s="103" t="s">
        <v>29</v>
      </c>
      <c r="K189" s="101" t="str">
        <f ca="1">VLOOKUP($B188,INDIRECT(VLOOKUP($E$7,$M$2:$N$20,2,FALSE)),30,FALSE)</f>
        <v>Female</v>
      </c>
      <c r="L189" s="1"/>
      <c r="M189" s="86"/>
      <c r="N189" s="88"/>
    </row>
    <row r="190" spans="1:14" s="2" customFormat="1" x14ac:dyDescent="0.3">
      <c r="A190" s="123" t="s">
        <v>20</v>
      </c>
      <c r="B190" s="124" t="str">
        <f ca="1">VLOOKUP($B188,Salary_Master_2,5,FALSE)</f>
        <v>Accounts</v>
      </c>
      <c r="C190" s="124"/>
      <c r="D190" s="103" t="s">
        <v>71</v>
      </c>
      <c r="E190" s="337" t="str">
        <f ca="1">VLOOKUP($B188,Salary_Master_2,10,FALSE)</f>
        <v>NA</v>
      </c>
      <c r="F190" s="337"/>
      <c r="G190" s="97" t="s">
        <v>26</v>
      </c>
      <c r="H190" s="102">
        <f ca="1">VLOOKUP($B188,INDIRECT(VLOOKUP($E$7,$M$2:$N$20,2,FALSE)),6,FALSE)</f>
        <v>0</v>
      </c>
      <c r="I190" s="97"/>
      <c r="J190" s="103" t="s">
        <v>30</v>
      </c>
      <c r="K190" s="101">
        <f ca="1">VLOOKUP($B188,INDIRECT(VLOOKUP($E$7,$M$2:$N$20,2,FALSE)),31,FALSE)</f>
        <v>5</v>
      </c>
      <c r="L190" s="1"/>
      <c r="M190" s="86"/>
      <c r="N190" s="88"/>
    </row>
    <row r="191" spans="1:14" s="2" customFormat="1" x14ac:dyDescent="0.3">
      <c r="A191" s="123" t="s">
        <v>69</v>
      </c>
      <c r="B191" s="124" t="str">
        <f ca="1">VLOOKUP($B188,Salary_Master_2,6,FALSE)</f>
        <v>HO</v>
      </c>
      <c r="C191" s="124"/>
      <c r="D191" s="104"/>
      <c r="E191" s="105"/>
      <c r="F191" s="105"/>
      <c r="G191" s="97" t="s">
        <v>23</v>
      </c>
      <c r="H191" s="102">
        <f ca="1">VLOOKUP($B188,INDIRECT(VLOOKUP($E$7,$M$2:$N$20,2,FALSE)),8,FALSE)</f>
        <v>0</v>
      </c>
      <c r="I191" s="97"/>
      <c r="J191" s="125"/>
      <c r="K191" s="101"/>
      <c r="L191" s="1"/>
      <c r="M191" s="86"/>
      <c r="N191" s="88"/>
    </row>
    <row r="192" spans="1:14" s="2" customFormat="1" x14ac:dyDescent="0.3">
      <c r="A192" s="123" t="s">
        <v>32</v>
      </c>
      <c r="B192" s="106">
        <f ca="1">VLOOKUP($B188,Salary_Master_2,7,FALSE)</f>
        <v>39328</v>
      </c>
      <c r="C192" s="106"/>
      <c r="D192" s="104"/>
      <c r="E192" s="105"/>
      <c r="F192" s="105"/>
      <c r="G192" s="97" t="s">
        <v>31</v>
      </c>
      <c r="H192" s="102">
        <f ca="1">VLOOKUP($B188,INDIRECT(VLOOKUP($E$7,$M$2:$N$20,2,FALSE)),9,FALSE)</f>
        <v>7</v>
      </c>
      <c r="I192" s="107"/>
      <c r="J192" s="107"/>
      <c r="K192" s="101"/>
      <c r="L192" s="1"/>
      <c r="M192" s="86"/>
      <c r="N192" s="88"/>
    </row>
    <row r="193" spans="1:14" s="2" customFormat="1" ht="3" customHeight="1" x14ac:dyDescent="0.3">
      <c r="A193" s="108"/>
      <c r="B193" s="109"/>
      <c r="C193" s="109"/>
      <c r="D193" s="109"/>
      <c r="E193" s="110"/>
      <c r="F193" s="110"/>
      <c r="G193" s="109"/>
      <c r="H193" s="109"/>
      <c r="I193" s="111"/>
      <c r="J193" s="111"/>
      <c r="K193" s="112"/>
      <c r="L193" s="1"/>
      <c r="M193" s="88"/>
      <c r="N193" s="88"/>
    </row>
    <row r="194" spans="1:14" s="2" customFormat="1" ht="3" customHeight="1" x14ac:dyDescent="0.3">
      <c r="A194" s="123"/>
      <c r="B194" s="113"/>
      <c r="C194" s="113"/>
      <c r="D194" s="113"/>
      <c r="E194" s="124"/>
      <c r="F194" s="124"/>
      <c r="G194" s="113"/>
      <c r="H194" s="113"/>
      <c r="I194" s="114"/>
      <c r="J194" s="114"/>
      <c r="K194" s="115"/>
      <c r="L194" s="1"/>
      <c r="M194" s="88"/>
      <c r="N194" s="88"/>
    </row>
    <row r="195" spans="1:14" s="1" customFormat="1" ht="3" customHeight="1" x14ac:dyDescent="0.3">
      <c r="A195" s="116"/>
      <c r="B195" s="117"/>
      <c r="C195" s="117"/>
      <c r="D195" s="115"/>
      <c r="E195" s="118"/>
      <c r="F195" s="118"/>
      <c r="G195" s="117"/>
      <c r="H195" s="117"/>
      <c r="I195" s="119"/>
      <c r="J195" s="119"/>
      <c r="K195" s="115"/>
      <c r="M195" s="88"/>
      <c r="N195" s="88"/>
    </row>
    <row r="196" spans="1:14" s="1" customFormat="1" ht="12" customHeight="1" x14ac:dyDescent="0.3">
      <c r="A196" s="120" t="s">
        <v>4</v>
      </c>
      <c r="B196" s="113"/>
      <c r="C196" s="113"/>
      <c r="D196" s="121" t="s">
        <v>5</v>
      </c>
      <c r="E196" s="122" t="s">
        <v>6</v>
      </c>
      <c r="F196" s="122"/>
      <c r="G196" s="113"/>
      <c r="H196" s="113"/>
      <c r="I196" s="113"/>
      <c r="J196" s="113"/>
      <c r="K196" s="121" t="s">
        <v>5</v>
      </c>
      <c r="M196" s="86"/>
      <c r="N196" s="88"/>
    </row>
    <row r="197" spans="1:14" s="1" customFormat="1" ht="3" customHeight="1" x14ac:dyDescent="0.3">
      <c r="A197" s="108"/>
      <c r="B197" s="109"/>
      <c r="C197" s="109"/>
      <c r="D197" s="112"/>
      <c r="E197" s="110"/>
      <c r="F197" s="110"/>
      <c r="G197" s="109"/>
      <c r="H197" s="109"/>
      <c r="I197" s="111"/>
      <c r="J197" s="111"/>
      <c r="K197" s="112"/>
      <c r="M197" s="88"/>
      <c r="N197" s="88"/>
    </row>
    <row r="198" spans="1:14" s="1" customFormat="1" ht="3" customHeight="1" x14ac:dyDescent="0.3">
      <c r="A198" s="123"/>
      <c r="B198" s="113"/>
      <c r="C198" s="113"/>
      <c r="D198" s="101"/>
      <c r="E198" s="124"/>
      <c r="F198" s="124"/>
      <c r="G198" s="113"/>
      <c r="H198" s="113"/>
      <c r="I198" s="114"/>
      <c r="J198" s="114"/>
      <c r="K198" s="101"/>
      <c r="M198" s="88"/>
      <c r="N198" s="88"/>
    </row>
    <row r="199" spans="1:14" s="1" customFormat="1" ht="12" customHeight="1" x14ac:dyDescent="0.3">
      <c r="A199" s="324" t="s">
        <v>7</v>
      </c>
      <c r="B199" s="325"/>
      <c r="C199" s="326">
        <f ca="1">VLOOKUP($B188,INDIRECT(VLOOKUP($E187,$M$2:$N$20,2,FALSE)),13,FALSE)</f>
        <v>20000</v>
      </c>
      <c r="D199" s="327"/>
      <c r="E199" s="324" t="s">
        <v>8</v>
      </c>
      <c r="F199" s="325"/>
      <c r="G199" s="325"/>
      <c r="H199" s="325"/>
      <c r="I199" s="325"/>
      <c r="J199" s="326">
        <f ca="1">VLOOKUP($B188,INDIRECT(VLOOKUP($E187,$M$2:$N$20,2,FALSE)),22,FALSE)</f>
        <v>0</v>
      </c>
      <c r="K199" s="327"/>
      <c r="M199" s="86"/>
      <c r="N199" s="88"/>
    </row>
    <row r="200" spans="1:14" s="1" customFormat="1" ht="12" customHeight="1" x14ac:dyDescent="0.3">
      <c r="A200" s="324" t="s">
        <v>9</v>
      </c>
      <c r="B200" s="325"/>
      <c r="C200" s="326">
        <f ca="1">VLOOKUP($B188,INDIRECT(VLOOKUP($E187,$M$2:$N$20,2,FALSE)),14,FALSE)</f>
        <v>10000</v>
      </c>
      <c r="D200" s="327"/>
      <c r="E200" s="324" t="s">
        <v>94</v>
      </c>
      <c r="F200" s="325"/>
      <c r="G200" s="325"/>
      <c r="H200" s="325"/>
      <c r="I200" s="325"/>
      <c r="J200" s="326">
        <f ca="1">VLOOKUP($B188,INDIRECT(VLOOKUP($E187,$M$2:$N$20,2,FALSE)),23,FALSE)</f>
        <v>0</v>
      </c>
      <c r="K200" s="327"/>
      <c r="M200" s="86"/>
      <c r="N200" s="88"/>
    </row>
    <row r="201" spans="1:14" s="1" customFormat="1" ht="12" customHeight="1" x14ac:dyDescent="0.3">
      <c r="A201" s="324" t="s">
        <v>11</v>
      </c>
      <c r="B201" s="325"/>
      <c r="C201" s="326">
        <f ca="1">VLOOKUP($B188,INDIRECT(VLOOKUP($E187,$M$2:$N$20,2,FALSE)),15,FALSE)</f>
        <v>1600</v>
      </c>
      <c r="D201" s="327"/>
      <c r="E201" s="324" t="s">
        <v>10</v>
      </c>
      <c r="F201" s="325"/>
      <c r="G201" s="325"/>
      <c r="H201" s="325"/>
      <c r="I201" s="325"/>
      <c r="J201" s="326">
        <f ca="1">VLOOKUP($B188,INDIRECT(VLOOKUP($E187,$M$2:$N$20,2,FALSE)),24,FALSE)</f>
        <v>0</v>
      </c>
      <c r="K201" s="327"/>
      <c r="M201" s="87"/>
      <c r="N201" s="86"/>
    </row>
    <row r="202" spans="1:14" s="1" customFormat="1" ht="12" customHeight="1" x14ac:dyDescent="0.3">
      <c r="A202" s="324" t="s">
        <v>3</v>
      </c>
      <c r="B202" s="325"/>
      <c r="C202" s="326">
        <f ca="1">VLOOKUP($B188,INDIRECT(VLOOKUP($E187,$M$2:$N$20,2,FALSE)),16,FALSE)</f>
        <v>1667</v>
      </c>
      <c r="D202" s="327"/>
      <c r="E202" s="324" t="s">
        <v>93</v>
      </c>
      <c r="F202" s="325"/>
      <c r="G202" s="325"/>
      <c r="H202" s="325"/>
      <c r="I202" s="325"/>
      <c r="J202" s="326">
        <f ca="1">VLOOKUP($B188,INDIRECT(VLOOKUP($E187,$M$2:$N$20,2,FALSE)),25,FALSE)</f>
        <v>0</v>
      </c>
      <c r="K202" s="327"/>
      <c r="M202" s="87"/>
      <c r="N202" s="89"/>
    </row>
    <row r="203" spans="1:14" s="1" customFormat="1" ht="12" customHeight="1" x14ac:dyDescent="0.3">
      <c r="A203" s="324" t="s">
        <v>13</v>
      </c>
      <c r="B203" s="325"/>
      <c r="C203" s="326">
        <f ca="1">VLOOKUP($B188,INDIRECT(VLOOKUP($E187,$M$2:$N$20,2,FALSE)),17,FALSE)</f>
        <v>40733</v>
      </c>
      <c r="D203" s="327"/>
      <c r="E203" s="324" t="s">
        <v>12</v>
      </c>
      <c r="F203" s="325"/>
      <c r="G203" s="325"/>
      <c r="H203" s="325"/>
      <c r="I203" s="325"/>
      <c r="J203" s="326">
        <f ca="1">VLOOKUP($B188,INDIRECT(VLOOKUP($E187,$M$2:$N$20,2,FALSE)),26,FALSE)</f>
        <v>200</v>
      </c>
      <c r="K203" s="327"/>
      <c r="M203" s="88" t="s">
        <v>73</v>
      </c>
      <c r="N203" s="88" t="str">
        <f ca="1">IF(VLOOKUP($B188,INDIRECT(VLOOKUP($E187,$M$2:$N$20,2,FALSE)),38,FALSE)&gt;0,"Yes","No")</f>
        <v>No</v>
      </c>
    </row>
    <row r="204" spans="1:14" s="1" customFormat="1" ht="12" customHeight="1" x14ac:dyDescent="0.3">
      <c r="A204" s="324" t="str">
        <f ca="1">IF($J200&gt;0,"Other Allowance",IF(VLOOKUP($B188,INDIRECT(VLOOKUP($E187,$M$2:$N$20,2,FALSE)),44,FALSE)=0,"",IF($E187=DATE(2025,6,1),"Arrears of Apr &amp; May-2025","")))</f>
        <v>Arrears of Apr &amp; May-2025</v>
      </c>
      <c r="B204" s="325"/>
      <c r="C204" s="326" cm="1">
        <f t="array" aca="1" ref="C204" ca="1">_xlfn.IFS($A204="","",$A204="Other Allowance",VLOOKUP($B188,INDIRECT(VLOOKUP($E187,$M$2:$N$20,2,FALSE)),18,FALSE),$A204="Arrears of Apr &amp; May-2025",VLOOKUP($B188,INDIRECT(VLOOKUP($E187,$M$2:$N$20,2,FALSE)),44,FALSE))</f>
        <v>7600</v>
      </c>
      <c r="D204" s="327"/>
      <c r="E204" s="324" t="str" cm="1">
        <f t="array" aca="1" ref="E204" ca="1">_xlfn.IFS(N203="Yes",M203,N204="Yes",M204,TRUE,"")</f>
        <v/>
      </c>
      <c r="F204" s="325"/>
      <c r="G204" s="325"/>
      <c r="H204" s="325"/>
      <c r="I204" s="325"/>
      <c r="J204" s="335" t="str" cm="1">
        <f t="array" aca="1" ref="J204" ca="1">IF(E204="","",_xlfn.IFS(N203="Yes",VLOOKUP($B188,INDIRECT(VLOOKUP($E187,$M$2:$N$20,2,FALSE)),27,FALSE),N204="Yes",VLOOKUP($B188,INDIRECT(VLOOKUP($E187,$M$2:$N$20,2,FALSE)),28,FALSE)))</f>
        <v/>
      </c>
      <c r="K204" s="336"/>
      <c r="M204" s="88" t="s">
        <v>14</v>
      </c>
      <c r="N204" s="88" t="str">
        <f ca="1">IF(VLOOKUP($B188,INDIRECT(VLOOKUP($E$7,$M$2:$N$20,2,FALSE)),39,FALSE)&gt;0,"Yes","No")</f>
        <v>No</v>
      </c>
    </row>
    <row r="205" spans="1:14" s="1" customFormat="1" ht="12" customHeight="1" x14ac:dyDescent="0.3">
      <c r="A205" s="324" t="str" cm="1">
        <f t="array" aca="1" ref="A205" ca="1">_xlfn.IFS($A204="","",$A204="Other Allowance","EPF",$A204="Arrears of Apr &amp; May-2025","",VLOOKUP($B188,INDIRECT(VLOOKUP($E187,$M$2:$N$20,2,FALSE)),44,FALSE)=0,"",$E187=DATE(2025,6,1),"Arrears of Apr &amp; May-2025")</f>
        <v/>
      </c>
      <c r="B205" s="325"/>
      <c r="C205" s="326" t="str" cm="1">
        <f t="array" aca="1" ref="C205" ca="1">_xlfn.IFS($A205="","",$A205="EPF",VLOOKUP($B188,INDIRECT(VLOOKUP($E187,$M$2:$N$20,2,FALSE)),19,FALSE),$A205="Arrears of Apr &amp; May-2025",VLOOKUP($B188,INDIRECT(VLOOKUP($E187,$M$2:$N$20,2,FALSE)),44,FALSE))</f>
        <v/>
      </c>
      <c r="D205" s="327"/>
      <c r="E205" s="324" t="str" cm="1">
        <f t="array" aca="1" ref="E205" ca="1">_xlfn.IFS(N204="No","",N203="Yes",M204,TRUE,"")</f>
        <v/>
      </c>
      <c r="F205" s="325"/>
      <c r="G205" s="325"/>
      <c r="H205" s="325"/>
      <c r="I205" s="325"/>
      <c r="J205" s="335" t="str">
        <f ca="1">IF(E205="","",VLOOKUP($B188,INDIRECT(VLOOKUP($E187,$M$2:$N$20,2,FALSE)),28,FALSE))</f>
        <v/>
      </c>
      <c r="K205" s="336"/>
      <c r="M205" s="130"/>
      <c r="N205" s="88"/>
    </row>
    <row r="206" spans="1:14" s="1" customFormat="1" ht="12" customHeight="1" x14ac:dyDescent="0.3">
      <c r="A206" s="324" t="str">
        <f ca="1">IF($J202&gt;0,"ESIC (Employer)",IF($A205="","",IF(VLOOKUP($B188,INDIRECT(VLOOKUP($E187,$M$2:$N$20,2,FALSE)),44,FALSE)="","",IF($E187=DATE(2025,6,1),"Arrears of Apr &amp; May-2025",""))))</f>
        <v/>
      </c>
      <c r="B206" s="325"/>
      <c r="C206" s="326" t="str" cm="1">
        <f t="array" aca="1" ref="C206" ca="1">_xlfn.IFS($A206="","",$A206="ESIC (Employer)",VLOOKUP($B188,INDIRECT(VLOOKUP($E187,$M$2:$N$20,2,FALSE)),20,FALSE),$A206="Arrears of Apr &amp; May-2025",VLOOKUP($B188,INDIRECT(VLOOKUP($E187,$M$2:$N$20,2,FALSE)),44,FALSE))</f>
        <v/>
      </c>
      <c r="D206" s="327"/>
      <c r="E206" s="324"/>
      <c r="F206" s="325"/>
      <c r="G206" s="325"/>
      <c r="H206" s="325"/>
      <c r="I206" s="325"/>
      <c r="J206" s="335"/>
      <c r="K206" s="336"/>
      <c r="M206" s="88"/>
      <c r="N206" s="88"/>
    </row>
    <row r="207" spans="1:14" s="1" customFormat="1" ht="12" customHeight="1" x14ac:dyDescent="0.3">
      <c r="A207" s="324" t="str">
        <f ca="1">IF($A206="","",IF(VLOOKUP($B188,INDIRECT(VLOOKUP($E187,$M$2:$N$20,2,FALSE)),44,FALSE)=0,"",IF($A206="Arrears of Apr &amp; May-2025","",IF($E187=DATE(2025,6,1),"Arrears of Apr &amp; May-2025",""))))</f>
        <v/>
      </c>
      <c r="B207" s="325"/>
      <c r="C207" s="326" t="str" cm="1">
        <f t="array" aca="1" ref="C207" ca="1">_xlfn.IFS($A207="","",$A207="Arrears of Apr &amp; May-2025",VLOOKUP($B188,INDIRECT(VLOOKUP($E187,$M$2:$N$20,2,FALSE)),44,FALSE))</f>
        <v/>
      </c>
      <c r="D207" s="327"/>
      <c r="E207" s="324"/>
      <c r="F207" s="325"/>
      <c r="G207" s="325"/>
      <c r="H207" s="325"/>
      <c r="I207" s="325"/>
      <c r="J207" s="335"/>
      <c r="K207" s="336"/>
      <c r="M207" s="88"/>
      <c r="N207" s="88"/>
    </row>
    <row r="208" spans="1:14" s="1" customFormat="1" ht="12" customHeight="1" x14ac:dyDescent="0.3">
      <c r="A208" s="324"/>
      <c r="B208" s="325"/>
      <c r="C208" s="326"/>
      <c r="D208" s="327"/>
      <c r="E208" s="124"/>
      <c r="F208" s="124"/>
      <c r="G208" s="124"/>
      <c r="H208" s="124"/>
      <c r="I208" s="124"/>
      <c r="J208" s="335"/>
      <c r="K208" s="336"/>
      <c r="M208" s="88"/>
      <c r="N208" s="88"/>
    </row>
    <row r="209" spans="1:14" s="1" customFormat="1" ht="3" customHeight="1" x14ac:dyDescent="0.3">
      <c r="A209" s="108"/>
      <c r="B209" s="109"/>
      <c r="C209" s="109"/>
      <c r="D209" s="112"/>
      <c r="E209" s="110"/>
      <c r="F209" s="110"/>
      <c r="G209" s="109"/>
      <c r="H209" s="109"/>
      <c r="I209" s="111"/>
      <c r="J209" s="111"/>
      <c r="K209" s="112"/>
      <c r="M209" s="88"/>
      <c r="N209" s="88"/>
    </row>
    <row r="210" spans="1:14" s="1" customFormat="1" ht="3" customHeight="1" x14ac:dyDescent="0.3">
      <c r="A210" s="123"/>
      <c r="B210" s="113"/>
      <c r="C210" s="113"/>
      <c r="D210" s="101"/>
      <c r="E210" s="124"/>
      <c r="F210" s="124"/>
      <c r="G210" s="113"/>
      <c r="H210" s="113"/>
      <c r="I210" s="114"/>
      <c r="J210" s="114"/>
      <c r="K210" s="101"/>
      <c r="M210" s="88"/>
      <c r="N210" s="88"/>
    </row>
    <row r="211" spans="1:14" s="4" customFormat="1" ht="19.95" customHeight="1" x14ac:dyDescent="0.3">
      <c r="A211" s="328" t="s">
        <v>15</v>
      </c>
      <c r="B211" s="329"/>
      <c r="C211" s="330">
        <f ca="1">SUM(C199:D210)</f>
        <v>81600</v>
      </c>
      <c r="D211" s="331"/>
      <c r="E211" s="328" t="s">
        <v>16</v>
      </c>
      <c r="F211" s="329"/>
      <c r="G211" s="329"/>
      <c r="H211" s="329"/>
      <c r="I211" s="329"/>
      <c r="J211" s="330">
        <f ca="1">SUM(J199:K207)</f>
        <v>200</v>
      </c>
      <c r="K211" s="331"/>
      <c r="M211" s="129"/>
      <c r="N211" s="90"/>
    </row>
    <row r="212" spans="1:14" s="1" customFormat="1" ht="3" customHeight="1" x14ac:dyDescent="0.3">
      <c r="A212" s="108"/>
      <c r="B212" s="109"/>
      <c r="C212" s="109"/>
      <c r="D212" s="112"/>
      <c r="E212" s="110"/>
      <c r="F212" s="110"/>
      <c r="G212" s="109"/>
      <c r="H212" s="109"/>
      <c r="I212" s="111"/>
      <c r="J212" s="111"/>
      <c r="K212" s="112"/>
      <c r="M212" s="88"/>
      <c r="N212" s="88"/>
    </row>
    <row r="213" spans="1:14" s="1" customFormat="1" ht="3" customHeight="1" x14ac:dyDescent="0.3">
      <c r="A213" s="123"/>
      <c r="B213" s="113"/>
      <c r="C213" s="113"/>
      <c r="D213" s="117"/>
      <c r="E213" s="118"/>
      <c r="F213" s="124"/>
      <c r="G213" s="113"/>
      <c r="H213" s="126"/>
      <c r="I213" s="119"/>
      <c r="J213" s="119"/>
      <c r="K213" s="115"/>
      <c r="M213" s="88"/>
      <c r="N213" s="88"/>
    </row>
    <row r="214" spans="1:14" s="5" customFormat="1" ht="19.95" customHeight="1" x14ac:dyDescent="0.3">
      <c r="A214" s="328" t="str" cm="1">
        <f t="array" aca="1" ref="A214" ca="1">mgm(J214)</f>
        <v>Rupees Eighty One Thousand Four Hundred Only</v>
      </c>
      <c r="B214" s="329"/>
      <c r="C214" s="329"/>
      <c r="D214" s="329"/>
      <c r="E214" s="329"/>
      <c r="F214" s="329"/>
      <c r="G214" s="332"/>
      <c r="H214" s="333" t="s">
        <v>17</v>
      </c>
      <c r="I214" s="334"/>
      <c r="J214" s="330">
        <f ca="1">C211-J211</f>
        <v>81400</v>
      </c>
      <c r="K214" s="331"/>
      <c r="L214" s="205"/>
      <c r="M214" s="90"/>
      <c r="N214" s="90"/>
    </row>
    <row r="215" spans="1:14" s="1" customFormat="1" ht="3" customHeight="1" x14ac:dyDescent="0.3">
      <c r="A215" s="108"/>
      <c r="B215" s="109"/>
      <c r="C215" s="109"/>
      <c r="D215" s="109"/>
      <c r="E215" s="110"/>
      <c r="F215" s="110"/>
      <c r="G215" s="109"/>
      <c r="H215" s="127"/>
      <c r="I215" s="111"/>
      <c r="J215" s="111"/>
      <c r="K215" s="112"/>
      <c r="M215" s="88"/>
      <c r="N215" s="88"/>
    </row>
    <row r="216" spans="1:14" s="1" customFormat="1" ht="19.95" customHeight="1" x14ac:dyDescent="0.3">
      <c r="A216" s="323" t="s">
        <v>18</v>
      </c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M216" s="88"/>
      <c r="N216" s="88"/>
    </row>
    <row r="217" spans="1:14" s="132" customFormat="1" ht="60" customHeight="1" x14ac:dyDescent="0.3">
      <c r="A217" s="181"/>
      <c r="E217" s="181"/>
      <c r="F217" s="181"/>
    </row>
    <row r="218" spans="1:14" s="2" customFormat="1" ht="19.95" customHeight="1" x14ac:dyDescent="0.3">
      <c r="A218" s="338" t="s">
        <v>107</v>
      </c>
      <c r="B218" s="339"/>
      <c r="C218" s="339"/>
      <c r="D218" s="339"/>
      <c r="E218" s="339"/>
      <c r="F218" s="339"/>
      <c r="G218" s="339"/>
      <c r="H218" s="339"/>
      <c r="I218" s="339"/>
      <c r="J218" s="339"/>
      <c r="K218" s="340"/>
      <c r="L218" s="1"/>
      <c r="M218" s="86"/>
      <c r="N218" s="87"/>
    </row>
    <row r="219" spans="1:14" s="2" customFormat="1" ht="15" customHeight="1" x14ac:dyDescent="0.3">
      <c r="A219" s="341" t="s">
        <v>180</v>
      </c>
      <c r="B219" s="342"/>
      <c r="C219" s="342"/>
      <c r="D219" s="342"/>
      <c r="E219" s="342"/>
      <c r="F219" s="342"/>
      <c r="G219" s="342"/>
      <c r="H219" s="342"/>
      <c r="I219" s="342"/>
      <c r="J219" s="342"/>
      <c r="K219" s="343"/>
      <c r="L219" s="1"/>
      <c r="M219" s="86"/>
      <c r="N219" s="88"/>
    </row>
    <row r="220" spans="1:14" s="2" customFormat="1" ht="15" customHeight="1" x14ac:dyDescent="0.3">
      <c r="A220" s="344" t="s">
        <v>72</v>
      </c>
      <c r="B220" s="345"/>
      <c r="C220" s="345"/>
      <c r="D220" s="345"/>
      <c r="E220" s="345"/>
      <c r="F220" s="345"/>
      <c r="G220" s="345"/>
      <c r="H220" s="345"/>
      <c r="I220" s="345"/>
      <c r="J220" s="345"/>
      <c r="K220" s="346"/>
      <c r="L220" s="1"/>
      <c r="M220" s="86"/>
      <c r="N220" s="88"/>
    </row>
    <row r="221" spans="1:14" s="2" customFormat="1" ht="4.95" customHeight="1" x14ac:dyDescent="0.3">
      <c r="A221" s="92"/>
      <c r="B221" s="347"/>
      <c r="C221" s="347"/>
      <c r="D221" s="347"/>
      <c r="E221" s="347"/>
      <c r="F221" s="347"/>
      <c r="G221" s="347"/>
      <c r="H221" s="347"/>
      <c r="I221" s="347"/>
      <c r="J221" s="347"/>
      <c r="K221" s="348"/>
      <c r="L221" s="1"/>
      <c r="M221" s="88"/>
      <c r="N221" s="88"/>
    </row>
    <row r="222" spans="1:14" s="2" customFormat="1" ht="3" customHeight="1" x14ac:dyDescent="0.3">
      <c r="A222" s="93"/>
      <c r="B222" s="94"/>
      <c r="C222" s="94"/>
      <c r="D222" s="94"/>
      <c r="E222" s="95"/>
      <c r="F222" s="95"/>
      <c r="G222" s="94"/>
      <c r="H222" s="94"/>
      <c r="I222" s="94"/>
      <c r="J222" s="94"/>
      <c r="K222" s="96"/>
      <c r="L222" s="1"/>
      <c r="M222" s="88"/>
      <c r="N222" s="88"/>
    </row>
    <row r="223" spans="1:14" s="2" customFormat="1" x14ac:dyDescent="0.3">
      <c r="A223" s="123" t="s">
        <v>68</v>
      </c>
      <c r="B223" s="124" t="str">
        <f ca="1">VLOOKUP($B224,Salary_Master_2,3,FALSE)</f>
        <v>D002</v>
      </c>
      <c r="C223" s="349" t="s">
        <v>21</v>
      </c>
      <c r="D223" s="349"/>
      <c r="E223" s="350">
        <f>IF($E$1="","",$E$1)</f>
        <v>45809</v>
      </c>
      <c r="F223" s="350"/>
      <c r="G223" s="97" t="s">
        <v>22</v>
      </c>
      <c r="H223" s="98">
        <f ca="1">VLOOKUP($B224,INDIRECT(VLOOKUP($E$7,$M$2:$N$20,2,FALSE)),3,FALSE)</f>
        <v>31</v>
      </c>
      <c r="I223" s="99"/>
      <c r="J223" s="100" t="s">
        <v>27</v>
      </c>
      <c r="K223" s="101"/>
      <c r="L223" s="1"/>
      <c r="M223" s="86"/>
      <c r="N223" s="88"/>
    </row>
    <row r="224" spans="1:14" s="2" customFormat="1" x14ac:dyDescent="0.3">
      <c r="A224" s="123" t="s">
        <v>19</v>
      </c>
      <c r="B224" s="124" t="str">
        <f ca="1">IF(Salary_Master_2!$B$11="","",VLOOKUP(Salary_Master_2!$B$11,INDIRECT(VLOOKUP($E223,$M$2:$N$20,2,FALSE)),1,FALSE))</f>
        <v>Pankajkumar Chodhary</v>
      </c>
      <c r="C224" s="351" t="s">
        <v>1</v>
      </c>
      <c r="D224" s="351"/>
      <c r="E224" s="352">
        <f ca="1">SUM($H223:$H226)</f>
        <v>31</v>
      </c>
      <c r="F224" s="352"/>
      <c r="G224" s="97" t="s">
        <v>24</v>
      </c>
      <c r="H224" s="102">
        <f ca="1">VLOOKUP($B224,INDIRECT(VLOOKUP($E$7,$M$2:$N$20,2,FALSE)),4,FALSE)</f>
        <v>0</v>
      </c>
      <c r="I224" s="100"/>
      <c r="J224" s="103" t="s">
        <v>28</v>
      </c>
      <c r="K224" s="101">
        <f ca="1">VLOOKUP($B224,INDIRECT(VLOOKUP($E$7,$M$2:$N$20,2,FALSE)),29,FALSE)</f>
        <v>45800</v>
      </c>
      <c r="L224" s="1"/>
      <c r="M224" s="86"/>
      <c r="N224" s="88"/>
    </row>
    <row r="225" spans="1:14" s="2" customFormat="1" x14ac:dyDescent="0.3">
      <c r="A225" s="123" t="s">
        <v>0</v>
      </c>
      <c r="B225" s="124" t="str">
        <f ca="1">VLOOKUP($B224,Salary_Master_2,4,FALSE)</f>
        <v>Service Engineer</v>
      </c>
      <c r="C225" s="124"/>
      <c r="D225" s="103" t="s">
        <v>70</v>
      </c>
      <c r="E225" s="337" t="str">
        <f ca="1">VLOOKUP($B224,Salary_Master_2,9,FALSE)</f>
        <v>NA</v>
      </c>
      <c r="F225" s="337"/>
      <c r="G225" s="97" t="s">
        <v>25</v>
      </c>
      <c r="H225" s="102">
        <f ca="1">VLOOKUP($B224,INDIRECT(VLOOKUP($E$7,$M$2:$N$20,2,FALSE)),5,FALSE)</f>
        <v>0</v>
      </c>
      <c r="I225" s="97"/>
      <c r="J225" s="103" t="s">
        <v>29</v>
      </c>
      <c r="K225" s="101" t="str">
        <f ca="1">VLOOKUP($B224,INDIRECT(VLOOKUP($E$7,$M$2:$N$20,2,FALSE)),30,FALSE)</f>
        <v>Male</v>
      </c>
      <c r="L225" s="1"/>
      <c r="M225" s="86"/>
      <c r="N225" s="88"/>
    </row>
    <row r="226" spans="1:14" s="2" customFormat="1" x14ac:dyDescent="0.3">
      <c r="A226" s="123" t="s">
        <v>20</v>
      </c>
      <c r="B226" s="124" t="str">
        <f ca="1">VLOOKUP($B224,Salary_Master_2,5,FALSE)</f>
        <v>Service</v>
      </c>
      <c r="C226" s="124"/>
      <c r="D226" s="103" t="s">
        <v>71</v>
      </c>
      <c r="E226" s="337" t="str">
        <f ca="1">VLOOKUP($B224,Salary_Master_2,10,FALSE)</f>
        <v>NA</v>
      </c>
      <c r="F226" s="337"/>
      <c r="G226" s="97" t="s">
        <v>26</v>
      </c>
      <c r="H226" s="102">
        <f ca="1">VLOOKUP($B224,INDIRECT(VLOOKUP($E$7,$M$2:$N$20,2,FALSE)),6,FALSE)</f>
        <v>0</v>
      </c>
      <c r="I226" s="97"/>
      <c r="J226" s="103" t="s">
        <v>30</v>
      </c>
      <c r="K226" s="101">
        <f ca="1">VLOOKUP($B224,INDIRECT(VLOOKUP($E$7,$M$2:$N$20,2,FALSE)),31,FALSE)</f>
        <v>7</v>
      </c>
      <c r="L226" s="1"/>
      <c r="M226" s="86"/>
      <c r="N226" s="88"/>
    </row>
    <row r="227" spans="1:14" s="2" customFormat="1" x14ac:dyDescent="0.3">
      <c r="A227" s="123" t="s">
        <v>69</v>
      </c>
      <c r="B227" s="124" t="str">
        <f ca="1">VLOOKUP($B224,Salary_Master_2,6,FALSE)</f>
        <v>Koparkhairne Factory</v>
      </c>
      <c r="C227" s="124"/>
      <c r="D227" s="104"/>
      <c r="E227" s="105"/>
      <c r="F227" s="105"/>
      <c r="G227" s="97" t="s">
        <v>23</v>
      </c>
      <c r="H227" s="102">
        <f ca="1">VLOOKUP($B224,INDIRECT(VLOOKUP($E$7,$M$2:$N$20,2,FALSE)),8,FALSE)</f>
        <v>0</v>
      </c>
      <c r="I227" s="97"/>
      <c r="J227" s="125"/>
      <c r="K227" s="101"/>
      <c r="L227" s="1"/>
      <c r="M227" s="86"/>
      <c r="N227" s="88"/>
    </row>
    <row r="228" spans="1:14" s="2" customFormat="1" x14ac:dyDescent="0.3">
      <c r="A228" s="123" t="s">
        <v>32</v>
      </c>
      <c r="B228" s="106">
        <f ca="1">VLOOKUP($B224,Salary_Master_2,7,FALSE)</f>
        <v>42074</v>
      </c>
      <c r="C228" s="106"/>
      <c r="D228" s="104"/>
      <c r="E228" s="105"/>
      <c r="F228" s="105"/>
      <c r="G228" s="97" t="s">
        <v>31</v>
      </c>
      <c r="H228" s="102">
        <f ca="1">VLOOKUP($B224,INDIRECT(VLOOKUP($E$7,$M$2:$N$20,2,FALSE)),9,FALSE)</f>
        <v>0</v>
      </c>
      <c r="I228" s="107"/>
      <c r="J228" s="107"/>
      <c r="K228" s="101"/>
      <c r="L228" s="1"/>
      <c r="M228" s="86"/>
      <c r="N228" s="88"/>
    </row>
    <row r="229" spans="1:14" s="2" customFormat="1" ht="3" customHeight="1" x14ac:dyDescent="0.3">
      <c r="A229" s="108"/>
      <c r="B229" s="109"/>
      <c r="C229" s="109"/>
      <c r="D229" s="109"/>
      <c r="E229" s="110"/>
      <c r="F229" s="110"/>
      <c r="G229" s="109"/>
      <c r="H229" s="109"/>
      <c r="I229" s="111"/>
      <c r="J229" s="111"/>
      <c r="K229" s="112"/>
      <c r="L229" s="1"/>
      <c r="M229" s="88"/>
      <c r="N229" s="88"/>
    </row>
    <row r="230" spans="1:14" s="2" customFormat="1" ht="3" customHeight="1" x14ac:dyDescent="0.3">
      <c r="A230" s="123"/>
      <c r="B230" s="113"/>
      <c r="C230" s="113"/>
      <c r="D230" s="113"/>
      <c r="E230" s="124"/>
      <c r="F230" s="124"/>
      <c r="G230" s="113"/>
      <c r="H230" s="113"/>
      <c r="I230" s="114"/>
      <c r="J230" s="114"/>
      <c r="K230" s="115"/>
      <c r="L230" s="1"/>
      <c r="M230" s="88"/>
      <c r="N230" s="88"/>
    </row>
    <row r="231" spans="1:14" s="1" customFormat="1" ht="3" customHeight="1" x14ac:dyDescent="0.3">
      <c r="A231" s="116"/>
      <c r="B231" s="117"/>
      <c r="C231" s="117"/>
      <c r="D231" s="115"/>
      <c r="E231" s="118"/>
      <c r="F231" s="118"/>
      <c r="G231" s="117"/>
      <c r="H231" s="117"/>
      <c r="I231" s="119"/>
      <c r="J231" s="119"/>
      <c r="K231" s="115"/>
      <c r="M231" s="88"/>
      <c r="N231" s="88"/>
    </row>
    <row r="232" spans="1:14" s="1" customFormat="1" ht="12" customHeight="1" x14ac:dyDescent="0.3">
      <c r="A232" s="120" t="s">
        <v>4</v>
      </c>
      <c r="B232" s="113"/>
      <c r="C232" s="113"/>
      <c r="D232" s="121" t="s">
        <v>5</v>
      </c>
      <c r="E232" s="122" t="s">
        <v>6</v>
      </c>
      <c r="F232" s="122"/>
      <c r="G232" s="113"/>
      <c r="H232" s="113"/>
      <c r="I232" s="113"/>
      <c r="J232" s="113"/>
      <c r="K232" s="121" t="s">
        <v>5</v>
      </c>
      <c r="M232" s="86"/>
      <c r="N232" s="88"/>
    </row>
    <row r="233" spans="1:14" s="1" customFormat="1" ht="3" customHeight="1" x14ac:dyDescent="0.3">
      <c r="A233" s="108"/>
      <c r="B233" s="109"/>
      <c r="C233" s="109"/>
      <c r="D233" s="112"/>
      <c r="E233" s="110"/>
      <c r="F233" s="110"/>
      <c r="G233" s="109"/>
      <c r="H233" s="109"/>
      <c r="I233" s="111"/>
      <c r="J233" s="111"/>
      <c r="K233" s="112"/>
      <c r="M233" s="88"/>
      <c r="N233" s="88"/>
    </row>
    <row r="234" spans="1:14" s="1" customFormat="1" ht="3" customHeight="1" x14ac:dyDescent="0.3">
      <c r="A234" s="123"/>
      <c r="B234" s="113"/>
      <c r="C234" s="113"/>
      <c r="D234" s="101"/>
      <c r="E234" s="124"/>
      <c r="F234" s="124"/>
      <c r="G234" s="113"/>
      <c r="H234" s="113"/>
      <c r="I234" s="114"/>
      <c r="J234" s="114"/>
      <c r="K234" s="101"/>
      <c r="M234" s="88"/>
      <c r="N234" s="88"/>
    </row>
    <row r="235" spans="1:14" s="1" customFormat="1" ht="12" customHeight="1" x14ac:dyDescent="0.3">
      <c r="A235" s="324" t="s">
        <v>7</v>
      </c>
      <c r="B235" s="325"/>
      <c r="C235" s="326">
        <f ca="1">VLOOKUP($B224,INDIRECT(VLOOKUP($E223,$M$2:$N$20,2,FALSE)),13,FALSE)</f>
        <v>16500</v>
      </c>
      <c r="D235" s="327"/>
      <c r="E235" s="324" t="s">
        <v>8</v>
      </c>
      <c r="F235" s="325"/>
      <c r="G235" s="325"/>
      <c r="H235" s="325"/>
      <c r="I235" s="325"/>
      <c r="J235" s="326">
        <f ca="1">VLOOKUP($B224,INDIRECT(VLOOKUP($E223,$M$2:$N$20,2,FALSE)),22,FALSE)</f>
        <v>0</v>
      </c>
      <c r="K235" s="327"/>
      <c r="M235" s="86"/>
      <c r="N235" s="88"/>
    </row>
    <row r="236" spans="1:14" s="1" customFormat="1" ht="12" customHeight="1" x14ac:dyDescent="0.3">
      <c r="A236" s="324" t="s">
        <v>9</v>
      </c>
      <c r="B236" s="325"/>
      <c r="C236" s="326">
        <f ca="1">VLOOKUP($B224,INDIRECT(VLOOKUP($E223,$M$2:$N$20,2,FALSE)),14,FALSE)</f>
        <v>6600</v>
      </c>
      <c r="D236" s="327"/>
      <c r="E236" s="324" t="s">
        <v>94</v>
      </c>
      <c r="F236" s="325"/>
      <c r="G236" s="325"/>
      <c r="H236" s="325"/>
      <c r="I236" s="325"/>
      <c r="J236" s="326">
        <f ca="1">VLOOKUP($B224,INDIRECT(VLOOKUP($E223,$M$2:$N$20,2,FALSE)),23,FALSE)</f>
        <v>0</v>
      </c>
      <c r="K236" s="327"/>
      <c r="M236" s="86"/>
      <c r="N236" s="88"/>
    </row>
    <row r="237" spans="1:14" s="1" customFormat="1" ht="12" customHeight="1" x14ac:dyDescent="0.3">
      <c r="A237" s="324" t="s">
        <v>11</v>
      </c>
      <c r="B237" s="325"/>
      <c r="C237" s="326">
        <f ca="1">VLOOKUP($B224,INDIRECT(VLOOKUP($E223,$M$2:$N$20,2,FALSE)),15,FALSE)</f>
        <v>1600</v>
      </c>
      <c r="D237" s="327"/>
      <c r="E237" s="324" t="s">
        <v>10</v>
      </c>
      <c r="F237" s="325"/>
      <c r="G237" s="325"/>
      <c r="H237" s="325"/>
      <c r="I237" s="325"/>
      <c r="J237" s="326">
        <f ca="1">VLOOKUP($B224,INDIRECT(VLOOKUP($E223,$M$2:$N$20,2,FALSE)),24,FALSE)</f>
        <v>0</v>
      </c>
      <c r="K237" s="327"/>
      <c r="M237" s="87"/>
      <c r="N237" s="86"/>
    </row>
    <row r="238" spans="1:14" s="1" customFormat="1" ht="12" customHeight="1" x14ac:dyDescent="0.3">
      <c r="A238" s="324" t="s">
        <v>3</v>
      </c>
      <c r="B238" s="325"/>
      <c r="C238" s="326">
        <f ca="1">VLOOKUP($B224,INDIRECT(VLOOKUP($E223,$M$2:$N$20,2,FALSE)),16,FALSE)</f>
        <v>1375</v>
      </c>
      <c r="D238" s="327"/>
      <c r="E238" s="324" t="s">
        <v>93</v>
      </c>
      <c r="F238" s="325"/>
      <c r="G238" s="325"/>
      <c r="H238" s="325"/>
      <c r="I238" s="325"/>
      <c r="J238" s="326">
        <f ca="1">VLOOKUP($B224,INDIRECT(VLOOKUP($E223,$M$2:$N$20,2,FALSE)),25,FALSE)</f>
        <v>0</v>
      </c>
      <c r="K238" s="327"/>
      <c r="M238" s="87"/>
      <c r="N238" s="89"/>
    </row>
    <row r="239" spans="1:14" s="1" customFormat="1" ht="12" customHeight="1" x14ac:dyDescent="0.3">
      <c r="A239" s="324" t="s">
        <v>13</v>
      </c>
      <c r="B239" s="325"/>
      <c r="C239" s="326">
        <f ca="1">VLOOKUP($B224,INDIRECT(VLOOKUP($E223,$M$2:$N$20,2,FALSE)),17,FALSE)</f>
        <v>19925</v>
      </c>
      <c r="D239" s="327"/>
      <c r="E239" s="324" t="s">
        <v>12</v>
      </c>
      <c r="F239" s="325"/>
      <c r="G239" s="325"/>
      <c r="H239" s="325"/>
      <c r="I239" s="325"/>
      <c r="J239" s="326">
        <f ca="1">VLOOKUP($B224,INDIRECT(VLOOKUP($E223,$M$2:$N$20,2,FALSE)),26,FALSE)</f>
        <v>200</v>
      </c>
      <c r="K239" s="327"/>
      <c r="M239" s="88" t="s">
        <v>73</v>
      </c>
      <c r="N239" s="88" t="str">
        <f ca="1">IF(VLOOKUP($B224,INDIRECT(VLOOKUP($E223,$M$2:$N$20,2,FALSE)),38,FALSE)&gt;0,"Yes","No")</f>
        <v>No</v>
      </c>
    </row>
    <row r="240" spans="1:14" s="1" customFormat="1" ht="12" customHeight="1" x14ac:dyDescent="0.3">
      <c r="A240" s="324" t="str">
        <f ca="1">IF($J236&gt;0,"Other Allowance",IF(VLOOKUP($B224,INDIRECT(VLOOKUP($E223,$M$2:$N$20,2,FALSE)),44,FALSE)=0,"",IF($E223=DATE(2025,6,1),"Arrears of Apr &amp; May-2025","")))</f>
        <v>Arrears of Apr &amp; May-2025</v>
      </c>
      <c r="B240" s="325"/>
      <c r="C240" s="326" cm="1">
        <f t="array" aca="1" ref="C240" ca="1">_xlfn.IFS($A240="","",$A240="Other Allowance",VLOOKUP($B224,INDIRECT(VLOOKUP($E223,$M$2:$N$20,2,FALSE)),18,FALSE),$A240="Arrears of Apr &amp; May-2025",VLOOKUP($B224,INDIRECT(VLOOKUP($E223,$M$2:$N$20,2,FALSE)),44,FALSE))</f>
        <v>4000</v>
      </c>
      <c r="D240" s="327"/>
      <c r="E240" s="324" t="str" cm="1">
        <f t="array" aca="1" ref="E240" ca="1">_xlfn.IFS(N239="Yes",M239,N240="Yes",M240,TRUE,"")</f>
        <v/>
      </c>
      <c r="F240" s="325"/>
      <c r="G240" s="325"/>
      <c r="H240" s="325"/>
      <c r="I240" s="325"/>
      <c r="J240" s="335" t="str" cm="1">
        <f t="array" aca="1" ref="J240" ca="1">IF(E240="","",_xlfn.IFS(N239="Yes",VLOOKUP($B224,INDIRECT(VLOOKUP($E223,$M$2:$N$20,2,FALSE)),27,FALSE),N240="Yes",VLOOKUP($B224,INDIRECT(VLOOKUP($E223,$M$2:$N$20,2,FALSE)),28,FALSE)))</f>
        <v/>
      </c>
      <c r="K240" s="336"/>
      <c r="M240" s="88" t="s">
        <v>14</v>
      </c>
      <c r="N240" s="88" t="str">
        <f ca="1">IF(VLOOKUP($B224,INDIRECT(VLOOKUP($E$7,$M$2:$N$20,2,FALSE)),39,FALSE)&gt;0,"Yes","No")</f>
        <v>No</v>
      </c>
    </row>
    <row r="241" spans="1:14" s="1" customFormat="1" ht="12" customHeight="1" x14ac:dyDescent="0.3">
      <c r="A241" s="324" t="str" cm="1">
        <f t="array" aca="1" ref="A241" ca="1">_xlfn.IFS($A240="","",$A240="Other Allowance","EPF",$A240="Arrears of Apr &amp; May-2025","",VLOOKUP($B224,INDIRECT(VLOOKUP($E223,$M$2:$N$20,2,FALSE)),44,FALSE)=0,"",$E223=DATE(2025,6,1),"Arrears of Apr &amp; May-2025")</f>
        <v/>
      </c>
      <c r="B241" s="325"/>
      <c r="C241" s="326" t="str" cm="1">
        <f t="array" aca="1" ref="C241" ca="1">_xlfn.IFS($A241="","",$A241="EPF",VLOOKUP($B224,INDIRECT(VLOOKUP($E223,$M$2:$N$20,2,FALSE)),19,FALSE),$A241="Arrears of Apr &amp; May-2025",VLOOKUP($B224,INDIRECT(VLOOKUP($E223,$M$2:$N$20,2,FALSE)),44,FALSE))</f>
        <v/>
      </c>
      <c r="D241" s="327"/>
      <c r="E241" s="324" t="str" cm="1">
        <f t="array" aca="1" ref="E241" ca="1">_xlfn.IFS(N240="No","",N239="Yes",M240,TRUE,"")</f>
        <v/>
      </c>
      <c r="F241" s="325"/>
      <c r="G241" s="325"/>
      <c r="H241" s="325"/>
      <c r="I241" s="325"/>
      <c r="J241" s="335" t="str">
        <f ca="1">IF(E241="","",VLOOKUP($B224,INDIRECT(VLOOKUP($E223,$M$2:$N$20,2,FALSE)),28,FALSE))</f>
        <v/>
      </c>
      <c r="K241" s="336"/>
      <c r="M241" s="130"/>
      <c r="N241" s="88"/>
    </row>
    <row r="242" spans="1:14" s="1" customFormat="1" ht="12" customHeight="1" x14ac:dyDescent="0.3">
      <c r="A242" s="324" t="str">
        <f ca="1">IF($J238&gt;0,"ESIC (Employer)",IF($A241="","",IF(VLOOKUP($B224,INDIRECT(VLOOKUP($E223,$M$2:$N$20,2,FALSE)),44,FALSE)="","",IF($E223=DATE(2025,6,1),"Arrears of Apr &amp; May-2025",""))))</f>
        <v/>
      </c>
      <c r="B242" s="325"/>
      <c r="C242" s="326" t="str" cm="1">
        <f t="array" aca="1" ref="C242" ca="1">_xlfn.IFS($A242="","",$A242="ESIC (Employer)",VLOOKUP($B224,INDIRECT(VLOOKUP($E223,$M$2:$N$20,2,FALSE)),20,FALSE),$A242="Arrears of Apr &amp; May-2025",VLOOKUP($B224,INDIRECT(VLOOKUP($E223,$M$2:$N$20,2,FALSE)),44,FALSE))</f>
        <v/>
      </c>
      <c r="D242" s="327"/>
      <c r="E242" s="324"/>
      <c r="F242" s="325"/>
      <c r="G242" s="325"/>
      <c r="H242" s="325"/>
      <c r="I242" s="325"/>
      <c r="J242" s="335"/>
      <c r="K242" s="336"/>
      <c r="M242" s="88"/>
      <c r="N242" s="88"/>
    </row>
    <row r="243" spans="1:14" s="1" customFormat="1" ht="12" customHeight="1" x14ac:dyDescent="0.3">
      <c r="A243" s="324" t="str">
        <f ca="1">IF($A242="","",IF(VLOOKUP($B224,INDIRECT(VLOOKUP($E223,$M$2:$N$20,2,FALSE)),44,FALSE)=0,"",IF($A242="Arrears of Apr &amp; May-2025","",IF($E223=DATE(2025,6,1),"Arrears of Apr &amp; May-2025",""))))</f>
        <v/>
      </c>
      <c r="B243" s="325"/>
      <c r="C243" s="326" t="str" cm="1">
        <f t="array" aca="1" ref="C243" ca="1">_xlfn.IFS($A243="","",$A243="Arrears of Apr &amp; May-2025",VLOOKUP($B224,INDIRECT(VLOOKUP($E223,$M$2:$N$20,2,FALSE)),44,FALSE))</f>
        <v/>
      </c>
      <c r="D243" s="327"/>
      <c r="E243" s="324"/>
      <c r="F243" s="325"/>
      <c r="G243" s="325"/>
      <c r="H243" s="325"/>
      <c r="I243" s="325"/>
      <c r="J243" s="335"/>
      <c r="K243" s="336"/>
      <c r="M243" s="88"/>
      <c r="N243" s="88"/>
    </row>
    <row r="244" spans="1:14" s="1" customFormat="1" ht="12" customHeight="1" x14ac:dyDescent="0.3">
      <c r="A244" s="324"/>
      <c r="B244" s="325"/>
      <c r="C244" s="326"/>
      <c r="D244" s="327"/>
      <c r="E244" s="124"/>
      <c r="F244" s="124"/>
      <c r="G244" s="124"/>
      <c r="H244" s="124"/>
      <c r="I244" s="124"/>
      <c r="J244" s="335"/>
      <c r="K244" s="336"/>
      <c r="M244" s="88"/>
      <c r="N244" s="88"/>
    </row>
    <row r="245" spans="1:14" s="1" customFormat="1" ht="3" customHeight="1" x14ac:dyDescent="0.3">
      <c r="A245" s="108"/>
      <c r="B245" s="109"/>
      <c r="C245" s="109"/>
      <c r="D245" s="112"/>
      <c r="E245" s="110"/>
      <c r="F245" s="110"/>
      <c r="G245" s="109"/>
      <c r="H245" s="109"/>
      <c r="I245" s="111"/>
      <c r="J245" s="111"/>
      <c r="K245" s="112"/>
      <c r="M245" s="88"/>
      <c r="N245" s="88"/>
    </row>
    <row r="246" spans="1:14" s="1" customFormat="1" ht="3" customHeight="1" x14ac:dyDescent="0.3">
      <c r="A246" s="123"/>
      <c r="B246" s="113"/>
      <c r="C246" s="113"/>
      <c r="D246" s="101"/>
      <c r="E246" s="124"/>
      <c r="F246" s="124"/>
      <c r="G246" s="113"/>
      <c r="H246" s="113"/>
      <c r="I246" s="114"/>
      <c r="J246" s="114"/>
      <c r="K246" s="101"/>
      <c r="M246" s="88"/>
      <c r="N246" s="88"/>
    </row>
    <row r="247" spans="1:14" s="4" customFormat="1" ht="19.95" customHeight="1" x14ac:dyDescent="0.3">
      <c r="A247" s="328" t="s">
        <v>15</v>
      </c>
      <c r="B247" s="329"/>
      <c r="C247" s="330">
        <f ca="1">SUM(C235:D246)</f>
        <v>50000</v>
      </c>
      <c r="D247" s="331"/>
      <c r="E247" s="328" t="s">
        <v>16</v>
      </c>
      <c r="F247" s="329"/>
      <c r="G247" s="329"/>
      <c r="H247" s="329"/>
      <c r="I247" s="329"/>
      <c r="J247" s="330">
        <f ca="1">SUM(J235:K243)</f>
        <v>200</v>
      </c>
      <c r="K247" s="331"/>
      <c r="M247" s="129"/>
      <c r="N247" s="90"/>
    </row>
    <row r="248" spans="1:14" s="1" customFormat="1" ht="3" customHeight="1" x14ac:dyDescent="0.3">
      <c r="A248" s="108"/>
      <c r="B248" s="109"/>
      <c r="C248" s="109"/>
      <c r="D248" s="112"/>
      <c r="E248" s="110"/>
      <c r="F248" s="110"/>
      <c r="G248" s="109"/>
      <c r="H248" s="109"/>
      <c r="I248" s="111"/>
      <c r="J248" s="111"/>
      <c r="K248" s="112"/>
      <c r="M248" s="88"/>
      <c r="N248" s="88"/>
    </row>
    <row r="249" spans="1:14" s="1" customFormat="1" ht="3" customHeight="1" x14ac:dyDescent="0.3">
      <c r="A249" s="123"/>
      <c r="B249" s="113"/>
      <c r="C249" s="113"/>
      <c r="D249" s="117"/>
      <c r="E249" s="118"/>
      <c r="F249" s="124"/>
      <c r="G249" s="113"/>
      <c r="H249" s="126"/>
      <c r="I249" s="119"/>
      <c r="J249" s="119"/>
      <c r="K249" s="115"/>
      <c r="M249" s="88"/>
      <c r="N249" s="88"/>
    </row>
    <row r="250" spans="1:14" s="5" customFormat="1" ht="19.95" customHeight="1" x14ac:dyDescent="0.3">
      <c r="A250" s="328" t="str" cm="1">
        <f t="array" aca="1" ref="A250" ca="1">mgm(J250)</f>
        <v>Rupees Forty Nine Thousand Eight Hundred Only</v>
      </c>
      <c r="B250" s="329"/>
      <c r="C250" s="329"/>
      <c r="D250" s="329"/>
      <c r="E250" s="329"/>
      <c r="F250" s="329"/>
      <c r="G250" s="332"/>
      <c r="H250" s="333" t="s">
        <v>17</v>
      </c>
      <c r="I250" s="334"/>
      <c r="J250" s="330">
        <f ca="1">C247-J247</f>
        <v>49800</v>
      </c>
      <c r="K250" s="331"/>
      <c r="L250" s="205"/>
      <c r="M250" s="90"/>
      <c r="N250" s="90"/>
    </row>
    <row r="251" spans="1:14" s="1" customFormat="1" ht="3" customHeight="1" x14ac:dyDescent="0.3">
      <c r="A251" s="108"/>
      <c r="B251" s="109"/>
      <c r="C251" s="109"/>
      <c r="D251" s="109"/>
      <c r="E251" s="110"/>
      <c r="F251" s="110"/>
      <c r="G251" s="109"/>
      <c r="H251" s="127"/>
      <c r="I251" s="111"/>
      <c r="J251" s="111"/>
      <c r="K251" s="112"/>
      <c r="M251" s="88"/>
      <c r="N251" s="88"/>
    </row>
    <row r="252" spans="1:14" s="1" customFormat="1" ht="19.95" customHeight="1" x14ac:dyDescent="0.3">
      <c r="A252" s="323" t="s">
        <v>18</v>
      </c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M252" s="88"/>
      <c r="N252" s="88"/>
    </row>
    <row r="253" spans="1:14" s="132" customFormat="1" ht="60" customHeight="1" x14ac:dyDescent="0.3">
      <c r="A253" s="181"/>
      <c r="E253" s="181"/>
      <c r="F253" s="181"/>
    </row>
    <row r="254" spans="1:14" s="2" customFormat="1" ht="19.95" customHeight="1" x14ac:dyDescent="0.3">
      <c r="A254" s="338" t="s">
        <v>107</v>
      </c>
      <c r="B254" s="339"/>
      <c r="C254" s="339"/>
      <c r="D254" s="339"/>
      <c r="E254" s="339"/>
      <c r="F254" s="339"/>
      <c r="G254" s="339"/>
      <c r="H254" s="339"/>
      <c r="I254" s="339"/>
      <c r="J254" s="339"/>
      <c r="K254" s="340"/>
      <c r="L254" s="1"/>
      <c r="M254" s="86"/>
      <c r="N254" s="87"/>
    </row>
    <row r="255" spans="1:14" s="2" customFormat="1" ht="15" customHeight="1" x14ac:dyDescent="0.3">
      <c r="A255" s="341" t="s">
        <v>180</v>
      </c>
      <c r="B255" s="342"/>
      <c r="C255" s="342"/>
      <c r="D255" s="342"/>
      <c r="E255" s="342"/>
      <c r="F255" s="342"/>
      <c r="G255" s="342"/>
      <c r="H255" s="342"/>
      <c r="I255" s="342"/>
      <c r="J255" s="342"/>
      <c r="K255" s="343"/>
      <c r="L255" s="1"/>
      <c r="M255" s="86"/>
      <c r="N255" s="88"/>
    </row>
    <row r="256" spans="1:14" s="2" customFormat="1" ht="15" customHeight="1" x14ac:dyDescent="0.3">
      <c r="A256" s="344" t="s">
        <v>72</v>
      </c>
      <c r="B256" s="345"/>
      <c r="C256" s="345"/>
      <c r="D256" s="345"/>
      <c r="E256" s="345"/>
      <c r="F256" s="345"/>
      <c r="G256" s="345"/>
      <c r="H256" s="345"/>
      <c r="I256" s="345"/>
      <c r="J256" s="345"/>
      <c r="K256" s="346"/>
      <c r="L256" s="1"/>
      <c r="M256" s="86"/>
      <c r="N256" s="88"/>
    </row>
    <row r="257" spans="1:14" s="2" customFormat="1" ht="4.95" customHeight="1" x14ac:dyDescent="0.3">
      <c r="A257" s="92"/>
      <c r="B257" s="347"/>
      <c r="C257" s="347"/>
      <c r="D257" s="347"/>
      <c r="E257" s="347"/>
      <c r="F257" s="347"/>
      <c r="G257" s="347"/>
      <c r="H257" s="347"/>
      <c r="I257" s="347"/>
      <c r="J257" s="347"/>
      <c r="K257" s="348"/>
      <c r="L257" s="1"/>
      <c r="M257" s="88"/>
      <c r="N257" s="88"/>
    </row>
    <row r="258" spans="1:14" s="2" customFormat="1" ht="3" customHeight="1" x14ac:dyDescent="0.3">
      <c r="A258" s="93"/>
      <c r="B258" s="94"/>
      <c r="C258" s="94"/>
      <c r="D258" s="94"/>
      <c r="E258" s="95"/>
      <c r="F258" s="95"/>
      <c r="G258" s="94"/>
      <c r="H258" s="94"/>
      <c r="I258" s="94"/>
      <c r="J258" s="94"/>
      <c r="K258" s="96"/>
      <c r="L258" s="1"/>
      <c r="M258" s="88"/>
      <c r="N258" s="88"/>
    </row>
    <row r="259" spans="1:14" s="2" customFormat="1" x14ac:dyDescent="0.3">
      <c r="A259" s="123" t="s">
        <v>68</v>
      </c>
      <c r="B259" s="124" t="str">
        <f ca="1">VLOOKUP($B260,Salary_Master_2,3,FALSE)</f>
        <v>W022</v>
      </c>
      <c r="C259" s="349" t="s">
        <v>21</v>
      </c>
      <c r="D259" s="349"/>
      <c r="E259" s="350">
        <f>IF($E$1="","",$E$1)</f>
        <v>45809</v>
      </c>
      <c r="F259" s="350"/>
      <c r="G259" s="97" t="s">
        <v>22</v>
      </c>
      <c r="H259" s="98">
        <f ca="1">VLOOKUP($B260,INDIRECT(VLOOKUP($E$7,$M$2:$N$20,2,FALSE)),3,FALSE)</f>
        <v>27</v>
      </c>
      <c r="I259" s="99"/>
      <c r="J259" s="100" t="s">
        <v>27</v>
      </c>
      <c r="K259" s="101"/>
      <c r="L259" s="1"/>
      <c r="M259" s="86"/>
      <c r="N259" s="88"/>
    </row>
    <row r="260" spans="1:14" s="2" customFormat="1" x14ac:dyDescent="0.3">
      <c r="A260" s="123" t="s">
        <v>19</v>
      </c>
      <c r="B260" s="124" t="str">
        <f ca="1">IF(Salary_Master_2!$B$12="","",VLOOKUP(Salary_Master_2!$B$12,INDIRECT(VLOOKUP($E259,$M$2:$N$20,2,FALSE)),1,FALSE))</f>
        <v>Komal Patil</v>
      </c>
      <c r="C260" s="351" t="s">
        <v>1</v>
      </c>
      <c r="D260" s="351"/>
      <c r="E260" s="352">
        <f ca="1">SUM($H259:$H262)</f>
        <v>31</v>
      </c>
      <c r="F260" s="352"/>
      <c r="G260" s="97" t="s">
        <v>24</v>
      </c>
      <c r="H260" s="102">
        <f ca="1">VLOOKUP($B260,INDIRECT(VLOOKUP($E$7,$M$2:$N$20,2,FALSE)),4,FALSE)</f>
        <v>0</v>
      </c>
      <c r="I260" s="100"/>
      <c r="J260" s="103" t="s">
        <v>28</v>
      </c>
      <c r="K260" s="101">
        <f ca="1">VLOOKUP($B260,INDIRECT(VLOOKUP($E$7,$M$2:$N$20,2,FALSE)),29,FALSE)</f>
        <v>79800</v>
      </c>
      <c r="L260" s="1"/>
      <c r="M260" s="86"/>
      <c r="N260" s="88"/>
    </row>
    <row r="261" spans="1:14" s="2" customFormat="1" x14ac:dyDescent="0.3">
      <c r="A261" s="123" t="s">
        <v>0</v>
      </c>
      <c r="B261" s="124" t="str">
        <f ca="1">VLOOKUP($B260,Salary_Master_2,4,FALSE)</f>
        <v>Production Manager</v>
      </c>
      <c r="C261" s="124"/>
      <c r="D261" s="103" t="s">
        <v>70</v>
      </c>
      <c r="E261" s="337" t="str">
        <f ca="1">VLOOKUP($B260,Salary_Master_2,9,FALSE)</f>
        <v>NA</v>
      </c>
      <c r="F261" s="337"/>
      <c r="G261" s="97" t="s">
        <v>25</v>
      </c>
      <c r="H261" s="102">
        <f ca="1">VLOOKUP($B260,INDIRECT(VLOOKUP($E$7,$M$2:$N$20,2,FALSE)),5,FALSE)</f>
        <v>0</v>
      </c>
      <c r="I261" s="97"/>
      <c r="J261" s="103" t="s">
        <v>29</v>
      </c>
      <c r="K261" s="101" t="str">
        <f ca="1">VLOOKUP($B260,INDIRECT(VLOOKUP($E$7,$M$2:$N$20,2,FALSE)),30,FALSE)</f>
        <v>Female</v>
      </c>
      <c r="L261" s="1"/>
      <c r="M261" s="86"/>
      <c r="N261" s="88"/>
    </row>
    <row r="262" spans="1:14" s="2" customFormat="1" x14ac:dyDescent="0.3">
      <c r="A262" s="123" t="s">
        <v>20</v>
      </c>
      <c r="B262" s="124" t="str">
        <f ca="1">VLOOKUP($B260,Salary_Master_2,5,FALSE)</f>
        <v>Production</v>
      </c>
      <c r="C262" s="124"/>
      <c r="D262" s="103" t="s">
        <v>71</v>
      </c>
      <c r="E262" s="337" t="str">
        <f ca="1">VLOOKUP($B260,Salary_Master_2,10,FALSE)</f>
        <v>NA</v>
      </c>
      <c r="F262" s="337"/>
      <c r="G262" s="97" t="s">
        <v>26</v>
      </c>
      <c r="H262" s="102">
        <f ca="1">VLOOKUP($B260,INDIRECT(VLOOKUP($E$7,$M$2:$N$20,2,FALSE)),6,FALSE)</f>
        <v>4</v>
      </c>
      <c r="I262" s="97"/>
      <c r="J262" s="103" t="s">
        <v>30</v>
      </c>
      <c r="K262" s="101">
        <f ca="1">VLOOKUP($B260,INDIRECT(VLOOKUP($E$7,$M$2:$N$20,2,FALSE)),31,FALSE)</f>
        <v>0</v>
      </c>
      <c r="L262" s="1"/>
      <c r="M262" s="86"/>
      <c r="N262" s="88"/>
    </row>
    <row r="263" spans="1:14" s="2" customFormat="1" x14ac:dyDescent="0.3">
      <c r="A263" s="123" t="s">
        <v>69</v>
      </c>
      <c r="B263" s="124" t="str">
        <f ca="1">VLOOKUP($B260,Salary_Master_2,6,FALSE)</f>
        <v>Ansa Factory</v>
      </c>
      <c r="C263" s="124"/>
      <c r="D263" s="104"/>
      <c r="E263" s="105"/>
      <c r="F263" s="105"/>
      <c r="G263" s="97" t="s">
        <v>23</v>
      </c>
      <c r="H263" s="102">
        <f ca="1">VLOOKUP($B260,INDIRECT(VLOOKUP($E$7,$M$2:$N$20,2,FALSE)),8,FALSE)</f>
        <v>0</v>
      </c>
      <c r="I263" s="97"/>
      <c r="J263" s="125"/>
      <c r="K263" s="101"/>
      <c r="L263" s="1"/>
      <c r="M263" s="86"/>
      <c r="N263" s="88"/>
    </row>
    <row r="264" spans="1:14" s="2" customFormat="1" x14ac:dyDescent="0.3">
      <c r="A264" s="123" t="s">
        <v>32</v>
      </c>
      <c r="B264" s="106">
        <f ca="1">VLOOKUP($B260,Salary_Master_2,7,FALSE)</f>
        <v>42172</v>
      </c>
      <c r="C264" s="106"/>
      <c r="D264" s="104"/>
      <c r="E264" s="105"/>
      <c r="F264" s="105"/>
      <c r="G264" s="97" t="s">
        <v>31</v>
      </c>
      <c r="H264" s="102">
        <f ca="1">VLOOKUP($B260,INDIRECT(VLOOKUP($E$7,$M$2:$N$20,2,FALSE)),9,FALSE)</f>
        <v>17</v>
      </c>
      <c r="I264" s="107"/>
      <c r="J264" s="107"/>
      <c r="K264" s="101"/>
      <c r="L264" s="1"/>
      <c r="M264" s="86"/>
      <c r="N264" s="88"/>
    </row>
    <row r="265" spans="1:14" s="2" customFormat="1" ht="3" customHeight="1" x14ac:dyDescent="0.3">
      <c r="A265" s="108"/>
      <c r="B265" s="109"/>
      <c r="C265" s="109"/>
      <c r="D265" s="109"/>
      <c r="E265" s="110"/>
      <c r="F265" s="110"/>
      <c r="G265" s="109"/>
      <c r="H265" s="109"/>
      <c r="I265" s="111"/>
      <c r="J265" s="111"/>
      <c r="K265" s="112"/>
      <c r="L265" s="1"/>
      <c r="M265" s="88"/>
      <c r="N265" s="88"/>
    </row>
    <row r="266" spans="1:14" s="2" customFormat="1" ht="3" customHeight="1" x14ac:dyDescent="0.3">
      <c r="A266" s="123"/>
      <c r="B266" s="113"/>
      <c r="C266" s="113"/>
      <c r="D266" s="113"/>
      <c r="E266" s="124"/>
      <c r="F266" s="124"/>
      <c r="G266" s="113"/>
      <c r="H266" s="113"/>
      <c r="I266" s="114"/>
      <c r="J266" s="114"/>
      <c r="K266" s="115"/>
      <c r="L266" s="1"/>
      <c r="M266" s="88"/>
      <c r="N266" s="88"/>
    </row>
    <row r="267" spans="1:14" s="1" customFormat="1" ht="3" customHeight="1" x14ac:dyDescent="0.3">
      <c r="A267" s="116"/>
      <c r="B267" s="117"/>
      <c r="C267" s="117"/>
      <c r="D267" s="115"/>
      <c r="E267" s="118"/>
      <c r="F267" s="118"/>
      <c r="G267" s="117"/>
      <c r="H267" s="117"/>
      <c r="I267" s="119"/>
      <c r="J267" s="119"/>
      <c r="K267" s="115"/>
      <c r="M267" s="88"/>
      <c r="N267" s="88"/>
    </row>
    <row r="268" spans="1:14" s="1" customFormat="1" ht="12" customHeight="1" x14ac:dyDescent="0.3">
      <c r="A268" s="120" t="s">
        <v>4</v>
      </c>
      <c r="B268" s="113"/>
      <c r="C268" s="113"/>
      <c r="D268" s="121" t="s">
        <v>5</v>
      </c>
      <c r="E268" s="122" t="s">
        <v>6</v>
      </c>
      <c r="F268" s="122"/>
      <c r="G268" s="113"/>
      <c r="H268" s="113"/>
      <c r="I268" s="113"/>
      <c r="J268" s="113"/>
      <c r="K268" s="121" t="s">
        <v>5</v>
      </c>
      <c r="M268" s="86"/>
      <c r="N268" s="88"/>
    </row>
    <row r="269" spans="1:14" s="1" customFormat="1" ht="3" customHeight="1" x14ac:dyDescent="0.3">
      <c r="A269" s="108"/>
      <c r="B269" s="109"/>
      <c r="C269" s="109"/>
      <c r="D269" s="112"/>
      <c r="E269" s="110"/>
      <c r="F269" s="110"/>
      <c r="G269" s="109"/>
      <c r="H269" s="109"/>
      <c r="I269" s="111"/>
      <c r="J269" s="111"/>
      <c r="K269" s="112"/>
      <c r="M269" s="88"/>
      <c r="N269" s="88"/>
    </row>
    <row r="270" spans="1:14" s="1" customFormat="1" ht="3" customHeight="1" x14ac:dyDescent="0.3">
      <c r="A270" s="123"/>
      <c r="B270" s="113"/>
      <c r="C270" s="113"/>
      <c r="D270" s="101"/>
      <c r="E270" s="124"/>
      <c r="F270" s="124"/>
      <c r="G270" s="113"/>
      <c r="H270" s="113"/>
      <c r="I270" s="114"/>
      <c r="J270" s="114"/>
      <c r="K270" s="101"/>
      <c r="M270" s="88"/>
      <c r="N270" s="88"/>
    </row>
    <row r="271" spans="1:14" s="1" customFormat="1" ht="12" customHeight="1" x14ac:dyDescent="0.3">
      <c r="A271" s="324" t="s">
        <v>7</v>
      </c>
      <c r="B271" s="325"/>
      <c r="C271" s="326">
        <f ca="1">VLOOKUP($B260,INDIRECT(VLOOKUP($E259,$M$2:$N$20,2,FALSE)),13,FALSE)</f>
        <v>20000</v>
      </c>
      <c r="D271" s="327"/>
      <c r="E271" s="324" t="s">
        <v>8</v>
      </c>
      <c r="F271" s="325"/>
      <c r="G271" s="325"/>
      <c r="H271" s="325"/>
      <c r="I271" s="325"/>
      <c r="J271" s="326">
        <f ca="1">VLOOKUP($B260,INDIRECT(VLOOKUP($E259,$M$2:$N$20,2,FALSE)),22,FALSE)</f>
        <v>0</v>
      </c>
      <c r="K271" s="327"/>
      <c r="M271" s="86"/>
      <c r="N271" s="88"/>
    </row>
    <row r="272" spans="1:14" s="1" customFormat="1" ht="12" customHeight="1" x14ac:dyDescent="0.3">
      <c r="A272" s="324" t="s">
        <v>9</v>
      </c>
      <c r="B272" s="325"/>
      <c r="C272" s="326">
        <f ca="1">VLOOKUP($B260,INDIRECT(VLOOKUP($E259,$M$2:$N$20,2,FALSE)),14,FALSE)</f>
        <v>10000</v>
      </c>
      <c r="D272" s="327"/>
      <c r="E272" s="324" t="s">
        <v>94</v>
      </c>
      <c r="F272" s="325"/>
      <c r="G272" s="325"/>
      <c r="H272" s="325"/>
      <c r="I272" s="325"/>
      <c r="J272" s="326">
        <f ca="1">VLOOKUP($B260,INDIRECT(VLOOKUP($E259,$M$2:$N$20,2,FALSE)),23,FALSE)</f>
        <v>0</v>
      </c>
      <c r="K272" s="327"/>
      <c r="M272" s="86"/>
      <c r="N272" s="88"/>
    </row>
    <row r="273" spans="1:14" s="1" customFormat="1" ht="12" customHeight="1" x14ac:dyDescent="0.3">
      <c r="A273" s="324" t="s">
        <v>11</v>
      </c>
      <c r="B273" s="325"/>
      <c r="C273" s="326">
        <f ca="1">VLOOKUP($B260,INDIRECT(VLOOKUP($E259,$M$2:$N$20,2,FALSE)),15,FALSE)</f>
        <v>1600</v>
      </c>
      <c r="D273" s="327"/>
      <c r="E273" s="324" t="s">
        <v>10</v>
      </c>
      <c r="F273" s="325"/>
      <c r="G273" s="325"/>
      <c r="H273" s="325"/>
      <c r="I273" s="325"/>
      <c r="J273" s="326">
        <f ca="1">VLOOKUP($B260,INDIRECT(VLOOKUP($E259,$M$2:$N$20,2,FALSE)),24,FALSE)</f>
        <v>0</v>
      </c>
      <c r="K273" s="327"/>
      <c r="M273" s="87"/>
      <c r="N273" s="86"/>
    </row>
    <row r="274" spans="1:14" s="1" customFormat="1" ht="12" customHeight="1" x14ac:dyDescent="0.3">
      <c r="A274" s="324" t="s">
        <v>3</v>
      </c>
      <c r="B274" s="325"/>
      <c r="C274" s="326">
        <f ca="1">VLOOKUP($B260,INDIRECT(VLOOKUP($E259,$M$2:$N$20,2,FALSE)),16,FALSE)</f>
        <v>1667</v>
      </c>
      <c r="D274" s="327"/>
      <c r="E274" s="324" t="s">
        <v>93</v>
      </c>
      <c r="F274" s="325"/>
      <c r="G274" s="325"/>
      <c r="H274" s="325"/>
      <c r="I274" s="325"/>
      <c r="J274" s="326">
        <f ca="1">VLOOKUP($B260,INDIRECT(VLOOKUP($E259,$M$2:$N$20,2,FALSE)),25,FALSE)</f>
        <v>0</v>
      </c>
      <c r="K274" s="327"/>
      <c r="M274" s="87"/>
      <c r="N274" s="89"/>
    </row>
    <row r="275" spans="1:14" s="1" customFormat="1" ht="12" customHeight="1" x14ac:dyDescent="0.3">
      <c r="A275" s="324" t="s">
        <v>13</v>
      </c>
      <c r="B275" s="325"/>
      <c r="C275" s="326">
        <f ca="1">VLOOKUP($B260,INDIRECT(VLOOKUP($E259,$M$2:$N$20,2,FALSE)),17,FALSE)</f>
        <v>46733</v>
      </c>
      <c r="D275" s="327"/>
      <c r="E275" s="324" t="s">
        <v>12</v>
      </c>
      <c r="F275" s="325"/>
      <c r="G275" s="325"/>
      <c r="H275" s="325"/>
      <c r="I275" s="325"/>
      <c r="J275" s="326">
        <f ca="1">VLOOKUP($B260,INDIRECT(VLOOKUP($E259,$M$2:$N$20,2,FALSE)),26,FALSE)</f>
        <v>200</v>
      </c>
      <c r="K275" s="327"/>
      <c r="M275" s="88" t="s">
        <v>73</v>
      </c>
      <c r="N275" s="88" t="str">
        <f ca="1">IF(VLOOKUP($B260,INDIRECT(VLOOKUP($E259,$M$2:$N$20,2,FALSE)),38,FALSE)&gt;0,"Yes","No")</f>
        <v>No</v>
      </c>
    </row>
    <row r="276" spans="1:14" s="1" customFormat="1" ht="12" customHeight="1" x14ac:dyDescent="0.3">
      <c r="A276" s="324" t="str">
        <f ca="1">IF($J272&gt;0,"Other Allowance",IF(VLOOKUP($B260,INDIRECT(VLOOKUP($E259,$M$2:$N$20,2,FALSE)),44,FALSE)=0,"",IF($E259=DATE(2025,6,1),"Arrears of Apr &amp; May-2025","")))</f>
        <v>Arrears of Apr &amp; May-2025</v>
      </c>
      <c r="B276" s="325"/>
      <c r="C276" s="326" cm="1">
        <f t="array" aca="1" ref="C276" ca="1">_xlfn.IFS($A276="","",$A276="Other Allowance",VLOOKUP($B260,INDIRECT(VLOOKUP($E259,$M$2:$N$20,2,FALSE)),18,FALSE),$A276="Arrears of Apr &amp; May-2025",VLOOKUP($B260,INDIRECT(VLOOKUP($E259,$M$2:$N$20,2,FALSE)),44,FALSE))</f>
        <v>7000</v>
      </c>
      <c r="D276" s="327"/>
      <c r="E276" s="324" t="str" cm="1">
        <f t="array" aca="1" ref="E276" ca="1">_xlfn.IFS(N275="Yes",M275,N276="Yes",M276,TRUE,"")</f>
        <v/>
      </c>
      <c r="F276" s="325"/>
      <c r="G276" s="325"/>
      <c r="H276" s="325"/>
      <c r="I276" s="325"/>
      <c r="J276" s="335" t="str" cm="1">
        <f t="array" aca="1" ref="J276" ca="1">IF(E276="","",_xlfn.IFS(N275="Yes",VLOOKUP($B260,INDIRECT(VLOOKUP($E259,$M$2:$N$20,2,FALSE)),27,FALSE),N276="Yes",VLOOKUP($B260,INDIRECT(VLOOKUP($E259,$M$2:$N$20,2,FALSE)),28,FALSE)))</f>
        <v/>
      </c>
      <c r="K276" s="336"/>
      <c r="M276" s="88" t="s">
        <v>14</v>
      </c>
      <c r="N276" s="88" t="str">
        <f ca="1">IF(VLOOKUP($B260,INDIRECT(VLOOKUP($E$7,$M$2:$N$20,2,FALSE)),39,FALSE)&gt;0,"Yes","No")</f>
        <v>No</v>
      </c>
    </row>
    <row r="277" spans="1:14" s="1" customFormat="1" ht="12" customHeight="1" x14ac:dyDescent="0.3">
      <c r="A277" s="324" t="str" cm="1">
        <f t="array" aca="1" ref="A277" ca="1">_xlfn.IFS($A276="","",$A276="Other Allowance","EPF",$A276="Arrears of Apr &amp; May-2025","",VLOOKUP($B260,INDIRECT(VLOOKUP($E259,$M$2:$N$20,2,FALSE)),44,FALSE)=0,"",$E259=DATE(2025,6,1),"Arrears of Apr &amp; May-2025")</f>
        <v/>
      </c>
      <c r="B277" s="325"/>
      <c r="C277" s="326" t="str" cm="1">
        <f t="array" aca="1" ref="C277" ca="1">_xlfn.IFS($A277="","",$A277="EPF",VLOOKUP($B260,INDIRECT(VLOOKUP($E259,$M$2:$N$20,2,FALSE)),19,FALSE),$A277="Arrears of Apr &amp; May-2025",VLOOKUP($B260,INDIRECT(VLOOKUP($E259,$M$2:$N$20,2,FALSE)),44,FALSE))</f>
        <v/>
      </c>
      <c r="D277" s="327"/>
      <c r="E277" s="324" t="str" cm="1">
        <f t="array" aca="1" ref="E277" ca="1">_xlfn.IFS(N276="No","",N275="Yes",M276,TRUE,"")</f>
        <v/>
      </c>
      <c r="F277" s="325"/>
      <c r="G277" s="325"/>
      <c r="H277" s="325"/>
      <c r="I277" s="325"/>
      <c r="J277" s="335" t="str">
        <f ca="1">IF(E277="","",VLOOKUP($B260,INDIRECT(VLOOKUP($E259,$M$2:$N$20,2,FALSE)),28,FALSE))</f>
        <v/>
      </c>
      <c r="K277" s="336"/>
      <c r="M277" s="130"/>
      <c r="N277" s="88"/>
    </row>
    <row r="278" spans="1:14" s="1" customFormat="1" ht="12" customHeight="1" x14ac:dyDescent="0.3">
      <c r="A278" s="324" t="str">
        <f ca="1">IF($J274&gt;0,"ESIC (Employer)",IF($A277="","",IF(VLOOKUP($B260,INDIRECT(VLOOKUP($E259,$M$2:$N$20,2,FALSE)),44,FALSE)="","",IF($E259=DATE(2025,6,1),"Arrears of Apr &amp; May-2025",""))))</f>
        <v/>
      </c>
      <c r="B278" s="325"/>
      <c r="C278" s="326" t="str" cm="1">
        <f t="array" aca="1" ref="C278" ca="1">_xlfn.IFS($A278="","",$A278="ESIC (Employer)",VLOOKUP($B260,INDIRECT(VLOOKUP($E259,$M$2:$N$20,2,FALSE)),20,FALSE),$A278="Arrears of Apr &amp; May-2025",VLOOKUP($B260,INDIRECT(VLOOKUP($E259,$M$2:$N$20,2,FALSE)),44,FALSE))</f>
        <v/>
      </c>
      <c r="D278" s="327"/>
      <c r="E278" s="324"/>
      <c r="F278" s="325"/>
      <c r="G278" s="325"/>
      <c r="H278" s="325"/>
      <c r="I278" s="325"/>
      <c r="J278" s="335"/>
      <c r="K278" s="336"/>
      <c r="M278" s="88"/>
      <c r="N278" s="88"/>
    </row>
    <row r="279" spans="1:14" s="1" customFormat="1" ht="12" customHeight="1" x14ac:dyDescent="0.3">
      <c r="A279" s="324" t="str">
        <f ca="1">IF($A278="","",IF(VLOOKUP($B260,INDIRECT(VLOOKUP($E259,$M$2:$N$20,2,FALSE)),44,FALSE)=0,"",IF($A278="Arrears of Apr &amp; May-2025","",IF($E259=DATE(2025,6,1),"Arrears of Apr &amp; May-2025",""))))</f>
        <v/>
      </c>
      <c r="B279" s="325"/>
      <c r="C279" s="326" t="str" cm="1">
        <f t="array" aca="1" ref="C279" ca="1">_xlfn.IFS($A279="","",$A279="Arrears of Apr &amp; May-2025",VLOOKUP($B260,INDIRECT(VLOOKUP($E259,$M$2:$N$20,2,FALSE)),44,FALSE))</f>
        <v/>
      </c>
      <c r="D279" s="327"/>
      <c r="E279" s="324"/>
      <c r="F279" s="325"/>
      <c r="G279" s="325"/>
      <c r="H279" s="325"/>
      <c r="I279" s="325"/>
      <c r="J279" s="335"/>
      <c r="K279" s="336"/>
      <c r="M279" s="88"/>
      <c r="N279" s="88"/>
    </row>
    <row r="280" spans="1:14" s="1" customFormat="1" ht="12" customHeight="1" x14ac:dyDescent="0.3">
      <c r="A280" s="324"/>
      <c r="B280" s="325"/>
      <c r="C280" s="326"/>
      <c r="D280" s="327"/>
      <c r="E280" s="124"/>
      <c r="F280" s="124"/>
      <c r="G280" s="124"/>
      <c r="H280" s="124"/>
      <c r="I280" s="124"/>
      <c r="J280" s="335"/>
      <c r="K280" s="336"/>
      <c r="M280" s="88"/>
      <c r="N280" s="88"/>
    </row>
    <row r="281" spans="1:14" s="1" customFormat="1" ht="3" customHeight="1" x14ac:dyDescent="0.3">
      <c r="A281" s="108"/>
      <c r="B281" s="109"/>
      <c r="C281" s="109"/>
      <c r="D281" s="112"/>
      <c r="E281" s="110"/>
      <c r="F281" s="110"/>
      <c r="G281" s="109"/>
      <c r="H281" s="109"/>
      <c r="I281" s="111"/>
      <c r="J281" s="111"/>
      <c r="K281" s="112"/>
      <c r="M281" s="88"/>
      <c r="N281" s="88"/>
    </row>
    <row r="282" spans="1:14" s="1" customFormat="1" ht="3" customHeight="1" x14ac:dyDescent="0.3">
      <c r="A282" s="123"/>
      <c r="B282" s="113"/>
      <c r="C282" s="113"/>
      <c r="D282" s="101"/>
      <c r="E282" s="124"/>
      <c r="F282" s="124"/>
      <c r="G282" s="113"/>
      <c r="H282" s="113"/>
      <c r="I282" s="114"/>
      <c r="J282" s="114"/>
      <c r="K282" s="101"/>
      <c r="M282" s="88"/>
      <c r="N282" s="88"/>
    </row>
    <row r="283" spans="1:14" s="4" customFormat="1" ht="19.95" customHeight="1" x14ac:dyDescent="0.3">
      <c r="A283" s="328" t="s">
        <v>15</v>
      </c>
      <c r="B283" s="329"/>
      <c r="C283" s="330">
        <f ca="1">SUM(C271:D282)</f>
        <v>87000</v>
      </c>
      <c r="D283" s="331"/>
      <c r="E283" s="328" t="s">
        <v>16</v>
      </c>
      <c r="F283" s="329"/>
      <c r="G283" s="329"/>
      <c r="H283" s="329"/>
      <c r="I283" s="329"/>
      <c r="J283" s="330">
        <f ca="1">SUM(J271:K279)</f>
        <v>200</v>
      </c>
      <c r="K283" s="331"/>
      <c r="M283" s="129"/>
      <c r="N283" s="90"/>
    </row>
    <row r="284" spans="1:14" s="1" customFormat="1" ht="3" customHeight="1" x14ac:dyDescent="0.3">
      <c r="A284" s="108"/>
      <c r="B284" s="109"/>
      <c r="C284" s="109"/>
      <c r="D284" s="112"/>
      <c r="E284" s="110"/>
      <c r="F284" s="110"/>
      <c r="G284" s="109"/>
      <c r="H284" s="109"/>
      <c r="I284" s="111"/>
      <c r="J284" s="111"/>
      <c r="K284" s="112"/>
      <c r="M284" s="88"/>
      <c r="N284" s="88"/>
    </row>
    <row r="285" spans="1:14" s="1" customFormat="1" ht="3" customHeight="1" x14ac:dyDescent="0.3">
      <c r="A285" s="123"/>
      <c r="B285" s="113"/>
      <c r="C285" s="113"/>
      <c r="D285" s="117"/>
      <c r="E285" s="118"/>
      <c r="F285" s="124"/>
      <c r="G285" s="113"/>
      <c r="H285" s="126"/>
      <c r="I285" s="119"/>
      <c r="J285" s="119"/>
      <c r="K285" s="115"/>
      <c r="M285" s="88"/>
      <c r="N285" s="88"/>
    </row>
    <row r="286" spans="1:14" s="5" customFormat="1" ht="19.95" customHeight="1" x14ac:dyDescent="0.3">
      <c r="A286" s="328" t="str" cm="1">
        <f t="array" aca="1" ref="A286" ca="1">mgm(J286)</f>
        <v>Rupees Eighty Six Thousand Eight Hundred Only</v>
      </c>
      <c r="B286" s="329"/>
      <c r="C286" s="329"/>
      <c r="D286" s="329"/>
      <c r="E286" s="329"/>
      <c r="F286" s="329"/>
      <c r="G286" s="332"/>
      <c r="H286" s="333" t="s">
        <v>17</v>
      </c>
      <c r="I286" s="334"/>
      <c r="J286" s="330">
        <f ca="1">C283-J283</f>
        <v>86800</v>
      </c>
      <c r="K286" s="331"/>
      <c r="L286" s="205"/>
      <c r="M286" s="90"/>
      <c r="N286" s="90"/>
    </row>
    <row r="287" spans="1:14" s="1" customFormat="1" ht="3" customHeight="1" x14ac:dyDescent="0.3">
      <c r="A287" s="108"/>
      <c r="B287" s="109"/>
      <c r="C287" s="109"/>
      <c r="D287" s="109"/>
      <c r="E287" s="110"/>
      <c r="F287" s="110"/>
      <c r="G287" s="109"/>
      <c r="H287" s="127"/>
      <c r="I287" s="111"/>
      <c r="J287" s="111"/>
      <c r="K287" s="112"/>
      <c r="M287" s="88"/>
      <c r="N287" s="88"/>
    </row>
    <row r="288" spans="1:14" s="1" customFormat="1" ht="19.95" customHeight="1" x14ac:dyDescent="0.3">
      <c r="A288" s="323" t="s">
        <v>18</v>
      </c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M288" s="88"/>
      <c r="N288" s="88"/>
    </row>
    <row r="289" spans="1:14" s="132" customFormat="1" ht="60" customHeight="1" x14ac:dyDescent="0.3">
      <c r="A289" s="181"/>
      <c r="E289" s="181"/>
      <c r="F289" s="181"/>
    </row>
    <row r="290" spans="1:14" s="2" customFormat="1" ht="19.95" customHeight="1" x14ac:dyDescent="0.3">
      <c r="A290" s="338" t="s">
        <v>107</v>
      </c>
      <c r="B290" s="339"/>
      <c r="C290" s="339"/>
      <c r="D290" s="339"/>
      <c r="E290" s="339"/>
      <c r="F290" s="339"/>
      <c r="G290" s="339"/>
      <c r="H290" s="339"/>
      <c r="I290" s="339"/>
      <c r="J290" s="339"/>
      <c r="K290" s="340"/>
      <c r="L290" s="1"/>
      <c r="M290" s="86"/>
      <c r="N290" s="87"/>
    </row>
    <row r="291" spans="1:14" s="2" customFormat="1" ht="15" customHeight="1" x14ac:dyDescent="0.3">
      <c r="A291" s="341" t="s">
        <v>180</v>
      </c>
      <c r="B291" s="342"/>
      <c r="C291" s="342"/>
      <c r="D291" s="342"/>
      <c r="E291" s="342"/>
      <c r="F291" s="342"/>
      <c r="G291" s="342"/>
      <c r="H291" s="342"/>
      <c r="I291" s="342"/>
      <c r="J291" s="342"/>
      <c r="K291" s="343"/>
      <c r="L291" s="1"/>
      <c r="M291" s="86"/>
      <c r="N291" s="88"/>
    </row>
    <row r="292" spans="1:14" s="2" customFormat="1" ht="15" customHeight="1" x14ac:dyDescent="0.3">
      <c r="A292" s="344" t="s">
        <v>72</v>
      </c>
      <c r="B292" s="345"/>
      <c r="C292" s="345"/>
      <c r="D292" s="345"/>
      <c r="E292" s="345"/>
      <c r="F292" s="345"/>
      <c r="G292" s="345"/>
      <c r="H292" s="345"/>
      <c r="I292" s="345"/>
      <c r="J292" s="345"/>
      <c r="K292" s="346"/>
      <c r="L292" s="1"/>
      <c r="M292" s="86"/>
      <c r="N292" s="88"/>
    </row>
    <row r="293" spans="1:14" s="2" customFormat="1" ht="4.95" customHeight="1" x14ac:dyDescent="0.3">
      <c r="A293" s="92"/>
      <c r="B293" s="347"/>
      <c r="C293" s="347"/>
      <c r="D293" s="347"/>
      <c r="E293" s="347"/>
      <c r="F293" s="347"/>
      <c r="G293" s="347"/>
      <c r="H293" s="347"/>
      <c r="I293" s="347"/>
      <c r="J293" s="347"/>
      <c r="K293" s="348"/>
      <c r="L293" s="1"/>
      <c r="M293" s="88"/>
      <c r="N293" s="88"/>
    </row>
    <row r="294" spans="1:14" s="2" customFormat="1" ht="3" customHeight="1" x14ac:dyDescent="0.3">
      <c r="A294" s="93"/>
      <c r="B294" s="94"/>
      <c r="C294" s="94"/>
      <c r="D294" s="94"/>
      <c r="E294" s="95"/>
      <c r="F294" s="95"/>
      <c r="G294" s="94"/>
      <c r="H294" s="94"/>
      <c r="I294" s="94"/>
      <c r="J294" s="94"/>
      <c r="K294" s="96"/>
      <c r="L294" s="1"/>
      <c r="M294" s="88"/>
      <c r="N294" s="88"/>
    </row>
    <row r="295" spans="1:14" s="2" customFormat="1" x14ac:dyDescent="0.3">
      <c r="A295" s="123" t="s">
        <v>68</v>
      </c>
      <c r="B295" s="124" t="str">
        <f ca="1">VLOOKUP($B296,Salary_Master_2,3,FALSE)</f>
        <v>W050</v>
      </c>
      <c r="C295" s="349" t="s">
        <v>21</v>
      </c>
      <c r="D295" s="349"/>
      <c r="E295" s="350">
        <f>IF($E$1="","",$E$1)</f>
        <v>45809</v>
      </c>
      <c r="F295" s="350"/>
      <c r="G295" s="97" t="s">
        <v>22</v>
      </c>
      <c r="H295" s="98">
        <f ca="1">VLOOKUP($B296,INDIRECT(VLOOKUP($E$7,$M$2:$N$20,2,FALSE)),3,FALSE)</f>
        <v>31</v>
      </c>
      <c r="I295" s="99"/>
      <c r="J295" s="100" t="s">
        <v>27</v>
      </c>
      <c r="K295" s="101"/>
      <c r="L295" s="1"/>
      <c r="M295" s="86"/>
      <c r="N295" s="88"/>
    </row>
    <row r="296" spans="1:14" s="2" customFormat="1" x14ac:dyDescent="0.3">
      <c r="A296" s="123" t="s">
        <v>19</v>
      </c>
      <c r="B296" s="124" t="str">
        <f ca="1">IF(Salary_Master_2!$B$13="","",VLOOKUP(Salary_Master_2!$B$13,INDIRECT(VLOOKUP($E295,$M$2:$N$20,2,FALSE)),1,FALSE))</f>
        <v>Ankit Parmar</v>
      </c>
      <c r="C296" s="351" t="s">
        <v>1</v>
      </c>
      <c r="D296" s="351"/>
      <c r="E296" s="352">
        <f ca="1">SUM($H295:$H298)</f>
        <v>31</v>
      </c>
      <c r="F296" s="352"/>
      <c r="G296" s="97" t="s">
        <v>24</v>
      </c>
      <c r="H296" s="102">
        <f ca="1">VLOOKUP($B296,INDIRECT(VLOOKUP($E$7,$M$2:$N$20,2,FALSE)),4,FALSE)</f>
        <v>0</v>
      </c>
      <c r="I296" s="100"/>
      <c r="J296" s="103" t="s">
        <v>28</v>
      </c>
      <c r="K296" s="101">
        <f ca="1">VLOOKUP($B296,INDIRECT(VLOOKUP($E$7,$M$2:$N$20,2,FALSE)),29,FALSE)</f>
        <v>47300</v>
      </c>
      <c r="L296" s="1"/>
      <c r="M296" s="86"/>
      <c r="N296" s="88"/>
    </row>
    <row r="297" spans="1:14" s="2" customFormat="1" x14ac:dyDescent="0.3">
      <c r="A297" s="123" t="s">
        <v>0</v>
      </c>
      <c r="B297" s="124" t="str">
        <f ca="1">VLOOKUP($B296,Salary_Master_2,4,FALSE)</f>
        <v>Accounts &amp; Admin Executive</v>
      </c>
      <c r="C297" s="124"/>
      <c r="D297" s="103" t="s">
        <v>70</v>
      </c>
      <c r="E297" s="337" t="str">
        <f ca="1">VLOOKUP($B296,Salary_Master_2,9,FALSE)</f>
        <v>NA</v>
      </c>
      <c r="F297" s="337"/>
      <c r="G297" s="97" t="s">
        <v>25</v>
      </c>
      <c r="H297" s="102">
        <f ca="1">VLOOKUP($B296,INDIRECT(VLOOKUP($E$7,$M$2:$N$20,2,FALSE)),5,FALSE)</f>
        <v>0</v>
      </c>
      <c r="I297" s="97"/>
      <c r="J297" s="103" t="s">
        <v>29</v>
      </c>
      <c r="K297" s="101" t="str">
        <f ca="1">VLOOKUP($B296,INDIRECT(VLOOKUP($E$7,$M$2:$N$20,2,FALSE)),30,FALSE)</f>
        <v>Male</v>
      </c>
      <c r="L297" s="1"/>
      <c r="M297" s="86"/>
      <c r="N297" s="88"/>
    </row>
    <row r="298" spans="1:14" s="2" customFormat="1" x14ac:dyDescent="0.3">
      <c r="A298" s="123" t="s">
        <v>20</v>
      </c>
      <c r="B298" s="124" t="str">
        <f ca="1">VLOOKUP($B296,Salary_Master_2,5,FALSE)</f>
        <v>Accounts</v>
      </c>
      <c r="C298" s="124"/>
      <c r="D298" s="103" t="s">
        <v>71</v>
      </c>
      <c r="E298" s="337" t="str">
        <f ca="1">VLOOKUP($B296,Salary_Master_2,10,FALSE)</f>
        <v>NA</v>
      </c>
      <c r="F298" s="337"/>
      <c r="G298" s="97" t="s">
        <v>26</v>
      </c>
      <c r="H298" s="102">
        <f ca="1">VLOOKUP($B296,INDIRECT(VLOOKUP($E$7,$M$2:$N$20,2,FALSE)),6,FALSE)</f>
        <v>0</v>
      </c>
      <c r="I298" s="97"/>
      <c r="J298" s="103" t="s">
        <v>30</v>
      </c>
      <c r="K298" s="101">
        <f ca="1">VLOOKUP($B296,INDIRECT(VLOOKUP($E$7,$M$2:$N$20,2,FALSE)),31,FALSE)</f>
        <v>2.5</v>
      </c>
      <c r="L298" s="1"/>
      <c r="M298" s="86"/>
      <c r="N298" s="88"/>
    </row>
    <row r="299" spans="1:14" s="2" customFormat="1" x14ac:dyDescent="0.3">
      <c r="A299" s="123" t="s">
        <v>69</v>
      </c>
      <c r="B299" s="124" t="str">
        <f ca="1">VLOOKUP($B296,Salary_Master_2,6,FALSE)</f>
        <v>Ansa Factory</v>
      </c>
      <c r="C299" s="124"/>
      <c r="D299" s="104"/>
      <c r="E299" s="105"/>
      <c r="F299" s="105"/>
      <c r="G299" s="97" t="s">
        <v>23</v>
      </c>
      <c r="H299" s="102">
        <f ca="1">VLOOKUP($B296,INDIRECT(VLOOKUP($E$7,$M$2:$N$20,2,FALSE)),8,FALSE)</f>
        <v>0</v>
      </c>
      <c r="I299" s="97"/>
      <c r="J299" s="125"/>
      <c r="K299" s="101"/>
      <c r="L299" s="1"/>
      <c r="M299" s="86"/>
      <c r="N299" s="88"/>
    </row>
    <row r="300" spans="1:14" s="2" customFormat="1" x14ac:dyDescent="0.3">
      <c r="A300" s="123" t="s">
        <v>32</v>
      </c>
      <c r="B300" s="106">
        <f ca="1">VLOOKUP($B296,Salary_Master_2,7,FALSE)</f>
        <v>42660</v>
      </c>
      <c r="C300" s="106"/>
      <c r="D300" s="104"/>
      <c r="E300" s="105"/>
      <c r="F300" s="105"/>
      <c r="G300" s="97" t="s">
        <v>31</v>
      </c>
      <c r="H300" s="102">
        <f ca="1">VLOOKUP($B296,INDIRECT(VLOOKUP($E$7,$M$2:$N$20,2,FALSE)),9,FALSE)</f>
        <v>1</v>
      </c>
      <c r="I300" s="107"/>
      <c r="J300" s="107"/>
      <c r="K300" s="101"/>
      <c r="L300" s="1"/>
      <c r="M300" s="86"/>
      <c r="N300" s="88"/>
    </row>
    <row r="301" spans="1:14" s="2" customFormat="1" ht="3" customHeight="1" x14ac:dyDescent="0.3">
      <c r="A301" s="108"/>
      <c r="B301" s="109"/>
      <c r="C301" s="109"/>
      <c r="D301" s="109"/>
      <c r="E301" s="110"/>
      <c r="F301" s="110"/>
      <c r="G301" s="109"/>
      <c r="H301" s="109"/>
      <c r="I301" s="111"/>
      <c r="J301" s="111"/>
      <c r="K301" s="112"/>
      <c r="L301" s="1"/>
      <c r="M301" s="88"/>
      <c r="N301" s="88"/>
    </row>
    <row r="302" spans="1:14" s="2" customFormat="1" ht="3" customHeight="1" x14ac:dyDescent="0.3">
      <c r="A302" s="123"/>
      <c r="B302" s="113"/>
      <c r="C302" s="113"/>
      <c r="D302" s="113"/>
      <c r="E302" s="124"/>
      <c r="F302" s="124"/>
      <c r="G302" s="113"/>
      <c r="H302" s="113"/>
      <c r="I302" s="114"/>
      <c r="J302" s="114"/>
      <c r="K302" s="115"/>
      <c r="L302" s="1"/>
      <c r="M302" s="88"/>
      <c r="N302" s="88"/>
    </row>
    <row r="303" spans="1:14" s="1" customFormat="1" ht="3" customHeight="1" x14ac:dyDescent="0.3">
      <c r="A303" s="116"/>
      <c r="B303" s="117"/>
      <c r="C303" s="117"/>
      <c r="D303" s="115"/>
      <c r="E303" s="118"/>
      <c r="F303" s="118"/>
      <c r="G303" s="117"/>
      <c r="H303" s="117"/>
      <c r="I303" s="119"/>
      <c r="J303" s="119"/>
      <c r="K303" s="115"/>
      <c r="M303" s="88"/>
      <c r="N303" s="88"/>
    </row>
    <row r="304" spans="1:14" s="1" customFormat="1" ht="12" customHeight="1" x14ac:dyDescent="0.3">
      <c r="A304" s="120" t="s">
        <v>4</v>
      </c>
      <c r="B304" s="113"/>
      <c r="C304" s="113"/>
      <c r="D304" s="121" t="s">
        <v>5</v>
      </c>
      <c r="E304" s="122" t="s">
        <v>6</v>
      </c>
      <c r="F304" s="122"/>
      <c r="G304" s="113"/>
      <c r="H304" s="113"/>
      <c r="I304" s="113"/>
      <c r="J304" s="113"/>
      <c r="K304" s="121" t="s">
        <v>5</v>
      </c>
      <c r="M304" s="86"/>
      <c r="N304" s="88"/>
    </row>
    <row r="305" spans="1:14" s="1" customFormat="1" ht="3" customHeight="1" x14ac:dyDescent="0.3">
      <c r="A305" s="108"/>
      <c r="B305" s="109"/>
      <c r="C305" s="109"/>
      <c r="D305" s="112"/>
      <c r="E305" s="110"/>
      <c r="F305" s="110"/>
      <c r="G305" s="109"/>
      <c r="H305" s="109"/>
      <c r="I305" s="111"/>
      <c r="J305" s="111"/>
      <c r="K305" s="112"/>
      <c r="M305" s="88"/>
      <c r="N305" s="88"/>
    </row>
    <row r="306" spans="1:14" s="1" customFormat="1" ht="3" customHeight="1" x14ac:dyDescent="0.3">
      <c r="A306" s="123"/>
      <c r="B306" s="113"/>
      <c r="C306" s="113"/>
      <c r="D306" s="101"/>
      <c r="E306" s="124"/>
      <c r="F306" s="124"/>
      <c r="G306" s="113"/>
      <c r="H306" s="113"/>
      <c r="I306" s="114"/>
      <c r="J306" s="114"/>
      <c r="K306" s="101"/>
      <c r="M306" s="88"/>
      <c r="N306" s="88"/>
    </row>
    <row r="307" spans="1:14" s="1" customFormat="1" ht="12" customHeight="1" x14ac:dyDescent="0.3">
      <c r="A307" s="324" t="s">
        <v>7</v>
      </c>
      <c r="B307" s="325"/>
      <c r="C307" s="326">
        <f ca="1">VLOOKUP($B296,INDIRECT(VLOOKUP($E295,$M$2:$N$20,2,FALSE)),13,FALSE)</f>
        <v>16500</v>
      </c>
      <c r="D307" s="327"/>
      <c r="E307" s="324" t="s">
        <v>8</v>
      </c>
      <c r="F307" s="325"/>
      <c r="G307" s="325"/>
      <c r="H307" s="325"/>
      <c r="I307" s="325"/>
      <c r="J307" s="326">
        <f ca="1">VLOOKUP($B296,INDIRECT(VLOOKUP($E295,$M$2:$N$20,2,FALSE)),22,FALSE)</f>
        <v>0</v>
      </c>
      <c r="K307" s="327"/>
      <c r="M307" s="86"/>
      <c r="N307" s="88"/>
    </row>
    <row r="308" spans="1:14" s="1" customFormat="1" ht="12" customHeight="1" x14ac:dyDescent="0.3">
      <c r="A308" s="324" t="s">
        <v>9</v>
      </c>
      <c r="B308" s="325"/>
      <c r="C308" s="326">
        <f ca="1">VLOOKUP($B296,INDIRECT(VLOOKUP($E295,$M$2:$N$20,2,FALSE)),14,FALSE)</f>
        <v>6600</v>
      </c>
      <c r="D308" s="327"/>
      <c r="E308" s="324" t="s">
        <v>94</v>
      </c>
      <c r="F308" s="325"/>
      <c r="G308" s="325"/>
      <c r="H308" s="325"/>
      <c r="I308" s="325"/>
      <c r="J308" s="326">
        <f ca="1">VLOOKUP($B296,INDIRECT(VLOOKUP($E295,$M$2:$N$20,2,FALSE)),23,FALSE)</f>
        <v>0</v>
      </c>
      <c r="K308" s="327"/>
      <c r="M308" s="86"/>
      <c r="N308" s="88"/>
    </row>
    <row r="309" spans="1:14" s="1" customFormat="1" ht="12" customHeight="1" x14ac:dyDescent="0.3">
      <c r="A309" s="324" t="s">
        <v>11</v>
      </c>
      <c r="B309" s="325"/>
      <c r="C309" s="326">
        <f ca="1">VLOOKUP($B296,INDIRECT(VLOOKUP($E295,$M$2:$N$20,2,FALSE)),15,FALSE)</f>
        <v>1600</v>
      </c>
      <c r="D309" s="327"/>
      <c r="E309" s="324" t="s">
        <v>10</v>
      </c>
      <c r="F309" s="325"/>
      <c r="G309" s="325"/>
      <c r="H309" s="325"/>
      <c r="I309" s="325"/>
      <c r="J309" s="326">
        <f ca="1">VLOOKUP($B296,INDIRECT(VLOOKUP($E295,$M$2:$N$20,2,FALSE)),24,FALSE)</f>
        <v>0</v>
      </c>
      <c r="K309" s="327"/>
      <c r="M309" s="87"/>
      <c r="N309" s="86"/>
    </row>
    <row r="310" spans="1:14" s="1" customFormat="1" ht="12" customHeight="1" x14ac:dyDescent="0.3">
      <c r="A310" s="324" t="s">
        <v>3</v>
      </c>
      <c r="B310" s="325"/>
      <c r="C310" s="326">
        <f ca="1">VLOOKUP($B296,INDIRECT(VLOOKUP($E295,$M$2:$N$20,2,FALSE)),16,FALSE)</f>
        <v>1375</v>
      </c>
      <c r="D310" s="327"/>
      <c r="E310" s="324" t="s">
        <v>93</v>
      </c>
      <c r="F310" s="325"/>
      <c r="G310" s="325"/>
      <c r="H310" s="325"/>
      <c r="I310" s="325"/>
      <c r="J310" s="326">
        <f ca="1">VLOOKUP($B296,INDIRECT(VLOOKUP($E295,$M$2:$N$20,2,FALSE)),25,FALSE)</f>
        <v>0</v>
      </c>
      <c r="K310" s="327"/>
      <c r="M310" s="87"/>
      <c r="N310" s="89"/>
    </row>
    <row r="311" spans="1:14" s="1" customFormat="1" ht="12" customHeight="1" x14ac:dyDescent="0.3">
      <c r="A311" s="324" t="s">
        <v>13</v>
      </c>
      <c r="B311" s="325"/>
      <c r="C311" s="326">
        <f ca="1">VLOOKUP($B296,INDIRECT(VLOOKUP($E295,$M$2:$N$20,2,FALSE)),17,FALSE)</f>
        <v>21425</v>
      </c>
      <c r="D311" s="327"/>
      <c r="E311" s="324" t="s">
        <v>12</v>
      </c>
      <c r="F311" s="325"/>
      <c r="G311" s="325"/>
      <c r="H311" s="325"/>
      <c r="I311" s="325"/>
      <c r="J311" s="326">
        <f ca="1">VLOOKUP($B296,INDIRECT(VLOOKUP($E295,$M$2:$N$20,2,FALSE)),26,FALSE)</f>
        <v>200</v>
      </c>
      <c r="K311" s="327"/>
      <c r="M311" s="88" t="s">
        <v>73</v>
      </c>
      <c r="N311" s="88" t="str">
        <f ca="1">IF(VLOOKUP($B296,INDIRECT(VLOOKUP($E295,$M$2:$N$20,2,FALSE)),38,FALSE)&gt;0,"Yes","No")</f>
        <v>No</v>
      </c>
    </row>
    <row r="312" spans="1:14" s="1" customFormat="1" ht="12" customHeight="1" x14ac:dyDescent="0.3">
      <c r="A312" s="324" t="str">
        <f ca="1">IF($J308&gt;0,"Other Allowance",IF(VLOOKUP($B296,INDIRECT(VLOOKUP($E295,$M$2:$N$20,2,FALSE)),44,FALSE)=0,"",IF($E295=DATE(2025,6,1),"Arrears of Apr &amp; May-2025","")))</f>
        <v>Arrears of Apr &amp; May-2025</v>
      </c>
      <c r="B312" s="325"/>
      <c r="C312" s="326" cm="1">
        <f t="array" aca="1" ref="C312" ca="1">_xlfn.IFS($A312="","",$A312="Other Allowance",VLOOKUP($B296,INDIRECT(VLOOKUP($E295,$M$2:$N$20,2,FALSE)),18,FALSE),$A312="Arrears of Apr &amp; May-2025",VLOOKUP($B296,INDIRECT(VLOOKUP($E295,$M$2:$N$20,2,FALSE)),44,FALSE))</f>
        <v>5000</v>
      </c>
      <c r="D312" s="327"/>
      <c r="E312" s="324" t="str" cm="1">
        <f t="array" aca="1" ref="E312" ca="1">_xlfn.IFS(N311="Yes",M311,N312="Yes",M312,TRUE,"")</f>
        <v/>
      </c>
      <c r="F312" s="325"/>
      <c r="G312" s="325"/>
      <c r="H312" s="325"/>
      <c r="I312" s="325"/>
      <c r="J312" s="335" t="str" cm="1">
        <f t="array" aca="1" ref="J312" ca="1">IF(E312="","",_xlfn.IFS(N311="Yes",VLOOKUP($B296,INDIRECT(VLOOKUP($E295,$M$2:$N$20,2,FALSE)),27,FALSE),N312="Yes",VLOOKUP($B296,INDIRECT(VLOOKUP($E295,$M$2:$N$20,2,FALSE)),28,FALSE)))</f>
        <v/>
      </c>
      <c r="K312" s="336"/>
      <c r="M312" s="88" t="s">
        <v>14</v>
      </c>
      <c r="N312" s="88" t="str">
        <f ca="1">IF(VLOOKUP($B296,INDIRECT(VLOOKUP($E$7,$M$2:$N$20,2,FALSE)),39,FALSE)&gt;0,"Yes","No")</f>
        <v>No</v>
      </c>
    </row>
    <row r="313" spans="1:14" s="1" customFormat="1" ht="12" customHeight="1" x14ac:dyDescent="0.3">
      <c r="A313" s="324" t="str" cm="1">
        <f t="array" aca="1" ref="A313" ca="1">_xlfn.IFS($A312="","",$A312="Other Allowance","EPF",$A312="Arrears of Apr &amp; May-2025","",VLOOKUP($B296,INDIRECT(VLOOKUP($E295,$M$2:$N$20,2,FALSE)),44,FALSE)=0,"",$E295=DATE(2025,6,1),"Arrears of Apr &amp; May-2025")</f>
        <v/>
      </c>
      <c r="B313" s="325"/>
      <c r="C313" s="326" t="str" cm="1">
        <f t="array" aca="1" ref="C313" ca="1">_xlfn.IFS($A313="","",$A313="EPF",VLOOKUP($B296,INDIRECT(VLOOKUP($E295,$M$2:$N$20,2,FALSE)),19,FALSE),$A313="Arrears of Apr &amp; May-2025",VLOOKUP($B296,INDIRECT(VLOOKUP($E295,$M$2:$N$20,2,FALSE)),44,FALSE))</f>
        <v/>
      </c>
      <c r="D313" s="327"/>
      <c r="E313" s="324" t="str" cm="1">
        <f t="array" aca="1" ref="E313" ca="1">_xlfn.IFS(N312="No","",N311="Yes",M312,TRUE,"")</f>
        <v/>
      </c>
      <c r="F313" s="325"/>
      <c r="G313" s="325"/>
      <c r="H313" s="325"/>
      <c r="I313" s="325"/>
      <c r="J313" s="335" t="str">
        <f ca="1">IF(E313="","",VLOOKUP($B296,INDIRECT(VLOOKUP($E295,$M$2:$N$20,2,FALSE)),28,FALSE))</f>
        <v/>
      </c>
      <c r="K313" s="336"/>
      <c r="M313" s="130"/>
      <c r="N313" s="88"/>
    </row>
    <row r="314" spans="1:14" s="1" customFormat="1" ht="12" customHeight="1" x14ac:dyDescent="0.3">
      <c r="A314" s="324" t="str">
        <f ca="1">IF($J310&gt;0,"ESIC (Employer)",IF($A313="","",IF(VLOOKUP($B296,INDIRECT(VLOOKUP($E295,$M$2:$N$20,2,FALSE)),44,FALSE)="","",IF($E295=DATE(2025,6,1),"Arrears of Apr &amp; May-2025",""))))</f>
        <v/>
      </c>
      <c r="B314" s="325"/>
      <c r="C314" s="326" t="str" cm="1">
        <f t="array" aca="1" ref="C314" ca="1">_xlfn.IFS($A314="","",$A314="ESIC (Employer)",VLOOKUP($B296,INDIRECT(VLOOKUP($E295,$M$2:$N$20,2,FALSE)),20,FALSE),$A314="Arrears of Apr &amp; May-2025",VLOOKUP($B296,INDIRECT(VLOOKUP($E295,$M$2:$N$20,2,FALSE)),44,FALSE))</f>
        <v/>
      </c>
      <c r="D314" s="327"/>
      <c r="E314" s="324"/>
      <c r="F314" s="325"/>
      <c r="G314" s="325"/>
      <c r="H314" s="325"/>
      <c r="I314" s="325"/>
      <c r="J314" s="335"/>
      <c r="K314" s="336"/>
      <c r="M314" s="88"/>
      <c r="N314" s="88"/>
    </row>
    <row r="315" spans="1:14" s="1" customFormat="1" ht="12" customHeight="1" x14ac:dyDescent="0.3">
      <c r="A315" s="324" t="str">
        <f ca="1">IF($A314="","",IF(VLOOKUP($B296,INDIRECT(VLOOKUP($E295,$M$2:$N$20,2,FALSE)),44,FALSE)=0,"",IF($A314="Arrears of Apr &amp; May-2025","",IF($E295=DATE(2025,6,1),"Arrears of Apr &amp; May-2025",""))))</f>
        <v/>
      </c>
      <c r="B315" s="325"/>
      <c r="C315" s="326" t="str" cm="1">
        <f t="array" aca="1" ref="C315" ca="1">_xlfn.IFS($A315="","",$A315="Arrears of Apr &amp; May-2025",VLOOKUP($B296,INDIRECT(VLOOKUP($E295,$M$2:$N$20,2,FALSE)),44,FALSE))</f>
        <v/>
      </c>
      <c r="D315" s="327"/>
      <c r="E315" s="324"/>
      <c r="F315" s="325"/>
      <c r="G315" s="325"/>
      <c r="H315" s="325"/>
      <c r="I315" s="325"/>
      <c r="J315" s="335"/>
      <c r="K315" s="336"/>
      <c r="M315" s="88"/>
      <c r="N315" s="88"/>
    </row>
    <row r="316" spans="1:14" s="1" customFormat="1" ht="12" customHeight="1" x14ac:dyDescent="0.3">
      <c r="A316" s="324"/>
      <c r="B316" s="325"/>
      <c r="C316" s="326"/>
      <c r="D316" s="327"/>
      <c r="E316" s="124"/>
      <c r="F316" s="124"/>
      <c r="G316" s="124"/>
      <c r="H316" s="124"/>
      <c r="I316" s="124"/>
      <c r="J316" s="335"/>
      <c r="K316" s="336"/>
      <c r="M316" s="88"/>
      <c r="N316" s="88"/>
    </row>
    <row r="317" spans="1:14" s="1" customFormat="1" ht="3" customHeight="1" x14ac:dyDescent="0.3">
      <c r="A317" s="108"/>
      <c r="B317" s="109"/>
      <c r="C317" s="109"/>
      <c r="D317" s="112"/>
      <c r="E317" s="110"/>
      <c r="F317" s="110"/>
      <c r="G317" s="109"/>
      <c r="H317" s="109"/>
      <c r="I317" s="111"/>
      <c r="J317" s="111"/>
      <c r="K317" s="112"/>
      <c r="M317" s="88"/>
      <c r="N317" s="88"/>
    </row>
    <row r="318" spans="1:14" s="1" customFormat="1" ht="3" customHeight="1" x14ac:dyDescent="0.3">
      <c r="A318" s="123"/>
      <c r="B318" s="113"/>
      <c r="C318" s="113"/>
      <c r="D318" s="101"/>
      <c r="E318" s="124"/>
      <c r="F318" s="124"/>
      <c r="G318" s="113"/>
      <c r="H318" s="113"/>
      <c r="I318" s="114"/>
      <c r="J318" s="114"/>
      <c r="K318" s="101"/>
      <c r="M318" s="88"/>
      <c r="N318" s="88"/>
    </row>
    <row r="319" spans="1:14" s="4" customFormat="1" ht="19.95" customHeight="1" x14ac:dyDescent="0.3">
      <c r="A319" s="328" t="s">
        <v>15</v>
      </c>
      <c r="B319" s="329"/>
      <c r="C319" s="330">
        <f ca="1">SUM(C307:D318)</f>
        <v>52500</v>
      </c>
      <c r="D319" s="331"/>
      <c r="E319" s="328" t="s">
        <v>16</v>
      </c>
      <c r="F319" s="329"/>
      <c r="G319" s="329"/>
      <c r="H319" s="329"/>
      <c r="I319" s="329"/>
      <c r="J319" s="330">
        <f ca="1">SUM(J307:K315)</f>
        <v>200</v>
      </c>
      <c r="K319" s="331"/>
      <c r="M319" s="129"/>
      <c r="N319" s="90"/>
    </row>
    <row r="320" spans="1:14" s="1" customFormat="1" ht="3" customHeight="1" x14ac:dyDescent="0.3">
      <c r="A320" s="108"/>
      <c r="B320" s="109"/>
      <c r="C320" s="109"/>
      <c r="D320" s="112"/>
      <c r="E320" s="110"/>
      <c r="F320" s="110"/>
      <c r="G320" s="109"/>
      <c r="H320" s="109"/>
      <c r="I320" s="111"/>
      <c r="J320" s="111"/>
      <c r="K320" s="112"/>
      <c r="M320" s="88"/>
      <c r="N320" s="88"/>
    </row>
    <row r="321" spans="1:14" s="1" customFormat="1" ht="3" customHeight="1" x14ac:dyDescent="0.3">
      <c r="A321" s="123"/>
      <c r="B321" s="113"/>
      <c r="C321" s="113"/>
      <c r="D321" s="117"/>
      <c r="E321" s="118"/>
      <c r="F321" s="124"/>
      <c r="G321" s="113"/>
      <c r="H321" s="126"/>
      <c r="I321" s="119"/>
      <c r="J321" s="119"/>
      <c r="K321" s="115"/>
      <c r="M321" s="88"/>
      <c r="N321" s="88"/>
    </row>
    <row r="322" spans="1:14" s="5" customFormat="1" ht="19.95" customHeight="1" x14ac:dyDescent="0.3">
      <c r="A322" s="328" t="str" cm="1">
        <f t="array" aca="1" ref="A322" ca="1">mgm(J322)</f>
        <v>Rupees Fifty Two Thousand Three Hundred Only</v>
      </c>
      <c r="B322" s="329"/>
      <c r="C322" s="329"/>
      <c r="D322" s="329"/>
      <c r="E322" s="329"/>
      <c r="F322" s="329"/>
      <c r="G322" s="332"/>
      <c r="H322" s="333" t="s">
        <v>17</v>
      </c>
      <c r="I322" s="334"/>
      <c r="J322" s="330">
        <f ca="1">C319-J319</f>
        <v>52300</v>
      </c>
      <c r="K322" s="331"/>
      <c r="L322" s="205"/>
      <c r="M322" s="90"/>
      <c r="N322" s="90"/>
    </row>
    <row r="323" spans="1:14" s="1" customFormat="1" ht="3" customHeight="1" x14ac:dyDescent="0.3">
      <c r="A323" s="108"/>
      <c r="B323" s="109"/>
      <c r="C323" s="109"/>
      <c r="D323" s="109"/>
      <c r="E323" s="110"/>
      <c r="F323" s="110"/>
      <c r="G323" s="109"/>
      <c r="H323" s="127"/>
      <c r="I323" s="111"/>
      <c r="J323" s="111"/>
      <c r="K323" s="112"/>
      <c r="M323" s="88"/>
      <c r="N323" s="88"/>
    </row>
    <row r="324" spans="1:14" s="1" customFormat="1" ht="19.95" customHeight="1" x14ac:dyDescent="0.3">
      <c r="A324" s="323" t="s">
        <v>18</v>
      </c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M324" s="88"/>
      <c r="N324" s="88"/>
    </row>
    <row r="325" spans="1:14" s="132" customFormat="1" ht="60" customHeight="1" x14ac:dyDescent="0.3">
      <c r="A325" s="181"/>
      <c r="E325" s="181"/>
      <c r="F325" s="181"/>
    </row>
    <row r="326" spans="1:14" s="2" customFormat="1" ht="19.95" customHeight="1" x14ac:dyDescent="0.3">
      <c r="A326" s="338" t="s">
        <v>107</v>
      </c>
      <c r="B326" s="339"/>
      <c r="C326" s="339"/>
      <c r="D326" s="339"/>
      <c r="E326" s="339"/>
      <c r="F326" s="339"/>
      <c r="G326" s="339"/>
      <c r="H326" s="339"/>
      <c r="I326" s="339"/>
      <c r="J326" s="339"/>
      <c r="K326" s="340"/>
      <c r="L326" s="1"/>
      <c r="M326" s="86"/>
      <c r="N326" s="87"/>
    </row>
    <row r="327" spans="1:14" s="2" customFormat="1" ht="15" customHeight="1" x14ac:dyDescent="0.3">
      <c r="A327" s="341" t="s">
        <v>180</v>
      </c>
      <c r="B327" s="342"/>
      <c r="C327" s="342"/>
      <c r="D327" s="342"/>
      <c r="E327" s="342"/>
      <c r="F327" s="342"/>
      <c r="G327" s="342"/>
      <c r="H327" s="342"/>
      <c r="I327" s="342"/>
      <c r="J327" s="342"/>
      <c r="K327" s="343"/>
      <c r="L327" s="1"/>
      <c r="M327" s="86"/>
      <c r="N327" s="88"/>
    </row>
    <row r="328" spans="1:14" s="2" customFormat="1" ht="15" customHeight="1" x14ac:dyDescent="0.3">
      <c r="A328" s="344" t="s">
        <v>72</v>
      </c>
      <c r="B328" s="345"/>
      <c r="C328" s="345"/>
      <c r="D328" s="345"/>
      <c r="E328" s="345"/>
      <c r="F328" s="345"/>
      <c r="G328" s="345"/>
      <c r="H328" s="345"/>
      <c r="I328" s="345"/>
      <c r="J328" s="345"/>
      <c r="K328" s="346"/>
      <c r="L328" s="1"/>
      <c r="M328" s="86"/>
      <c r="N328" s="88"/>
    </row>
    <row r="329" spans="1:14" s="2" customFormat="1" ht="4.95" customHeight="1" x14ac:dyDescent="0.3">
      <c r="A329" s="92"/>
      <c r="B329" s="347"/>
      <c r="C329" s="347"/>
      <c r="D329" s="347"/>
      <c r="E329" s="347"/>
      <c r="F329" s="347"/>
      <c r="G329" s="347"/>
      <c r="H329" s="347"/>
      <c r="I329" s="347"/>
      <c r="J329" s="347"/>
      <c r="K329" s="348"/>
      <c r="L329" s="1"/>
      <c r="M329" s="88"/>
      <c r="N329" s="88"/>
    </row>
    <row r="330" spans="1:14" s="2" customFormat="1" ht="3" customHeight="1" x14ac:dyDescent="0.3">
      <c r="A330" s="93"/>
      <c r="B330" s="94"/>
      <c r="C330" s="94"/>
      <c r="D330" s="94"/>
      <c r="E330" s="95"/>
      <c r="F330" s="95"/>
      <c r="G330" s="94"/>
      <c r="H330" s="94"/>
      <c r="I330" s="94"/>
      <c r="J330" s="94"/>
      <c r="K330" s="96"/>
      <c r="L330" s="1"/>
      <c r="M330" s="88"/>
      <c r="N330" s="88"/>
    </row>
    <row r="331" spans="1:14" s="2" customFormat="1" x14ac:dyDescent="0.3">
      <c r="A331" s="123" t="s">
        <v>68</v>
      </c>
      <c r="B331" s="124" t="str">
        <f ca="1">VLOOKUP($B332,Salary_Master_2,3,FALSE)</f>
        <v>W051</v>
      </c>
      <c r="C331" s="349" t="s">
        <v>21</v>
      </c>
      <c r="D331" s="349"/>
      <c r="E331" s="350">
        <f>IF($E$1="","",$E$1)</f>
        <v>45809</v>
      </c>
      <c r="F331" s="350"/>
      <c r="G331" s="97" t="s">
        <v>22</v>
      </c>
      <c r="H331" s="98">
        <f ca="1">VLOOKUP($B332,INDIRECT(VLOOKUP($E$7,$M$2:$N$20,2,FALSE)),3,FALSE)</f>
        <v>27</v>
      </c>
      <c r="I331" s="99"/>
      <c r="J331" s="100" t="s">
        <v>27</v>
      </c>
      <c r="K331" s="101"/>
      <c r="L331" s="1"/>
      <c r="M331" s="86"/>
      <c r="N331" s="88"/>
    </row>
    <row r="332" spans="1:14" s="2" customFormat="1" x14ac:dyDescent="0.3">
      <c r="A332" s="123" t="s">
        <v>19</v>
      </c>
      <c r="B332" s="124" t="str">
        <f ca="1">IF(Salary_Master_2!$B$14="","",VLOOKUP(Salary_Master_2!$B$14,INDIRECT(VLOOKUP($E331,$M$2:$N$20,2,FALSE)),1,FALSE))</f>
        <v>Jayesh Chogle</v>
      </c>
      <c r="C332" s="351" t="s">
        <v>1</v>
      </c>
      <c r="D332" s="351"/>
      <c r="E332" s="352">
        <f ca="1">SUM($H331:$H334)</f>
        <v>31</v>
      </c>
      <c r="F332" s="352"/>
      <c r="G332" s="97" t="s">
        <v>24</v>
      </c>
      <c r="H332" s="102">
        <f ca="1">VLOOKUP($B332,INDIRECT(VLOOKUP($E$7,$M$2:$N$20,2,FALSE)),4,FALSE)</f>
        <v>3</v>
      </c>
      <c r="I332" s="100"/>
      <c r="J332" s="103" t="s">
        <v>28</v>
      </c>
      <c r="K332" s="101">
        <f ca="1">VLOOKUP($B332,INDIRECT(VLOOKUP($E$7,$M$2:$N$20,2,FALSE)),29,FALSE)</f>
        <v>44800</v>
      </c>
      <c r="L332" s="1"/>
      <c r="M332" s="86"/>
      <c r="N332" s="88"/>
    </row>
    <row r="333" spans="1:14" s="2" customFormat="1" x14ac:dyDescent="0.3">
      <c r="A333" s="123" t="s">
        <v>0</v>
      </c>
      <c r="B333" s="124" t="str">
        <f ca="1">VLOOKUP($B332,Salary_Master_2,4,FALSE)</f>
        <v>Production Engineer</v>
      </c>
      <c r="C333" s="124"/>
      <c r="D333" s="103" t="s">
        <v>70</v>
      </c>
      <c r="E333" s="337" t="str">
        <f ca="1">VLOOKUP($B332,Salary_Master_2,9,FALSE)</f>
        <v>NA</v>
      </c>
      <c r="F333" s="337"/>
      <c r="G333" s="97" t="s">
        <v>25</v>
      </c>
      <c r="H333" s="102">
        <f ca="1">VLOOKUP($B332,INDIRECT(VLOOKUP($E$7,$M$2:$N$20,2,FALSE)),5,FALSE)</f>
        <v>1</v>
      </c>
      <c r="I333" s="97"/>
      <c r="J333" s="103" t="s">
        <v>29</v>
      </c>
      <c r="K333" s="101" t="str">
        <f ca="1">VLOOKUP($B332,INDIRECT(VLOOKUP($E$7,$M$2:$N$20,2,FALSE)),30,FALSE)</f>
        <v>Male</v>
      </c>
      <c r="L333" s="1"/>
      <c r="M333" s="86"/>
      <c r="N333" s="88"/>
    </row>
    <row r="334" spans="1:14" s="2" customFormat="1" x14ac:dyDescent="0.3">
      <c r="A334" s="123" t="s">
        <v>20</v>
      </c>
      <c r="B334" s="124" t="str">
        <f ca="1">VLOOKUP($B332,Salary_Master_2,5,FALSE)</f>
        <v>Production</v>
      </c>
      <c r="C334" s="124"/>
      <c r="D334" s="103" t="s">
        <v>71</v>
      </c>
      <c r="E334" s="337" t="str">
        <f ca="1">VLOOKUP($B332,Salary_Master_2,10,FALSE)</f>
        <v>NA</v>
      </c>
      <c r="F334" s="337"/>
      <c r="G334" s="97" t="s">
        <v>26</v>
      </c>
      <c r="H334" s="102">
        <f ca="1">VLOOKUP($B332,INDIRECT(VLOOKUP($E$7,$M$2:$N$20,2,FALSE)),6,FALSE)</f>
        <v>0</v>
      </c>
      <c r="I334" s="97"/>
      <c r="J334" s="103" t="s">
        <v>30</v>
      </c>
      <c r="K334" s="101">
        <f ca="1">VLOOKUP($B332,INDIRECT(VLOOKUP($E$7,$M$2:$N$20,2,FALSE)),31,FALSE)</f>
        <v>0</v>
      </c>
      <c r="L334" s="1"/>
      <c r="M334" s="86"/>
      <c r="N334" s="88"/>
    </row>
    <row r="335" spans="1:14" s="2" customFormat="1" x14ac:dyDescent="0.3">
      <c r="A335" s="123" t="s">
        <v>69</v>
      </c>
      <c r="B335" s="124" t="str">
        <f ca="1">VLOOKUP($B332,Salary_Master_2,6,FALSE)</f>
        <v>Ansa Factory</v>
      </c>
      <c r="C335" s="124"/>
      <c r="D335" s="104"/>
      <c r="E335" s="105"/>
      <c r="F335" s="105"/>
      <c r="G335" s="97" t="s">
        <v>23</v>
      </c>
      <c r="H335" s="102">
        <f ca="1">VLOOKUP($B332,INDIRECT(VLOOKUP($E$7,$M$2:$N$20,2,FALSE)),8,FALSE)</f>
        <v>0</v>
      </c>
      <c r="I335" s="97"/>
      <c r="J335" s="125"/>
      <c r="K335" s="101"/>
      <c r="L335" s="1"/>
      <c r="M335" s="86"/>
      <c r="N335" s="88"/>
    </row>
    <row r="336" spans="1:14" s="2" customFormat="1" x14ac:dyDescent="0.3">
      <c r="A336" s="123" t="s">
        <v>32</v>
      </c>
      <c r="B336" s="106">
        <f ca="1">VLOOKUP($B332,Salary_Master_2,7,FALSE)</f>
        <v>42688</v>
      </c>
      <c r="C336" s="106"/>
      <c r="D336" s="104"/>
      <c r="E336" s="105"/>
      <c r="F336" s="105"/>
      <c r="G336" s="97" t="s">
        <v>31</v>
      </c>
      <c r="H336" s="102">
        <f ca="1">VLOOKUP($B332,INDIRECT(VLOOKUP($E$7,$M$2:$N$20,2,FALSE)),9,FALSE)</f>
        <v>12</v>
      </c>
      <c r="I336" s="107"/>
      <c r="J336" s="107"/>
      <c r="K336" s="101"/>
      <c r="L336" s="1"/>
      <c r="M336" s="86"/>
      <c r="N336" s="88"/>
    </row>
    <row r="337" spans="1:14" s="2" customFormat="1" ht="3" customHeight="1" x14ac:dyDescent="0.3">
      <c r="A337" s="108"/>
      <c r="B337" s="109"/>
      <c r="C337" s="109"/>
      <c r="D337" s="109"/>
      <c r="E337" s="110"/>
      <c r="F337" s="110"/>
      <c r="G337" s="109"/>
      <c r="H337" s="109"/>
      <c r="I337" s="111"/>
      <c r="J337" s="111"/>
      <c r="K337" s="112"/>
      <c r="L337" s="1"/>
      <c r="M337" s="88"/>
      <c r="N337" s="88"/>
    </row>
    <row r="338" spans="1:14" s="2" customFormat="1" ht="3" customHeight="1" x14ac:dyDescent="0.3">
      <c r="A338" s="123"/>
      <c r="B338" s="113"/>
      <c r="C338" s="113"/>
      <c r="D338" s="113"/>
      <c r="E338" s="124"/>
      <c r="F338" s="124"/>
      <c r="G338" s="113"/>
      <c r="H338" s="113"/>
      <c r="I338" s="114"/>
      <c r="J338" s="114"/>
      <c r="K338" s="115"/>
      <c r="L338" s="1"/>
      <c r="M338" s="88"/>
      <c r="N338" s="88"/>
    </row>
    <row r="339" spans="1:14" s="1" customFormat="1" ht="3" customHeight="1" x14ac:dyDescent="0.3">
      <c r="A339" s="116"/>
      <c r="B339" s="117"/>
      <c r="C339" s="117"/>
      <c r="D339" s="115"/>
      <c r="E339" s="118"/>
      <c r="F339" s="118"/>
      <c r="G339" s="117"/>
      <c r="H339" s="117"/>
      <c r="I339" s="119"/>
      <c r="J339" s="119"/>
      <c r="K339" s="115"/>
      <c r="M339" s="88"/>
      <c r="N339" s="88"/>
    </row>
    <row r="340" spans="1:14" s="1" customFormat="1" ht="12" customHeight="1" x14ac:dyDescent="0.3">
      <c r="A340" s="120" t="s">
        <v>4</v>
      </c>
      <c r="B340" s="113"/>
      <c r="C340" s="113"/>
      <c r="D340" s="121" t="s">
        <v>5</v>
      </c>
      <c r="E340" s="122" t="s">
        <v>6</v>
      </c>
      <c r="F340" s="122"/>
      <c r="G340" s="113"/>
      <c r="H340" s="113"/>
      <c r="I340" s="113"/>
      <c r="J340" s="113"/>
      <c r="K340" s="121" t="s">
        <v>5</v>
      </c>
      <c r="M340" s="86"/>
      <c r="N340" s="88"/>
    </row>
    <row r="341" spans="1:14" s="1" customFormat="1" ht="3" customHeight="1" x14ac:dyDescent="0.3">
      <c r="A341" s="108"/>
      <c r="B341" s="109"/>
      <c r="C341" s="109"/>
      <c r="D341" s="112"/>
      <c r="E341" s="110"/>
      <c r="F341" s="110"/>
      <c r="G341" s="109"/>
      <c r="H341" s="109"/>
      <c r="I341" s="111"/>
      <c r="J341" s="111"/>
      <c r="K341" s="112"/>
      <c r="M341" s="88"/>
      <c r="N341" s="88"/>
    </row>
    <row r="342" spans="1:14" s="1" customFormat="1" ht="3" customHeight="1" x14ac:dyDescent="0.3">
      <c r="A342" s="123"/>
      <c r="B342" s="113"/>
      <c r="C342" s="113"/>
      <c r="D342" s="101"/>
      <c r="E342" s="124"/>
      <c r="F342" s="124"/>
      <c r="G342" s="113"/>
      <c r="H342" s="113"/>
      <c r="I342" s="114"/>
      <c r="J342" s="114"/>
      <c r="K342" s="101"/>
      <c r="M342" s="88"/>
      <c r="N342" s="88"/>
    </row>
    <row r="343" spans="1:14" s="1" customFormat="1" ht="12" customHeight="1" x14ac:dyDescent="0.3">
      <c r="A343" s="324" t="s">
        <v>7</v>
      </c>
      <c r="B343" s="325"/>
      <c r="C343" s="326">
        <f ca="1">VLOOKUP($B332,INDIRECT(VLOOKUP($E331,$M$2:$N$20,2,FALSE)),13,FALSE)</f>
        <v>16500</v>
      </c>
      <c r="D343" s="327"/>
      <c r="E343" s="324" t="s">
        <v>8</v>
      </c>
      <c r="F343" s="325"/>
      <c r="G343" s="325"/>
      <c r="H343" s="325"/>
      <c r="I343" s="325"/>
      <c r="J343" s="326">
        <f ca="1">VLOOKUP($B332,INDIRECT(VLOOKUP($E331,$M$2:$N$20,2,FALSE)),22,FALSE)</f>
        <v>0</v>
      </c>
      <c r="K343" s="327"/>
      <c r="M343" s="86"/>
      <c r="N343" s="88"/>
    </row>
    <row r="344" spans="1:14" s="1" customFormat="1" ht="12" customHeight="1" x14ac:dyDescent="0.3">
      <c r="A344" s="324" t="s">
        <v>9</v>
      </c>
      <c r="B344" s="325"/>
      <c r="C344" s="326">
        <f ca="1">VLOOKUP($B332,INDIRECT(VLOOKUP($E331,$M$2:$N$20,2,FALSE)),14,FALSE)</f>
        <v>6600</v>
      </c>
      <c r="D344" s="327"/>
      <c r="E344" s="324" t="s">
        <v>94</v>
      </c>
      <c r="F344" s="325"/>
      <c r="G344" s="325"/>
      <c r="H344" s="325"/>
      <c r="I344" s="325"/>
      <c r="J344" s="326">
        <f ca="1">VLOOKUP($B332,INDIRECT(VLOOKUP($E331,$M$2:$N$20,2,FALSE)),23,FALSE)</f>
        <v>0</v>
      </c>
      <c r="K344" s="327"/>
      <c r="M344" s="86"/>
      <c r="N344" s="88"/>
    </row>
    <row r="345" spans="1:14" s="1" customFormat="1" ht="12" customHeight="1" x14ac:dyDescent="0.3">
      <c r="A345" s="324" t="s">
        <v>11</v>
      </c>
      <c r="B345" s="325"/>
      <c r="C345" s="326">
        <f ca="1">VLOOKUP($B332,INDIRECT(VLOOKUP($E331,$M$2:$N$20,2,FALSE)),15,FALSE)</f>
        <v>1600</v>
      </c>
      <c r="D345" s="327"/>
      <c r="E345" s="324" t="s">
        <v>10</v>
      </c>
      <c r="F345" s="325"/>
      <c r="G345" s="325"/>
      <c r="H345" s="325"/>
      <c r="I345" s="325"/>
      <c r="J345" s="326">
        <f ca="1">VLOOKUP($B332,INDIRECT(VLOOKUP($E331,$M$2:$N$20,2,FALSE)),24,FALSE)</f>
        <v>0</v>
      </c>
      <c r="K345" s="327"/>
      <c r="M345" s="87"/>
      <c r="N345" s="86"/>
    </row>
    <row r="346" spans="1:14" s="1" customFormat="1" ht="12" customHeight="1" x14ac:dyDescent="0.3">
      <c r="A346" s="324" t="s">
        <v>3</v>
      </c>
      <c r="B346" s="325"/>
      <c r="C346" s="326">
        <f ca="1">VLOOKUP($B332,INDIRECT(VLOOKUP($E331,$M$2:$N$20,2,FALSE)),16,FALSE)</f>
        <v>1375</v>
      </c>
      <c r="D346" s="327"/>
      <c r="E346" s="324" t="s">
        <v>93</v>
      </c>
      <c r="F346" s="325"/>
      <c r="G346" s="325"/>
      <c r="H346" s="325"/>
      <c r="I346" s="325"/>
      <c r="J346" s="326">
        <f ca="1">VLOOKUP($B332,INDIRECT(VLOOKUP($E331,$M$2:$N$20,2,FALSE)),25,FALSE)</f>
        <v>0</v>
      </c>
      <c r="K346" s="327"/>
      <c r="M346" s="87"/>
      <c r="N346" s="89"/>
    </row>
    <row r="347" spans="1:14" s="1" customFormat="1" ht="12" customHeight="1" x14ac:dyDescent="0.3">
      <c r="A347" s="324" t="s">
        <v>13</v>
      </c>
      <c r="B347" s="325"/>
      <c r="C347" s="326">
        <f ca="1">VLOOKUP($B332,INDIRECT(VLOOKUP($E331,$M$2:$N$20,2,FALSE)),17,FALSE)</f>
        <v>18925</v>
      </c>
      <c r="D347" s="327"/>
      <c r="E347" s="324" t="s">
        <v>12</v>
      </c>
      <c r="F347" s="325"/>
      <c r="G347" s="325"/>
      <c r="H347" s="325"/>
      <c r="I347" s="325"/>
      <c r="J347" s="326">
        <f ca="1">VLOOKUP($B332,INDIRECT(VLOOKUP($E331,$M$2:$N$20,2,FALSE)),26,FALSE)</f>
        <v>200</v>
      </c>
      <c r="K347" s="327"/>
      <c r="M347" s="88" t="s">
        <v>73</v>
      </c>
      <c r="N347" s="88" t="str">
        <f ca="1">IF(VLOOKUP($B332,INDIRECT(VLOOKUP($E331,$M$2:$N$20,2,FALSE)),38,FALSE)&gt;0,"Yes","No")</f>
        <v>No</v>
      </c>
    </row>
    <row r="348" spans="1:14" s="1" customFormat="1" ht="12" customHeight="1" x14ac:dyDescent="0.3">
      <c r="A348" s="324" t="str">
        <f ca="1">IF($J344&gt;0,"Other Allowance",IF(VLOOKUP($B332,INDIRECT(VLOOKUP($E331,$M$2:$N$20,2,FALSE)),44,FALSE)=0,"",IF($E331=DATE(2025,6,1),"Arrears of Apr &amp; May-2025","")))</f>
        <v>Arrears of Apr &amp; May-2025</v>
      </c>
      <c r="B348" s="325"/>
      <c r="C348" s="326" cm="1">
        <f t="array" aca="1" ref="C348" ca="1">_xlfn.IFS($A348="","",$A348="Other Allowance",VLOOKUP($B332,INDIRECT(VLOOKUP($E331,$M$2:$N$20,2,FALSE)),18,FALSE),$A348="Arrears of Apr &amp; May-2025",VLOOKUP($B332,INDIRECT(VLOOKUP($E331,$M$2:$N$20,2,FALSE)),44,FALSE))</f>
        <v>5000</v>
      </c>
      <c r="D348" s="327"/>
      <c r="E348" s="324" t="str" cm="1">
        <f t="array" aca="1" ref="E348" ca="1">_xlfn.IFS(N347="Yes",M347,N348="Yes",M348,TRUE,"")</f>
        <v/>
      </c>
      <c r="F348" s="325"/>
      <c r="G348" s="325"/>
      <c r="H348" s="325"/>
      <c r="I348" s="325"/>
      <c r="J348" s="335" t="str" cm="1">
        <f t="array" aca="1" ref="J348" ca="1">IF(E348="","",_xlfn.IFS(N347="Yes",VLOOKUP($B332,INDIRECT(VLOOKUP($E331,$M$2:$N$20,2,FALSE)),27,FALSE),N348="Yes",VLOOKUP($B332,INDIRECT(VLOOKUP($E331,$M$2:$N$20,2,FALSE)),28,FALSE)))</f>
        <v/>
      </c>
      <c r="K348" s="336"/>
      <c r="M348" s="88" t="s">
        <v>14</v>
      </c>
      <c r="N348" s="88" t="str">
        <f ca="1">IF(VLOOKUP($B332,INDIRECT(VLOOKUP($E$7,$M$2:$N$20,2,FALSE)),39,FALSE)&gt;0,"Yes","No")</f>
        <v>No</v>
      </c>
    </row>
    <row r="349" spans="1:14" s="1" customFormat="1" ht="12" customHeight="1" x14ac:dyDescent="0.3">
      <c r="A349" s="324" t="str" cm="1">
        <f t="array" aca="1" ref="A349" ca="1">_xlfn.IFS($A348="","",$A348="Other Allowance","EPF",$A348="Arrears of Apr &amp; May-2025","",VLOOKUP($B332,INDIRECT(VLOOKUP($E331,$M$2:$N$20,2,FALSE)),44,FALSE)=0,"",$E331=DATE(2025,6,1),"Arrears of Apr &amp; May-2025")</f>
        <v/>
      </c>
      <c r="B349" s="325"/>
      <c r="C349" s="326" t="str" cm="1">
        <f t="array" aca="1" ref="C349" ca="1">_xlfn.IFS($A349="","",$A349="EPF",VLOOKUP($B332,INDIRECT(VLOOKUP($E331,$M$2:$N$20,2,FALSE)),19,FALSE),$A349="Arrears of Apr &amp; May-2025",VLOOKUP($B332,INDIRECT(VLOOKUP($E331,$M$2:$N$20,2,FALSE)),44,FALSE))</f>
        <v/>
      </c>
      <c r="D349" s="327"/>
      <c r="E349" s="324" t="str" cm="1">
        <f t="array" aca="1" ref="E349" ca="1">_xlfn.IFS(N348="No","",N347="Yes",M348,TRUE,"")</f>
        <v/>
      </c>
      <c r="F349" s="325"/>
      <c r="G349" s="325"/>
      <c r="H349" s="325"/>
      <c r="I349" s="325"/>
      <c r="J349" s="335" t="str">
        <f ca="1">IF(E349="","",VLOOKUP($B332,INDIRECT(VLOOKUP($E331,$M$2:$N$20,2,FALSE)),28,FALSE))</f>
        <v/>
      </c>
      <c r="K349" s="336"/>
      <c r="M349" s="130"/>
      <c r="N349" s="88"/>
    </row>
    <row r="350" spans="1:14" s="1" customFormat="1" ht="12" customHeight="1" x14ac:dyDescent="0.3">
      <c r="A350" s="324" t="str">
        <f ca="1">IF($J346&gt;0,"ESIC (Employer)",IF($A349="","",IF(VLOOKUP($B332,INDIRECT(VLOOKUP($E331,$M$2:$N$20,2,FALSE)),44,FALSE)="","",IF($E331=DATE(2025,6,1),"Arrears of Apr &amp; May-2025",""))))</f>
        <v/>
      </c>
      <c r="B350" s="325"/>
      <c r="C350" s="326" t="str" cm="1">
        <f t="array" aca="1" ref="C350" ca="1">_xlfn.IFS($A350="","",$A350="ESIC (Employer)",VLOOKUP($B332,INDIRECT(VLOOKUP($E331,$M$2:$N$20,2,FALSE)),20,FALSE),$A350="Arrears of Apr &amp; May-2025",VLOOKUP($B332,INDIRECT(VLOOKUP($E331,$M$2:$N$20,2,FALSE)),44,FALSE))</f>
        <v/>
      </c>
      <c r="D350" s="327"/>
      <c r="E350" s="324"/>
      <c r="F350" s="325"/>
      <c r="G350" s="325"/>
      <c r="H350" s="325"/>
      <c r="I350" s="325"/>
      <c r="J350" s="335"/>
      <c r="K350" s="336"/>
      <c r="M350" s="88"/>
      <c r="N350" s="88"/>
    </row>
    <row r="351" spans="1:14" s="1" customFormat="1" ht="12" customHeight="1" x14ac:dyDescent="0.3">
      <c r="A351" s="324" t="str">
        <f ca="1">IF($A350="","",IF(VLOOKUP($B332,INDIRECT(VLOOKUP($E331,$M$2:$N$20,2,FALSE)),44,FALSE)=0,"",IF($A350="Arrears of Apr &amp; May-2025","",IF($E331=DATE(2025,6,1),"Arrears of Apr &amp; May-2025",""))))</f>
        <v/>
      </c>
      <c r="B351" s="325"/>
      <c r="C351" s="326" t="str" cm="1">
        <f t="array" aca="1" ref="C351" ca="1">_xlfn.IFS($A351="","",$A351="Arrears of Apr &amp; May-2025",VLOOKUP($B332,INDIRECT(VLOOKUP($E331,$M$2:$N$20,2,FALSE)),44,FALSE))</f>
        <v/>
      </c>
      <c r="D351" s="327"/>
      <c r="E351" s="324"/>
      <c r="F351" s="325"/>
      <c r="G351" s="325"/>
      <c r="H351" s="325"/>
      <c r="I351" s="325"/>
      <c r="J351" s="335"/>
      <c r="K351" s="336"/>
      <c r="M351" s="88"/>
      <c r="N351" s="88"/>
    </row>
    <row r="352" spans="1:14" s="1" customFormat="1" ht="12" customHeight="1" x14ac:dyDescent="0.3">
      <c r="A352" s="324"/>
      <c r="B352" s="325"/>
      <c r="C352" s="326"/>
      <c r="D352" s="327"/>
      <c r="E352" s="124"/>
      <c r="F352" s="124"/>
      <c r="G352" s="124"/>
      <c r="H352" s="124"/>
      <c r="I352" s="124"/>
      <c r="J352" s="335"/>
      <c r="K352" s="336"/>
      <c r="M352" s="88"/>
      <c r="N352" s="88"/>
    </row>
    <row r="353" spans="1:14" s="1" customFormat="1" ht="3" customHeight="1" x14ac:dyDescent="0.3">
      <c r="A353" s="108"/>
      <c r="B353" s="109"/>
      <c r="C353" s="109"/>
      <c r="D353" s="112"/>
      <c r="E353" s="110"/>
      <c r="F353" s="110"/>
      <c r="G353" s="109"/>
      <c r="H353" s="109"/>
      <c r="I353" s="111"/>
      <c r="J353" s="111"/>
      <c r="K353" s="112"/>
      <c r="M353" s="88"/>
      <c r="N353" s="88"/>
    </row>
    <row r="354" spans="1:14" s="1" customFormat="1" ht="3" customHeight="1" x14ac:dyDescent="0.3">
      <c r="A354" s="123"/>
      <c r="B354" s="113"/>
      <c r="C354" s="113"/>
      <c r="D354" s="101"/>
      <c r="E354" s="124"/>
      <c r="F354" s="124"/>
      <c r="G354" s="113"/>
      <c r="H354" s="113"/>
      <c r="I354" s="114"/>
      <c r="J354" s="114"/>
      <c r="K354" s="101"/>
      <c r="M354" s="88"/>
      <c r="N354" s="88"/>
    </row>
    <row r="355" spans="1:14" s="4" customFormat="1" ht="19.95" customHeight="1" x14ac:dyDescent="0.3">
      <c r="A355" s="328" t="s">
        <v>15</v>
      </c>
      <c r="B355" s="329"/>
      <c r="C355" s="330">
        <f ca="1">SUM(C343:D354)</f>
        <v>50000</v>
      </c>
      <c r="D355" s="331"/>
      <c r="E355" s="328" t="s">
        <v>16</v>
      </c>
      <c r="F355" s="329"/>
      <c r="G355" s="329"/>
      <c r="H355" s="329"/>
      <c r="I355" s="329"/>
      <c r="J355" s="330">
        <f ca="1">SUM(J343:K351)</f>
        <v>200</v>
      </c>
      <c r="K355" s="331"/>
      <c r="M355" s="129"/>
      <c r="N355" s="90"/>
    </row>
    <row r="356" spans="1:14" s="1" customFormat="1" ht="3" customHeight="1" x14ac:dyDescent="0.3">
      <c r="A356" s="108"/>
      <c r="B356" s="109"/>
      <c r="C356" s="109"/>
      <c r="D356" s="112"/>
      <c r="E356" s="110"/>
      <c r="F356" s="110"/>
      <c r="G356" s="109"/>
      <c r="H356" s="109"/>
      <c r="I356" s="111"/>
      <c r="J356" s="111"/>
      <c r="K356" s="112"/>
      <c r="M356" s="88"/>
      <c r="N356" s="88"/>
    </row>
    <row r="357" spans="1:14" s="1" customFormat="1" ht="3" customHeight="1" x14ac:dyDescent="0.3">
      <c r="A357" s="123"/>
      <c r="B357" s="113"/>
      <c r="C357" s="113"/>
      <c r="D357" s="117"/>
      <c r="E357" s="118"/>
      <c r="F357" s="124"/>
      <c r="G357" s="113"/>
      <c r="H357" s="126"/>
      <c r="I357" s="119"/>
      <c r="J357" s="119"/>
      <c r="K357" s="115"/>
      <c r="M357" s="88"/>
      <c r="N357" s="88"/>
    </row>
    <row r="358" spans="1:14" s="5" customFormat="1" ht="19.95" customHeight="1" x14ac:dyDescent="0.3">
      <c r="A358" s="328" t="str" cm="1">
        <f t="array" aca="1" ref="A358" ca="1">mgm(J358)</f>
        <v>Rupees Forty Nine Thousand Eight Hundred Only</v>
      </c>
      <c r="B358" s="329"/>
      <c r="C358" s="329"/>
      <c r="D358" s="329"/>
      <c r="E358" s="329"/>
      <c r="F358" s="329"/>
      <c r="G358" s="332"/>
      <c r="H358" s="333" t="s">
        <v>17</v>
      </c>
      <c r="I358" s="334"/>
      <c r="J358" s="330">
        <f ca="1">C355-J355</f>
        <v>49800</v>
      </c>
      <c r="K358" s="331"/>
      <c r="L358" s="205"/>
      <c r="M358" s="90"/>
      <c r="N358" s="90"/>
    </row>
    <row r="359" spans="1:14" s="1" customFormat="1" ht="3" customHeight="1" x14ac:dyDescent="0.3">
      <c r="A359" s="108"/>
      <c r="B359" s="109"/>
      <c r="C359" s="109"/>
      <c r="D359" s="109"/>
      <c r="E359" s="110"/>
      <c r="F359" s="110"/>
      <c r="G359" s="109"/>
      <c r="H359" s="127"/>
      <c r="I359" s="111"/>
      <c r="J359" s="111"/>
      <c r="K359" s="112"/>
      <c r="M359" s="88"/>
      <c r="N359" s="88"/>
    </row>
    <row r="360" spans="1:14" s="1" customFormat="1" ht="19.95" customHeight="1" x14ac:dyDescent="0.3">
      <c r="A360" s="323" t="s">
        <v>18</v>
      </c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M360" s="88"/>
      <c r="N360" s="88"/>
    </row>
    <row r="361" spans="1:14" s="132" customFormat="1" ht="60" customHeight="1" x14ac:dyDescent="0.3">
      <c r="A361" s="181"/>
      <c r="E361" s="181"/>
      <c r="F361" s="181"/>
    </row>
    <row r="362" spans="1:14" s="2" customFormat="1" ht="19.95" customHeight="1" x14ac:dyDescent="0.3">
      <c r="A362" s="338" t="s">
        <v>107</v>
      </c>
      <c r="B362" s="339"/>
      <c r="C362" s="339"/>
      <c r="D362" s="339"/>
      <c r="E362" s="339"/>
      <c r="F362" s="339"/>
      <c r="G362" s="339"/>
      <c r="H362" s="339"/>
      <c r="I362" s="339"/>
      <c r="J362" s="339"/>
      <c r="K362" s="340"/>
      <c r="L362" s="1"/>
      <c r="M362" s="86"/>
      <c r="N362" s="87"/>
    </row>
    <row r="363" spans="1:14" s="2" customFormat="1" ht="15" customHeight="1" x14ac:dyDescent="0.3">
      <c r="A363" s="341" t="s">
        <v>180</v>
      </c>
      <c r="B363" s="342"/>
      <c r="C363" s="342"/>
      <c r="D363" s="342"/>
      <c r="E363" s="342"/>
      <c r="F363" s="342"/>
      <c r="G363" s="342"/>
      <c r="H363" s="342"/>
      <c r="I363" s="342"/>
      <c r="J363" s="342"/>
      <c r="K363" s="343"/>
      <c r="L363" s="1"/>
      <c r="M363" s="86"/>
      <c r="N363" s="88"/>
    </row>
    <row r="364" spans="1:14" s="2" customFormat="1" ht="15" customHeight="1" x14ac:dyDescent="0.3">
      <c r="A364" s="344" t="s">
        <v>72</v>
      </c>
      <c r="B364" s="345"/>
      <c r="C364" s="345"/>
      <c r="D364" s="345"/>
      <c r="E364" s="345"/>
      <c r="F364" s="345"/>
      <c r="G364" s="345"/>
      <c r="H364" s="345"/>
      <c r="I364" s="345"/>
      <c r="J364" s="345"/>
      <c r="K364" s="346"/>
      <c r="L364" s="1"/>
      <c r="M364" s="86"/>
      <c r="N364" s="88"/>
    </row>
    <row r="365" spans="1:14" s="2" customFormat="1" ht="4.95" customHeight="1" x14ac:dyDescent="0.3">
      <c r="A365" s="92"/>
      <c r="B365" s="347"/>
      <c r="C365" s="347"/>
      <c r="D365" s="347"/>
      <c r="E365" s="347"/>
      <c r="F365" s="347"/>
      <c r="G365" s="347"/>
      <c r="H365" s="347"/>
      <c r="I365" s="347"/>
      <c r="J365" s="347"/>
      <c r="K365" s="348"/>
      <c r="L365" s="1"/>
      <c r="M365" s="88"/>
      <c r="N365" s="88"/>
    </row>
    <row r="366" spans="1:14" s="2" customFormat="1" ht="3" customHeight="1" x14ac:dyDescent="0.3">
      <c r="A366" s="93"/>
      <c r="B366" s="94"/>
      <c r="C366" s="94"/>
      <c r="D366" s="94"/>
      <c r="E366" s="95"/>
      <c r="F366" s="95"/>
      <c r="G366" s="94"/>
      <c r="H366" s="94"/>
      <c r="I366" s="94"/>
      <c r="J366" s="94"/>
      <c r="K366" s="96"/>
      <c r="L366" s="1"/>
      <c r="M366" s="88"/>
      <c r="N366" s="88"/>
    </row>
    <row r="367" spans="1:14" s="2" customFormat="1" x14ac:dyDescent="0.3">
      <c r="A367" s="123" t="s">
        <v>68</v>
      </c>
      <c r="B367" s="124" t="str">
        <f ca="1">VLOOKUP($B368,Salary_Master_2,3,FALSE)</f>
        <v>H014</v>
      </c>
      <c r="C367" s="349" t="s">
        <v>21</v>
      </c>
      <c r="D367" s="349"/>
      <c r="E367" s="350">
        <f>IF($E$1="","",$E$1)</f>
        <v>45809</v>
      </c>
      <c r="F367" s="350"/>
      <c r="G367" s="97" t="s">
        <v>22</v>
      </c>
      <c r="H367" s="98">
        <f ca="1">VLOOKUP($B368,INDIRECT(VLOOKUP($E$7,$M$2:$N$20,2,FALSE)),3,FALSE)</f>
        <v>27.5</v>
      </c>
      <c r="I367" s="99"/>
      <c r="J367" s="100" t="s">
        <v>27</v>
      </c>
      <c r="K367" s="101"/>
      <c r="L367" s="1"/>
      <c r="M367" s="86"/>
      <c r="N367" s="88"/>
    </row>
    <row r="368" spans="1:14" s="2" customFormat="1" x14ac:dyDescent="0.3">
      <c r="A368" s="123" t="s">
        <v>19</v>
      </c>
      <c r="B368" s="124" t="str">
        <f ca="1">IF(Salary_Master_2!$B$15="","",VLOOKUP(Salary_Master_2!$B$15,INDIRECT(VLOOKUP($E367,$M$2:$N$20,2,FALSE)),1,FALSE))</f>
        <v>Aparna Raithatha</v>
      </c>
      <c r="C368" s="351" t="s">
        <v>1</v>
      </c>
      <c r="D368" s="351"/>
      <c r="E368" s="352">
        <f ca="1">SUM($H367:$H370)</f>
        <v>31</v>
      </c>
      <c r="F368" s="352"/>
      <c r="G368" s="97" t="s">
        <v>24</v>
      </c>
      <c r="H368" s="102">
        <f ca="1">VLOOKUP($B368,INDIRECT(VLOOKUP($E$7,$M$2:$N$20,2,FALSE)),4,FALSE)</f>
        <v>3.5</v>
      </c>
      <c r="I368" s="100"/>
      <c r="J368" s="103" t="s">
        <v>28</v>
      </c>
      <c r="K368" s="101">
        <f ca="1">VLOOKUP($B368,INDIRECT(VLOOKUP($E$7,$M$2:$N$20,2,FALSE)),29,FALSE)</f>
        <v>55300</v>
      </c>
      <c r="L368" s="1"/>
      <c r="M368" s="86"/>
      <c r="N368" s="88"/>
    </row>
    <row r="369" spans="1:14" s="2" customFormat="1" x14ac:dyDescent="0.3">
      <c r="A369" s="123" t="s">
        <v>0</v>
      </c>
      <c r="B369" s="124">
        <f ca="1">VLOOKUP($B368,Salary_Master_2,4,FALSE)</f>
        <v>0</v>
      </c>
      <c r="C369" s="124"/>
      <c r="D369" s="103" t="s">
        <v>70</v>
      </c>
      <c r="E369" s="337" t="str">
        <f ca="1">VLOOKUP($B368,Salary_Master_2,9,FALSE)</f>
        <v>NA</v>
      </c>
      <c r="F369" s="337"/>
      <c r="G369" s="97" t="s">
        <v>25</v>
      </c>
      <c r="H369" s="102">
        <f ca="1">VLOOKUP($B368,INDIRECT(VLOOKUP($E$7,$M$2:$N$20,2,FALSE)),5,FALSE)</f>
        <v>0</v>
      </c>
      <c r="I369" s="97"/>
      <c r="J369" s="103" t="s">
        <v>29</v>
      </c>
      <c r="K369" s="101" t="str">
        <f ca="1">VLOOKUP($B368,INDIRECT(VLOOKUP($E$7,$M$2:$N$20,2,FALSE)),30,FALSE)</f>
        <v>Female</v>
      </c>
      <c r="L369" s="1"/>
      <c r="M369" s="86"/>
      <c r="N369" s="88"/>
    </row>
    <row r="370" spans="1:14" s="2" customFormat="1" x14ac:dyDescent="0.3">
      <c r="A370" s="123" t="s">
        <v>20</v>
      </c>
      <c r="B370" s="124" t="str">
        <f ca="1">VLOOKUP($B368,Salary_Master_2,5,FALSE)</f>
        <v>Sales</v>
      </c>
      <c r="C370" s="124"/>
      <c r="D370" s="103" t="s">
        <v>71</v>
      </c>
      <c r="E370" s="337" t="str">
        <f ca="1">VLOOKUP($B368,Salary_Master_2,10,FALSE)</f>
        <v>NA</v>
      </c>
      <c r="F370" s="337"/>
      <c r="G370" s="97" t="s">
        <v>26</v>
      </c>
      <c r="H370" s="102">
        <f ca="1">VLOOKUP($B368,INDIRECT(VLOOKUP($E$7,$M$2:$N$20,2,FALSE)),6,FALSE)</f>
        <v>0</v>
      </c>
      <c r="I370" s="97"/>
      <c r="J370" s="103" t="s">
        <v>30</v>
      </c>
      <c r="K370" s="101">
        <f ca="1">VLOOKUP($B368,INDIRECT(VLOOKUP($E$7,$M$2:$N$20,2,FALSE)),31,FALSE)</f>
        <v>1.5</v>
      </c>
      <c r="L370" s="1"/>
      <c r="M370" s="86"/>
      <c r="N370" s="88"/>
    </row>
    <row r="371" spans="1:14" s="2" customFormat="1" x14ac:dyDescent="0.3">
      <c r="A371" s="123" t="s">
        <v>69</v>
      </c>
      <c r="B371" s="124" t="str">
        <f ca="1">VLOOKUP($B368,Salary_Master_2,6,FALSE)</f>
        <v>HO</v>
      </c>
      <c r="C371" s="124"/>
      <c r="D371" s="104"/>
      <c r="E371" s="105"/>
      <c r="F371" s="105"/>
      <c r="G371" s="97" t="s">
        <v>23</v>
      </c>
      <c r="H371" s="102">
        <f ca="1">VLOOKUP($B368,INDIRECT(VLOOKUP($E$7,$M$2:$N$20,2,FALSE)),8,FALSE)</f>
        <v>0</v>
      </c>
      <c r="I371" s="97"/>
      <c r="J371" s="125"/>
      <c r="K371" s="101"/>
      <c r="L371" s="1"/>
      <c r="M371" s="86"/>
      <c r="N371" s="88"/>
    </row>
    <row r="372" spans="1:14" s="2" customFormat="1" x14ac:dyDescent="0.3">
      <c r="A372" s="123" t="s">
        <v>32</v>
      </c>
      <c r="B372" s="106">
        <f ca="1">VLOOKUP($B368,Salary_Master_2,7,FALSE)</f>
        <v>42773</v>
      </c>
      <c r="C372" s="106"/>
      <c r="D372" s="104"/>
      <c r="E372" s="105"/>
      <c r="F372" s="105"/>
      <c r="G372" s="97" t="s">
        <v>31</v>
      </c>
      <c r="H372" s="102">
        <f ca="1">VLOOKUP($B368,INDIRECT(VLOOKUP($E$7,$M$2:$N$20,2,FALSE)),9,FALSE)</f>
        <v>0</v>
      </c>
      <c r="I372" s="107"/>
      <c r="J372" s="107"/>
      <c r="K372" s="101"/>
      <c r="L372" s="1"/>
      <c r="M372" s="86"/>
      <c r="N372" s="88"/>
    </row>
    <row r="373" spans="1:14" s="2" customFormat="1" ht="3" customHeight="1" x14ac:dyDescent="0.3">
      <c r="A373" s="108"/>
      <c r="B373" s="109"/>
      <c r="C373" s="109"/>
      <c r="D373" s="109"/>
      <c r="E373" s="110"/>
      <c r="F373" s="110"/>
      <c r="G373" s="109"/>
      <c r="H373" s="109"/>
      <c r="I373" s="111"/>
      <c r="J373" s="111"/>
      <c r="K373" s="112"/>
      <c r="L373" s="1"/>
      <c r="M373" s="88"/>
      <c r="N373" s="88"/>
    </row>
    <row r="374" spans="1:14" s="2" customFormat="1" ht="3" customHeight="1" x14ac:dyDescent="0.3">
      <c r="A374" s="123"/>
      <c r="B374" s="113"/>
      <c r="C374" s="113"/>
      <c r="D374" s="113"/>
      <c r="E374" s="124"/>
      <c r="F374" s="124"/>
      <c r="G374" s="113"/>
      <c r="H374" s="113"/>
      <c r="I374" s="114"/>
      <c r="J374" s="114"/>
      <c r="K374" s="115"/>
      <c r="L374" s="1"/>
      <c r="M374" s="88"/>
      <c r="N374" s="88"/>
    </row>
    <row r="375" spans="1:14" s="1" customFormat="1" ht="3" customHeight="1" x14ac:dyDescent="0.3">
      <c r="A375" s="116"/>
      <c r="B375" s="117"/>
      <c r="C375" s="117"/>
      <c r="D375" s="115"/>
      <c r="E375" s="118"/>
      <c r="F375" s="118"/>
      <c r="G375" s="117"/>
      <c r="H375" s="117"/>
      <c r="I375" s="119"/>
      <c r="J375" s="119"/>
      <c r="K375" s="115"/>
      <c r="M375" s="88"/>
      <c r="N375" s="88"/>
    </row>
    <row r="376" spans="1:14" s="1" customFormat="1" ht="12" customHeight="1" x14ac:dyDescent="0.3">
      <c r="A376" s="120" t="s">
        <v>4</v>
      </c>
      <c r="B376" s="113"/>
      <c r="C376" s="113"/>
      <c r="D376" s="121" t="s">
        <v>5</v>
      </c>
      <c r="E376" s="122" t="s">
        <v>6</v>
      </c>
      <c r="F376" s="122"/>
      <c r="G376" s="113"/>
      <c r="H376" s="113"/>
      <c r="I376" s="113"/>
      <c r="J376" s="113"/>
      <c r="K376" s="121" t="s">
        <v>5</v>
      </c>
      <c r="M376" s="86"/>
      <c r="N376" s="88"/>
    </row>
    <row r="377" spans="1:14" s="1" customFormat="1" ht="3" customHeight="1" x14ac:dyDescent="0.3">
      <c r="A377" s="108"/>
      <c r="B377" s="109"/>
      <c r="C377" s="109"/>
      <c r="D377" s="112"/>
      <c r="E377" s="110"/>
      <c r="F377" s="110"/>
      <c r="G377" s="109"/>
      <c r="H377" s="109"/>
      <c r="I377" s="111"/>
      <c r="J377" s="111"/>
      <c r="K377" s="112"/>
      <c r="M377" s="88"/>
      <c r="N377" s="88"/>
    </row>
    <row r="378" spans="1:14" s="1" customFormat="1" ht="3" customHeight="1" x14ac:dyDescent="0.3">
      <c r="A378" s="123"/>
      <c r="B378" s="113"/>
      <c r="C378" s="113"/>
      <c r="D378" s="101"/>
      <c r="E378" s="124"/>
      <c r="F378" s="124"/>
      <c r="G378" s="113"/>
      <c r="H378" s="113"/>
      <c r="I378" s="114"/>
      <c r="J378" s="114"/>
      <c r="K378" s="101"/>
      <c r="M378" s="88"/>
      <c r="N378" s="88"/>
    </row>
    <row r="379" spans="1:14" s="1" customFormat="1" ht="12" customHeight="1" x14ac:dyDescent="0.3">
      <c r="A379" s="324" t="s">
        <v>7</v>
      </c>
      <c r="B379" s="325"/>
      <c r="C379" s="326">
        <f ca="1">VLOOKUP($B368,INDIRECT(VLOOKUP($E367,$M$2:$N$20,2,FALSE)),13,FALSE)</f>
        <v>16500</v>
      </c>
      <c r="D379" s="327"/>
      <c r="E379" s="324" t="s">
        <v>8</v>
      </c>
      <c r="F379" s="325"/>
      <c r="G379" s="325"/>
      <c r="H379" s="325"/>
      <c r="I379" s="325"/>
      <c r="J379" s="326">
        <f ca="1">VLOOKUP($B368,INDIRECT(VLOOKUP($E367,$M$2:$N$20,2,FALSE)),22,FALSE)</f>
        <v>0</v>
      </c>
      <c r="K379" s="327"/>
      <c r="M379" s="86"/>
      <c r="N379" s="88"/>
    </row>
    <row r="380" spans="1:14" s="1" customFormat="1" ht="12" customHeight="1" x14ac:dyDescent="0.3">
      <c r="A380" s="324" t="s">
        <v>9</v>
      </c>
      <c r="B380" s="325"/>
      <c r="C380" s="326">
        <f ca="1">VLOOKUP($B368,INDIRECT(VLOOKUP($E367,$M$2:$N$20,2,FALSE)),14,FALSE)</f>
        <v>6600</v>
      </c>
      <c r="D380" s="327"/>
      <c r="E380" s="324" t="s">
        <v>94</v>
      </c>
      <c r="F380" s="325"/>
      <c r="G380" s="325"/>
      <c r="H380" s="325"/>
      <c r="I380" s="325"/>
      <c r="J380" s="326">
        <f ca="1">VLOOKUP($B368,INDIRECT(VLOOKUP($E367,$M$2:$N$20,2,FALSE)),23,FALSE)</f>
        <v>0</v>
      </c>
      <c r="K380" s="327"/>
      <c r="M380" s="86"/>
      <c r="N380" s="88"/>
    </row>
    <row r="381" spans="1:14" s="1" customFormat="1" ht="12" customHeight="1" x14ac:dyDescent="0.3">
      <c r="A381" s="324" t="s">
        <v>11</v>
      </c>
      <c r="B381" s="325"/>
      <c r="C381" s="326">
        <f ca="1">VLOOKUP($B368,INDIRECT(VLOOKUP($E367,$M$2:$N$20,2,FALSE)),15,FALSE)</f>
        <v>1600</v>
      </c>
      <c r="D381" s="327"/>
      <c r="E381" s="324" t="s">
        <v>10</v>
      </c>
      <c r="F381" s="325"/>
      <c r="G381" s="325"/>
      <c r="H381" s="325"/>
      <c r="I381" s="325"/>
      <c r="J381" s="326">
        <f ca="1">VLOOKUP($B368,INDIRECT(VLOOKUP($E367,$M$2:$N$20,2,FALSE)),24,FALSE)</f>
        <v>0</v>
      </c>
      <c r="K381" s="327"/>
      <c r="M381" s="87"/>
      <c r="N381" s="86"/>
    </row>
    <row r="382" spans="1:14" s="1" customFormat="1" ht="12" customHeight="1" x14ac:dyDescent="0.3">
      <c r="A382" s="324" t="s">
        <v>3</v>
      </c>
      <c r="B382" s="325"/>
      <c r="C382" s="326">
        <f ca="1">VLOOKUP($B368,INDIRECT(VLOOKUP($E367,$M$2:$N$20,2,FALSE)),16,FALSE)</f>
        <v>1375</v>
      </c>
      <c r="D382" s="327"/>
      <c r="E382" s="324" t="s">
        <v>93</v>
      </c>
      <c r="F382" s="325"/>
      <c r="G382" s="325"/>
      <c r="H382" s="325"/>
      <c r="I382" s="325"/>
      <c r="J382" s="326">
        <f ca="1">VLOOKUP($B368,INDIRECT(VLOOKUP($E367,$M$2:$N$20,2,FALSE)),25,FALSE)</f>
        <v>0</v>
      </c>
      <c r="K382" s="327"/>
      <c r="M382" s="87"/>
      <c r="N382" s="89"/>
    </row>
    <row r="383" spans="1:14" s="1" customFormat="1" ht="12" customHeight="1" x14ac:dyDescent="0.3">
      <c r="A383" s="324" t="s">
        <v>13</v>
      </c>
      <c r="B383" s="325"/>
      <c r="C383" s="326">
        <f ca="1">VLOOKUP($B368,INDIRECT(VLOOKUP($E367,$M$2:$N$20,2,FALSE)),17,FALSE)</f>
        <v>29425</v>
      </c>
      <c r="D383" s="327"/>
      <c r="E383" s="324" t="s">
        <v>12</v>
      </c>
      <c r="F383" s="325"/>
      <c r="G383" s="325"/>
      <c r="H383" s="325"/>
      <c r="I383" s="325"/>
      <c r="J383" s="326">
        <f ca="1">VLOOKUP($B368,INDIRECT(VLOOKUP($E367,$M$2:$N$20,2,FALSE)),26,FALSE)</f>
        <v>200</v>
      </c>
      <c r="K383" s="327"/>
      <c r="M383" s="88" t="s">
        <v>73</v>
      </c>
      <c r="N383" s="88" t="str">
        <f ca="1">IF(VLOOKUP($B368,INDIRECT(VLOOKUP($E367,$M$2:$N$20,2,FALSE)),38,FALSE)&gt;0,"Yes","No")</f>
        <v>No</v>
      </c>
    </row>
    <row r="384" spans="1:14" s="1" customFormat="1" ht="12" customHeight="1" x14ac:dyDescent="0.3">
      <c r="A384" s="324" t="str">
        <f ca="1">IF($J380&gt;0,"Other Allowance",IF(VLOOKUP($B368,INDIRECT(VLOOKUP($E367,$M$2:$N$20,2,FALSE)),44,FALSE)=0,"",IF($E367=DATE(2025,6,1),"Arrears of Apr &amp; May-2025","")))</f>
        <v>Arrears of Apr &amp; May-2025</v>
      </c>
      <c r="B384" s="325"/>
      <c r="C384" s="326" cm="1">
        <f t="array" aca="1" ref="C384" ca="1">_xlfn.IFS($A384="","",$A384="Other Allowance",VLOOKUP($B368,INDIRECT(VLOOKUP($E367,$M$2:$N$20,2,FALSE)),18,FALSE),$A384="Arrears of Apr &amp; May-2025",VLOOKUP($B368,INDIRECT(VLOOKUP($E367,$M$2:$N$20,2,FALSE)),44,FALSE))</f>
        <v>6000</v>
      </c>
      <c r="D384" s="327"/>
      <c r="E384" s="324" t="str" cm="1">
        <f t="array" aca="1" ref="E384" ca="1">_xlfn.IFS(N383="Yes",M383,N384="Yes",M384,TRUE,"")</f>
        <v/>
      </c>
      <c r="F384" s="325"/>
      <c r="G384" s="325"/>
      <c r="H384" s="325"/>
      <c r="I384" s="325"/>
      <c r="J384" s="335" t="str" cm="1">
        <f t="array" aca="1" ref="J384" ca="1">IF(E384="","",_xlfn.IFS(N383="Yes",VLOOKUP($B368,INDIRECT(VLOOKUP($E367,$M$2:$N$20,2,FALSE)),27,FALSE),N384="Yes",VLOOKUP($B368,INDIRECT(VLOOKUP($E367,$M$2:$N$20,2,FALSE)),28,FALSE)))</f>
        <v/>
      </c>
      <c r="K384" s="336"/>
      <c r="M384" s="88" t="s">
        <v>14</v>
      </c>
      <c r="N384" s="88" t="str">
        <f ca="1">IF(VLOOKUP($B368,INDIRECT(VLOOKUP($E$7,$M$2:$N$20,2,FALSE)),39,FALSE)&gt;0,"Yes","No")</f>
        <v>No</v>
      </c>
    </row>
    <row r="385" spans="1:14" s="1" customFormat="1" ht="12" customHeight="1" x14ac:dyDescent="0.3">
      <c r="A385" s="324" t="str" cm="1">
        <f t="array" aca="1" ref="A385" ca="1">_xlfn.IFS($A384="","",$A384="Other Allowance","EPF",$A384="Arrears of Apr &amp; May-2025","",VLOOKUP($B368,INDIRECT(VLOOKUP($E367,$M$2:$N$20,2,FALSE)),44,FALSE)=0,"",$E367=DATE(2025,6,1),"Arrears of Apr &amp; May-2025")</f>
        <v/>
      </c>
      <c r="B385" s="325"/>
      <c r="C385" s="326" t="str" cm="1">
        <f t="array" aca="1" ref="C385" ca="1">_xlfn.IFS($A385="","",$A385="EPF",VLOOKUP($B368,INDIRECT(VLOOKUP($E367,$M$2:$N$20,2,FALSE)),19,FALSE),$A385="Arrears of Apr &amp; May-2025",VLOOKUP($B368,INDIRECT(VLOOKUP($E367,$M$2:$N$20,2,FALSE)),44,FALSE))</f>
        <v/>
      </c>
      <c r="D385" s="327"/>
      <c r="E385" s="324" t="str" cm="1">
        <f t="array" aca="1" ref="E385" ca="1">_xlfn.IFS(N384="No","",N383="Yes",M384,TRUE,"")</f>
        <v/>
      </c>
      <c r="F385" s="325"/>
      <c r="G385" s="325"/>
      <c r="H385" s="325"/>
      <c r="I385" s="325"/>
      <c r="J385" s="335" t="str">
        <f ca="1">IF(E385="","",VLOOKUP($B368,INDIRECT(VLOOKUP($E367,$M$2:$N$20,2,FALSE)),28,FALSE))</f>
        <v/>
      </c>
      <c r="K385" s="336"/>
      <c r="M385" s="130"/>
      <c r="N385" s="88"/>
    </row>
    <row r="386" spans="1:14" s="1" customFormat="1" ht="12" customHeight="1" x14ac:dyDescent="0.3">
      <c r="A386" s="324" t="str">
        <f ca="1">IF($J382&gt;0,"ESIC (Employer)",IF($A385="","",IF(VLOOKUP($B368,INDIRECT(VLOOKUP($E367,$M$2:$N$20,2,FALSE)),44,FALSE)="","",IF($E367=DATE(2025,6,1),"Arrears of Apr &amp; May-2025",""))))</f>
        <v/>
      </c>
      <c r="B386" s="325"/>
      <c r="C386" s="326" t="str" cm="1">
        <f t="array" aca="1" ref="C386" ca="1">_xlfn.IFS($A386="","",$A386="ESIC (Employer)",VLOOKUP($B368,INDIRECT(VLOOKUP($E367,$M$2:$N$20,2,FALSE)),20,FALSE),$A386="Arrears of Apr &amp; May-2025",VLOOKUP($B368,INDIRECT(VLOOKUP($E367,$M$2:$N$20,2,FALSE)),44,FALSE))</f>
        <v/>
      </c>
      <c r="D386" s="327"/>
      <c r="E386" s="324"/>
      <c r="F386" s="325"/>
      <c r="G386" s="325"/>
      <c r="H386" s="325"/>
      <c r="I386" s="325"/>
      <c r="J386" s="335"/>
      <c r="K386" s="336"/>
      <c r="M386" s="88"/>
      <c r="N386" s="88"/>
    </row>
    <row r="387" spans="1:14" s="1" customFormat="1" ht="12" customHeight="1" x14ac:dyDescent="0.3">
      <c r="A387" s="324" t="str">
        <f ca="1">IF($A386="","",IF(VLOOKUP($B368,INDIRECT(VLOOKUP($E367,$M$2:$N$20,2,FALSE)),44,FALSE)=0,"",IF($A386="Arrears of Apr &amp; May-2025","",IF($E367=DATE(2025,6,1),"Arrears of Apr &amp; May-2025",""))))</f>
        <v/>
      </c>
      <c r="B387" s="325"/>
      <c r="C387" s="326" t="str" cm="1">
        <f t="array" aca="1" ref="C387" ca="1">_xlfn.IFS($A387="","",$A387="Arrears of Apr &amp; May-2025",VLOOKUP($B368,INDIRECT(VLOOKUP($E367,$M$2:$N$20,2,FALSE)),44,FALSE))</f>
        <v/>
      </c>
      <c r="D387" s="327"/>
      <c r="E387" s="324"/>
      <c r="F387" s="325"/>
      <c r="G387" s="325"/>
      <c r="H387" s="325"/>
      <c r="I387" s="325"/>
      <c r="J387" s="335"/>
      <c r="K387" s="336"/>
      <c r="M387" s="88"/>
      <c r="N387" s="88"/>
    </row>
    <row r="388" spans="1:14" s="1" customFormat="1" ht="12" customHeight="1" x14ac:dyDescent="0.3">
      <c r="A388" s="324"/>
      <c r="B388" s="325"/>
      <c r="C388" s="326"/>
      <c r="D388" s="327"/>
      <c r="E388" s="124"/>
      <c r="F388" s="124"/>
      <c r="G388" s="124"/>
      <c r="H388" s="124"/>
      <c r="I388" s="124"/>
      <c r="J388" s="335"/>
      <c r="K388" s="336"/>
      <c r="M388" s="88"/>
      <c r="N388" s="88"/>
    </row>
    <row r="389" spans="1:14" s="1" customFormat="1" ht="3" customHeight="1" x14ac:dyDescent="0.3">
      <c r="A389" s="108"/>
      <c r="B389" s="109"/>
      <c r="C389" s="109"/>
      <c r="D389" s="112"/>
      <c r="E389" s="110"/>
      <c r="F389" s="110"/>
      <c r="G389" s="109"/>
      <c r="H389" s="109"/>
      <c r="I389" s="111"/>
      <c r="J389" s="111"/>
      <c r="K389" s="112"/>
      <c r="M389" s="88"/>
      <c r="N389" s="88"/>
    </row>
    <row r="390" spans="1:14" s="1" customFormat="1" ht="3" customHeight="1" x14ac:dyDescent="0.3">
      <c r="A390" s="123"/>
      <c r="B390" s="113"/>
      <c r="C390" s="113"/>
      <c r="D390" s="101"/>
      <c r="E390" s="124"/>
      <c r="F390" s="124"/>
      <c r="G390" s="113"/>
      <c r="H390" s="113"/>
      <c r="I390" s="114"/>
      <c r="J390" s="114"/>
      <c r="K390" s="101"/>
      <c r="M390" s="88"/>
      <c r="N390" s="88"/>
    </row>
    <row r="391" spans="1:14" s="4" customFormat="1" ht="19.95" customHeight="1" x14ac:dyDescent="0.3">
      <c r="A391" s="328" t="s">
        <v>15</v>
      </c>
      <c r="B391" s="329"/>
      <c r="C391" s="330">
        <f ca="1">SUM(C379:D390)</f>
        <v>61500</v>
      </c>
      <c r="D391" s="331"/>
      <c r="E391" s="328" t="s">
        <v>16</v>
      </c>
      <c r="F391" s="329"/>
      <c r="G391" s="329"/>
      <c r="H391" s="329"/>
      <c r="I391" s="329"/>
      <c r="J391" s="330">
        <f ca="1">SUM(J379:K387)</f>
        <v>200</v>
      </c>
      <c r="K391" s="331"/>
      <c r="M391" s="129"/>
      <c r="N391" s="90"/>
    </row>
    <row r="392" spans="1:14" s="1" customFormat="1" ht="3" customHeight="1" x14ac:dyDescent="0.3">
      <c r="A392" s="108"/>
      <c r="B392" s="109"/>
      <c r="C392" s="109"/>
      <c r="D392" s="112"/>
      <c r="E392" s="110"/>
      <c r="F392" s="110"/>
      <c r="G392" s="109"/>
      <c r="H392" s="109"/>
      <c r="I392" s="111"/>
      <c r="J392" s="111"/>
      <c r="K392" s="112"/>
      <c r="M392" s="88"/>
      <c r="N392" s="88"/>
    </row>
    <row r="393" spans="1:14" s="1" customFormat="1" ht="3" customHeight="1" x14ac:dyDescent="0.3">
      <c r="A393" s="123"/>
      <c r="B393" s="113"/>
      <c r="C393" s="113"/>
      <c r="D393" s="117"/>
      <c r="E393" s="118"/>
      <c r="F393" s="124"/>
      <c r="G393" s="113"/>
      <c r="H393" s="126"/>
      <c r="I393" s="119"/>
      <c r="J393" s="119"/>
      <c r="K393" s="115"/>
      <c r="M393" s="88"/>
      <c r="N393" s="88"/>
    </row>
    <row r="394" spans="1:14" s="5" customFormat="1" ht="19.95" customHeight="1" x14ac:dyDescent="0.3">
      <c r="A394" s="328" t="str" cm="1">
        <f t="array" aca="1" ref="A394" ca="1">mgm(J394)</f>
        <v>Rupees Sixty One Thousand Three Hundred Only</v>
      </c>
      <c r="B394" s="329"/>
      <c r="C394" s="329"/>
      <c r="D394" s="329"/>
      <c r="E394" s="329"/>
      <c r="F394" s="329"/>
      <c r="G394" s="332"/>
      <c r="H394" s="333" t="s">
        <v>17</v>
      </c>
      <c r="I394" s="334"/>
      <c r="J394" s="330">
        <f ca="1">C391-J391</f>
        <v>61300</v>
      </c>
      <c r="K394" s="331"/>
      <c r="L394" s="205"/>
      <c r="M394" s="90"/>
      <c r="N394" s="90"/>
    </row>
    <row r="395" spans="1:14" s="1" customFormat="1" ht="3" customHeight="1" x14ac:dyDescent="0.3">
      <c r="A395" s="108"/>
      <c r="B395" s="109"/>
      <c r="C395" s="109"/>
      <c r="D395" s="109"/>
      <c r="E395" s="110"/>
      <c r="F395" s="110"/>
      <c r="G395" s="109"/>
      <c r="H395" s="127"/>
      <c r="I395" s="111"/>
      <c r="J395" s="111"/>
      <c r="K395" s="112"/>
      <c r="M395" s="88"/>
      <c r="N395" s="88"/>
    </row>
    <row r="396" spans="1:14" s="1" customFormat="1" ht="19.95" customHeight="1" x14ac:dyDescent="0.3">
      <c r="A396" s="323" t="s">
        <v>18</v>
      </c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M396" s="88"/>
      <c r="N396" s="88"/>
    </row>
    <row r="397" spans="1:14" s="132" customFormat="1" ht="60" customHeight="1" x14ac:dyDescent="0.3">
      <c r="A397" s="181"/>
      <c r="E397" s="181"/>
      <c r="F397" s="181"/>
    </row>
    <row r="398" spans="1:14" s="2" customFormat="1" ht="19.95" customHeight="1" x14ac:dyDescent="0.3">
      <c r="A398" s="338" t="s">
        <v>107</v>
      </c>
      <c r="B398" s="339"/>
      <c r="C398" s="339"/>
      <c r="D398" s="339"/>
      <c r="E398" s="339"/>
      <c r="F398" s="339"/>
      <c r="G398" s="339"/>
      <c r="H398" s="339"/>
      <c r="I398" s="339"/>
      <c r="J398" s="339"/>
      <c r="K398" s="340"/>
      <c r="L398" s="1"/>
      <c r="M398" s="86"/>
      <c r="N398" s="87"/>
    </row>
    <row r="399" spans="1:14" s="2" customFormat="1" ht="15" customHeight="1" x14ac:dyDescent="0.3">
      <c r="A399" s="341" t="s">
        <v>180</v>
      </c>
      <c r="B399" s="342"/>
      <c r="C399" s="342"/>
      <c r="D399" s="342"/>
      <c r="E399" s="342"/>
      <c r="F399" s="342"/>
      <c r="G399" s="342"/>
      <c r="H399" s="342"/>
      <c r="I399" s="342"/>
      <c r="J399" s="342"/>
      <c r="K399" s="343"/>
      <c r="L399" s="1"/>
      <c r="M399" s="86"/>
      <c r="N399" s="88"/>
    </row>
    <row r="400" spans="1:14" s="2" customFormat="1" ht="15" customHeight="1" x14ac:dyDescent="0.3">
      <c r="A400" s="344" t="s">
        <v>72</v>
      </c>
      <c r="B400" s="345"/>
      <c r="C400" s="345"/>
      <c r="D400" s="345"/>
      <c r="E400" s="345"/>
      <c r="F400" s="345"/>
      <c r="G400" s="345"/>
      <c r="H400" s="345"/>
      <c r="I400" s="345"/>
      <c r="J400" s="345"/>
      <c r="K400" s="346"/>
      <c r="L400" s="1"/>
      <c r="M400" s="86"/>
      <c r="N400" s="88"/>
    </row>
    <row r="401" spans="1:14" s="2" customFormat="1" ht="4.95" customHeight="1" x14ac:dyDescent="0.3">
      <c r="A401" s="92"/>
      <c r="B401" s="347"/>
      <c r="C401" s="347"/>
      <c r="D401" s="347"/>
      <c r="E401" s="347"/>
      <c r="F401" s="347"/>
      <c r="G401" s="347"/>
      <c r="H401" s="347"/>
      <c r="I401" s="347"/>
      <c r="J401" s="347"/>
      <c r="K401" s="348"/>
      <c r="L401" s="1"/>
      <c r="M401" s="88"/>
      <c r="N401" s="88"/>
    </row>
    <row r="402" spans="1:14" s="2" customFormat="1" ht="3" customHeight="1" x14ac:dyDescent="0.3">
      <c r="A402" s="93"/>
      <c r="B402" s="94"/>
      <c r="C402" s="94"/>
      <c r="D402" s="94"/>
      <c r="E402" s="95"/>
      <c r="F402" s="95"/>
      <c r="G402" s="94"/>
      <c r="H402" s="94"/>
      <c r="I402" s="94"/>
      <c r="J402" s="94"/>
      <c r="K402" s="96"/>
      <c r="L402" s="1"/>
      <c r="M402" s="88"/>
      <c r="N402" s="88"/>
    </row>
    <row r="403" spans="1:14" s="2" customFormat="1" x14ac:dyDescent="0.3">
      <c r="A403" s="123" t="s">
        <v>68</v>
      </c>
      <c r="B403" s="124" t="str">
        <f ca="1">VLOOKUP($B404,Salary_Master_2,3,FALSE)</f>
        <v>H018</v>
      </c>
      <c r="C403" s="349" t="s">
        <v>21</v>
      </c>
      <c r="D403" s="349"/>
      <c r="E403" s="350">
        <f>IF($E$1="","",$E$1)</f>
        <v>45809</v>
      </c>
      <c r="F403" s="350"/>
      <c r="G403" s="97" t="s">
        <v>22</v>
      </c>
      <c r="H403" s="98">
        <f ca="1">VLOOKUP($B404,INDIRECT(VLOOKUP($E$7,$M$2:$N$20,2,FALSE)),3,FALSE)</f>
        <v>31</v>
      </c>
      <c r="I403" s="99"/>
      <c r="J403" s="100" t="s">
        <v>27</v>
      </c>
      <c r="K403" s="101"/>
      <c r="L403" s="1"/>
      <c r="M403" s="86"/>
      <c r="N403" s="88"/>
    </row>
    <row r="404" spans="1:14" s="2" customFormat="1" x14ac:dyDescent="0.3">
      <c r="A404" s="123" t="s">
        <v>19</v>
      </c>
      <c r="B404" s="124" t="str">
        <f ca="1">IF(Salary_Master_2!$B$16="","",VLOOKUP(Salary_Master_2!$B$16,INDIRECT(VLOOKUP($E403,$M$2:$N$20,2,FALSE)),1,FALSE))</f>
        <v>Ravin Gaikwad</v>
      </c>
      <c r="C404" s="351" t="s">
        <v>1</v>
      </c>
      <c r="D404" s="351"/>
      <c r="E404" s="352">
        <f ca="1">SUM($H403:$H406)</f>
        <v>31</v>
      </c>
      <c r="F404" s="352"/>
      <c r="G404" s="97" t="s">
        <v>24</v>
      </c>
      <c r="H404" s="102">
        <f ca="1">VLOOKUP($B404,INDIRECT(VLOOKUP($E$7,$M$2:$N$20,2,FALSE)),4,FALSE)</f>
        <v>0</v>
      </c>
      <c r="I404" s="100"/>
      <c r="J404" s="103" t="s">
        <v>28</v>
      </c>
      <c r="K404" s="101">
        <f ca="1">VLOOKUP($B404,INDIRECT(VLOOKUP($E$7,$M$2:$N$20,2,FALSE)),29,FALSE)</f>
        <v>56200</v>
      </c>
      <c r="L404" s="1"/>
      <c r="M404" s="86"/>
      <c r="N404" s="88"/>
    </row>
    <row r="405" spans="1:14" s="2" customFormat="1" x14ac:dyDescent="0.3">
      <c r="A405" s="123" t="s">
        <v>0</v>
      </c>
      <c r="B405" s="124" t="str">
        <f ca="1">VLOOKUP($B404,Salary_Master_2,4,FALSE)</f>
        <v>Sales Executive</v>
      </c>
      <c r="C405" s="124"/>
      <c r="D405" s="103" t="s">
        <v>70</v>
      </c>
      <c r="E405" s="337">
        <f ca="1">VLOOKUP($B404,Salary_Master_2,9,FALSE)</f>
        <v>101247514144</v>
      </c>
      <c r="F405" s="337"/>
      <c r="G405" s="97" t="s">
        <v>25</v>
      </c>
      <c r="H405" s="102">
        <f ca="1">VLOOKUP($B404,INDIRECT(VLOOKUP($E$7,$M$2:$N$20,2,FALSE)),5,FALSE)</f>
        <v>0</v>
      </c>
      <c r="I405" s="97"/>
      <c r="J405" s="103" t="s">
        <v>29</v>
      </c>
      <c r="K405" s="101" t="str">
        <f ca="1">VLOOKUP($B404,INDIRECT(VLOOKUP($E$7,$M$2:$N$20,2,FALSE)),30,FALSE)</f>
        <v>Male</v>
      </c>
      <c r="L405" s="1"/>
      <c r="M405" s="86"/>
      <c r="N405" s="88"/>
    </row>
    <row r="406" spans="1:14" s="2" customFormat="1" x14ac:dyDescent="0.3">
      <c r="A406" s="123" t="s">
        <v>20</v>
      </c>
      <c r="B406" s="124" t="str">
        <f ca="1">VLOOKUP($B404,Salary_Master_2,5,FALSE)</f>
        <v>Sales</v>
      </c>
      <c r="C406" s="124"/>
      <c r="D406" s="103" t="s">
        <v>71</v>
      </c>
      <c r="E406" s="337" t="str">
        <f ca="1">VLOOKUP($B404,Salary_Master_2,10,FALSE)</f>
        <v>NA</v>
      </c>
      <c r="F406" s="337"/>
      <c r="G406" s="97" t="s">
        <v>26</v>
      </c>
      <c r="H406" s="102">
        <f ca="1">VLOOKUP($B404,INDIRECT(VLOOKUP($E$7,$M$2:$N$20,2,FALSE)),6,FALSE)</f>
        <v>0</v>
      </c>
      <c r="I406" s="97"/>
      <c r="J406" s="103" t="s">
        <v>30</v>
      </c>
      <c r="K406" s="101">
        <f ca="1">VLOOKUP($B404,INDIRECT(VLOOKUP($E$7,$M$2:$N$20,2,FALSE)),31,FALSE)</f>
        <v>7</v>
      </c>
      <c r="L406" s="1"/>
      <c r="M406" s="86"/>
      <c r="N406" s="88"/>
    </row>
    <row r="407" spans="1:14" s="2" customFormat="1" x14ac:dyDescent="0.3">
      <c r="A407" s="123" t="s">
        <v>69</v>
      </c>
      <c r="B407" s="124" t="str">
        <f ca="1">VLOOKUP($B404,Salary_Master_2,6,FALSE)</f>
        <v>HO</v>
      </c>
      <c r="C407" s="124"/>
      <c r="D407" s="104"/>
      <c r="E407" s="105"/>
      <c r="F407" s="105"/>
      <c r="G407" s="97" t="s">
        <v>23</v>
      </c>
      <c r="H407" s="102">
        <f ca="1">VLOOKUP($B404,INDIRECT(VLOOKUP($E$7,$M$2:$N$20,2,FALSE)),8,FALSE)</f>
        <v>0</v>
      </c>
      <c r="I407" s="97"/>
      <c r="J407" s="125"/>
      <c r="K407" s="101"/>
      <c r="L407" s="1"/>
      <c r="M407" s="86"/>
      <c r="N407" s="88"/>
    </row>
    <row r="408" spans="1:14" s="2" customFormat="1" x14ac:dyDescent="0.3">
      <c r="A408" s="123" t="s">
        <v>32</v>
      </c>
      <c r="B408" s="106">
        <f ca="1">VLOOKUP($B404,Salary_Master_2,7,FALSE)</f>
        <v>43115</v>
      </c>
      <c r="C408" s="106"/>
      <c r="D408" s="104"/>
      <c r="E408" s="105"/>
      <c r="F408" s="105"/>
      <c r="G408" s="97" t="s">
        <v>31</v>
      </c>
      <c r="H408" s="102">
        <f ca="1">VLOOKUP($B404,INDIRECT(VLOOKUP($E$7,$M$2:$N$20,2,FALSE)),9,FALSE)</f>
        <v>0</v>
      </c>
      <c r="I408" s="107"/>
      <c r="J408" s="107"/>
      <c r="K408" s="101"/>
      <c r="L408" s="1"/>
      <c r="M408" s="86"/>
      <c r="N408" s="88"/>
    </row>
    <row r="409" spans="1:14" s="2" customFormat="1" ht="3" customHeight="1" x14ac:dyDescent="0.3">
      <c r="A409" s="108"/>
      <c r="B409" s="109"/>
      <c r="C409" s="109"/>
      <c r="D409" s="109"/>
      <c r="E409" s="110"/>
      <c r="F409" s="110"/>
      <c r="G409" s="109"/>
      <c r="H409" s="109"/>
      <c r="I409" s="111"/>
      <c r="J409" s="111"/>
      <c r="K409" s="112"/>
      <c r="L409" s="1"/>
      <c r="M409" s="88"/>
      <c r="N409" s="88"/>
    </row>
    <row r="410" spans="1:14" s="2" customFormat="1" ht="3" customHeight="1" x14ac:dyDescent="0.3">
      <c r="A410" s="123"/>
      <c r="B410" s="113"/>
      <c r="C410" s="113"/>
      <c r="D410" s="113"/>
      <c r="E410" s="124"/>
      <c r="F410" s="124"/>
      <c r="G410" s="113"/>
      <c r="H410" s="113"/>
      <c r="I410" s="114"/>
      <c r="J410" s="114"/>
      <c r="K410" s="115"/>
      <c r="L410" s="1"/>
      <c r="M410" s="88"/>
      <c r="N410" s="88"/>
    </row>
    <row r="411" spans="1:14" s="1" customFormat="1" ht="3" customHeight="1" x14ac:dyDescent="0.3">
      <c r="A411" s="116"/>
      <c r="B411" s="117"/>
      <c r="C411" s="117"/>
      <c r="D411" s="115"/>
      <c r="E411" s="118"/>
      <c r="F411" s="118"/>
      <c r="G411" s="117"/>
      <c r="H411" s="117"/>
      <c r="I411" s="119"/>
      <c r="J411" s="119"/>
      <c r="K411" s="115"/>
      <c r="M411" s="88"/>
      <c r="N411" s="88"/>
    </row>
    <row r="412" spans="1:14" s="1" customFormat="1" ht="12" customHeight="1" x14ac:dyDescent="0.3">
      <c r="A412" s="120" t="s">
        <v>4</v>
      </c>
      <c r="B412" s="113"/>
      <c r="C412" s="113"/>
      <c r="D412" s="121" t="s">
        <v>5</v>
      </c>
      <c r="E412" s="122" t="s">
        <v>6</v>
      </c>
      <c r="F412" s="122"/>
      <c r="G412" s="113"/>
      <c r="H412" s="113"/>
      <c r="I412" s="113"/>
      <c r="J412" s="113"/>
      <c r="K412" s="121" t="s">
        <v>5</v>
      </c>
      <c r="M412" s="86"/>
      <c r="N412" s="88"/>
    </row>
    <row r="413" spans="1:14" s="1" customFormat="1" ht="3" customHeight="1" x14ac:dyDescent="0.3">
      <c r="A413" s="108"/>
      <c r="B413" s="109"/>
      <c r="C413" s="109"/>
      <c r="D413" s="112"/>
      <c r="E413" s="110"/>
      <c r="F413" s="110"/>
      <c r="G413" s="109"/>
      <c r="H413" s="109"/>
      <c r="I413" s="111"/>
      <c r="J413" s="111"/>
      <c r="K413" s="112"/>
      <c r="M413" s="88"/>
      <c r="N413" s="88"/>
    </row>
    <row r="414" spans="1:14" s="1" customFormat="1" ht="3" customHeight="1" x14ac:dyDescent="0.3">
      <c r="A414" s="123"/>
      <c r="B414" s="113"/>
      <c r="C414" s="113"/>
      <c r="D414" s="101"/>
      <c r="E414" s="124"/>
      <c r="F414" s="124"/>
      <c r="G414" s="113"/>
      <c r="H414" s="113"/>
      <c r="I414" s="114"/>
      <c r="J414" s="114"/>
      <c r="K414" s="101"/>
      <c r="M414" s="88"/>
      <c r="N414" s="88"/>
    </row>
    <row r="415" spans="1:14" s="1" customFormat="1" ht="12" customHeight="1" x14ac:dyDescent="0.3">
      <c r="A415" s="324" t="s">
        <v>7</v>
      </c>
      <c r="B415" s="325"/>
      <c r="C415" s="326">
        <f ca="1">VLOOKUP($B404,INDIRECT(VLOOKUP($E403,$M$2:$N$20,2,FALSE)),13,FALSE)</f>
        <v>11500</v>
      </c>
      <c r="D415" s="327"/>
      <c r="E415" s="324" t="s">
        <v>8</v>
      </c>
      <c r="F415" s="325"/>
      <c r="G415" s="325"/>
      <c r="H415" s="325"/>
      <c r="I415" s="325"/>
      <c r="J415" s="326">
        <f ca="1">VLOOKUP($B404,INDIRECT(VLOOKUP($E403,$M$2:$N$20,2,FALSE)),22,FALSE)</f>
        <v>1800</v>
      </c>
      <c r="K415" s="327"/>
      <c r="M415" s="86"/>
      <c r="N415" s="88"/>
    </row>
    <row r="416" spans="1:14" s="1" customFormat="1" ht="12" customHeight="1" x14ac:dyDescent="0.3">
      <c r="A416" s="324" t="s">
        <v>9</v>
      </c>
      <c r="B416" s="325"/>
      <c r="C416" s="326">
        <f ca="1">VLOOKUP($B404,INDIRECT(VLOOKUP($E403,$M$2:$N$20,2,FALSE)),14,FALSE)</f>
        <v>4600</v>
      </c>
      <c r="D416" s="327"/>
      <c r="E416" s="324" t="s">
        <v>94</v>
      </c>
      <c r="F416" s="325"/>
      <c r="G416" s="325"/>
      <c r="H416" s="325"/>
      <c r="I416" s="325"/>
      <c r="J416" s="326">
        <f ca="1">VLOOKUP($B404,INDIRECT(VLOOKUP($E403,$M$2:$N$20,2,FALSE)),23,FALSE)</f>
        <v>1800</v>
      </c>
      <c r="K416" s="327"/>
      <c r="M416" s="86"/>
      <c r="N416" s="88"/>
    </row>
    <row r="417" spans="1:14" s="1" customFormat="1" ht="12" customHeight="1" x14ac:dyDescent="0.3">
      <c r="A417" s="324" t="s">
        <v>11</v>
      </c>
      <c r="B417" s="325"/>
      <c r="C417" s="326">
        <f ca="1">VLOOKUP($B404,INDIRECT(VLOOKUP($E403,$M$2:$N$20,2,FALSE)),15,FALSE)</f>
        <v>1600</v>
      </c>
      <c r="D417" s="327"/>
      <c r="E417" s="324" t="s">
        <v>10</v>
      </c>
      <c r="F417" s="325"/>
      <c r="G417" s="325"/>
      <c r="H417" s="325"/>
      <c r="I417" s="325"/>
      <c r="J417" s="326">
        <f ca="1">VLOOKUP($B404,INDIRECT(VLOOKUP($E403,$M$2:$N$20,2,FALSE)),24,FALSE)</f>
        <v>0</v>
      </c>
      <c r="K417" s="327"/>
      <c r="M417" s="87"/>
      <c r="N417" s="86"/>
    </row>
    <row r="418" spans="1:14" s="1" customFormat="1" ht="12" customHeight="1" x14ac:dyDescent="0.3">
      <c r="A418" s="324" t="s">
        <v>3</v>
      </c>
      <c r="B418" s="325"/>
      <c r="C418" s="326">
        <f ca="1">VLOOKUP($B404,INDIRECT(VLOOKUP($E403,$M$2:$N$20,2,FALSE)),16,FALSE)</f>
        <v>958</v>
      </c>
      <c r="D418" s="327"/>
      <c r="E418" s="324" t="s">
        <v>93</v>
      </c>
      <c r="F418" s="325"/>
      <c r="G418" s="325"/>
      <c r="H418" s="325"/>
      <c r="I418" s="325"/>
      <c r="J418" s="326">
        <f ca="1">VLOOKUP($B404,INDIRECT(VLOOKUP($E403,$M$2:$N$20,2,FALSE)),25,FALSE)</f>
        <v>0</v>
      </c>
      <c r="K418" s="327"/>
      <c r="M418" s="87"/>
      <c r="N418" s="89"/>
    </row>
    <row r="419" spans="1:14" s="1" customFormat="1" ht="12" customHeight="1" x14ac:dyDescent="0.3">
      <c r="A419" s="324" t="s">
        <v>13</v>
      </c>
      <c r="B419" s="325"/>
      <c r="C419" s="326">
        <f ca="1">VLOOKUP($B404,INDIRECT(VLOOKUP($E403,$M$2:$N$20,2,FALSE)),17,FALSE)</f>
        <v>37742</v>
      </c>
      <c r="D419" s="327"/>
      <c r="E419" s="324" t="s">
        <v>12</v>
      </c>
      <c r="F419" s="325"/>
      <c r="G419" s="325"/>
      <c r="H419" s="325"/>
      <c r="I419" s="325"/>
      <c r="J419" s="326">
        <f ca="1">VLOOKUP($B404,INDIRECT(VLOOKUP($E403,$M$2:$N$20,2,FALSE)),26,FALSE)</f>
        <v>200</v>
      </c>
      <c r="K419" s="327"/>
      <c r="M419" s="88" t="s">
        <v>73</v>
      </c>
      <c r="N419" s="88" t="str">
        <f ca="1">IF(VLOOKUP($B404,INDIRECT(VLOOKUP($E403,$M$2:$N$20,2,FALSE)),38,FALSE)&gt;0,"Yes","No")</f>
        <v>No</v>
      </c>
    </row>
    <row r="420" spans="1:14" s="1" customFormat="1" ht="12" customHeight="1" x14ac:dyDescent="0.3">
      <c r="A420" s="324" t="str">
        <f ca="1">IF($J416&gt;0,"Other Allowance",IF(VLOOKUP($B404,INDIRECT(VLOOKUP($E403,$M$2:$N$20,2,FALSE)),44,FALSE)=0,"",IF($E403=DATE(2025,6,1),"Arrears of Apr &amp; May-2025","")))</f>
        <v>Other Allowance</v>
      </c>
      <c r="B420" s="325"/>
      <c r="C420" s="326" cm="1">
        <f t="array" aca="1" ref="C420" ca="1">_xlfn.IFS($A420="","",$A420="Other Allowance",VLOOKUP($B404,INDIRECT(VLOOKUP($E403,$M$2:$N$20,2,FALSE)),18,FALSE),$A420="Arrears of Apr &amp; May-2025",VLOOKUP($B404,INDIRECT(VLOOKUP($E403,$M$2:$N$20,2,FALSE)),44,FALSE))</f>
        <v>1800</v>
      </c>
      <c r="D420" s="327"/>
      <c r="E420" s="324" t="str" cm="1">
        <f t="array" aca="1" ref="E420" ca="1">_xlfn.IFS(N419="Yes",M419,N420="Yes",M420,TRUE,"")</f>
        <v/>
      </c>
      <c r="F420" s="325"/>
      <c r="G420" s="325"/>
      <c r="H420" s="325"/>
      <c r="I420" s="325"/>
      <c r="J420" s="335" t="str" cm="1">
        <f t="array" aca="1" ref="J420" ca="1">IF(E420="","",_xlfn.IFS(N419="Yes",VLOOKUP($B404,INDIRECT(VLOOKUP($E403,$M$2:$N$20,2,FALSE)),27,FALSE),N420="Yes",VLOOKUP($B404,INDIRECT(VLOOKUP($E403,$M$2:$N$20,2,FALSE)),28,FALSE)))</f>
        <v/>
      </c>
      <c r="K420" s="336"/>
      <c r="M420" s="88" t="s">
        <v>14</v>
      </c>
      <c r="N420" s="88" t="str">
        <f ca="1">IF(VLOOKUP($B404,INDIRECT(VLOOKUP($E$7,$M$2:$N$20,2,FALSE)),39,FALSE)&gt;0,"Yes","No")</f>
        <v>No</v>
      </c>
    </row>
    <row r="421" spans="1:14" s="1" customFormat="1" ht="12" customHeight="1" x14ac:dyDescent="0.3">
      <c r="A421" s="324" t="str" cm="1">
        <f t="array" aca="1" ref="A421" ca="1">_xlfn.IFS($A420="","",$A420="Other Allowance","EPF",$A420="Arrears of Apr &amp; May-2025","",VLOOKUP($B404,INDIRECT(VLOOKUP($E403,$M$2:$N$20,2,FALSE)),44,FALSE)=0,"",$E403=DATE(2025,6,1),"Arrears of Apr &amp; May-2025")</f>
        <v>EPF</v>
      </c>
      <c r="B421" s="325"/>
      <c r="C421" s="326" cm="1">
        <f t="array" aca="1" ref="C421" ca="1">_xlfn.IFS($A421="","",$A421="EPF",VLOOKUP($B404,INDIRECT(VLOOKUP($E403,$M$2:$N$20,2,FALSE)),19,FALSE),$A421="Arrears of Apr &amp; May-2025",VLOOKUP($B404,INDIRECT(VLOOKUP($E403,$M$2:$N$20,2,FALSE)),44,FALSE))</f>
        <v>1800</v>
      </c>
      <c r="D421" s="327"/>
      <c r="E421" s="324" t="str" cm="1">
        <f t="array" aca="1" ref="E421" ca="1">_xlfn.IFS(N420="No","",N419="Yes",M420,TRUE,"")</f>
        <v/>
      </c>
      <c r="F421" s="325"/>
      <c r="G421" s="325"/>
      <c r="H421" s="325"/>
      <c r="I421" s="325"/>
      <c r="J421" s="335" t="str">
        <f ca="1">IF(E421="","",VLOOKUP($B404,INDIRECT(VLOOKUP($E403,$M$2:$N$20,2,FALSE)),28,FALSE))</f>
        <v/>
      </c>
      <c r="K421" s="336"/>
      <c r="M421" s="130"/>
      <c r="N421" s="88"/>
    </row>
    <row r="422" spans="1:14" s="1" customFormat="1" ht="12" customHeight="1" x14ac:dyDescent="0.3">
      <c r="A422" s="324" t="str">
        <f ca="1">IF($J418&gt;0,"ESIC (Employer)",IF($A421="","",IF(VLOOKUP($B404,INDIRECT(VLOOKUP($E403,$M$2:$N$20,2,FALSE)),44,FALSE)="","",IF($E403=DATE(2025,6,1),"Arrears of Apr &amp; May-2025",""))))</f>
        <v>Arrears of Apr &amp; May-2025</v>
      </c>
      <c r="B422" s="325"/>
      <c r="C422" s="326" cm="1">
        <f t="array" aca="1" ref="C422" ca="1">_xlfn.IFS($A422="","",$A422="ESIC (Employer)",VLOOKUP($B404,INDIRECT(VLOOKUP($E403,$M$2:$N$20,2,FALSE)),20,FALSE),$A422="Arrears of Apr &amp; May-2025",VLOOKUP($B404,INDIRECT(VLOOKUP($E403,$M$2:$N$20,2,FALSE)),44,FALSE))</f>
        <v>10000</v>
      </c>
      <c r="D422" s="327"/>
      <c r="E422" s="324"/>
      <c r="F422" s="325"/>
      <c r="G422" s="325"/>
      <c r="H422" s="325"/>
      <c r="I422" s="325"/>
      <c r="J422" s="335"/>
      <c r="K422" s="336"/>
      <c r="M422" s="88"/>
      <c r="N422" s="88"/>
    </row>
    <row r="423" spans="1:14" s="1" customFormat="1" ht="12" customHeight="1" x14ac:dyDescent="0.3">
      <c r="A423" s="324" t="str">
        <f ca="1">IF($A422="","",IF(VLOOKUP($B404,INDIRECT(VLOOKUP($E403,$M$2:$N$20,2,FALSE)),44,FALSE)=0,"",IF($A422="Arrears of Apr &amp; May-2025","",IF($E403=DATE(2025,6,1),"Arrears of Apr &amp; May-2025",""))))</f>
        <v/>
      </c>
      <c r="B423" s="325"/>
      <c r="C423" s="326" t="str" cm="1">
        <f t="array" aca="1" ref="C423" ca="1">_xlfn.IFS($A423="","",$A423="Arrears of Apr &amp; May-2025",VLOOKUP($B404,INDIRECT(VLOOKUP($E403,$M$2:$N$20,2,FALSE)),44,FALSE))</f>
        <v/>
      </c>
      <c r="D423" s="327"/>
      <c r="E423" s="324"/>
      <c r="F423" s="325"/>
      <c r="G423" s="325"/>
      <c r="H423" s="325"/>
      <c r="I423" s="325"/>
      <c r="J423" s="335"/>
      <c r="K423" s="336"/>
      <c r="M423" s="88"/>
      <c r="N423" s="88"/>
    </row>
    <row r="424" spans="1:14" s="1" customFormat="1" ht="12" customHeight="1" x14ac:dyDescent="0.3">
      <c r="A424" s="324"/>
      <c r="B424" s="325"/>
      <c r="C424" s="326"/>
      <c r="D424" s="327"/>
      <c r="E424" s="124"/>
      <c r="F424" s="124"/>
      <c r="G424" s="124"/>
      <c r="H424" s="124"/>
      <c r="I424" s="124"/>
      <c r="J424" s="335"/>
      <c r="K424" s="336"/>
      <c r="M424" s="88"/>
      <c r="N424" s="88"/>
    </row>
    <row r="425" spans="1:14" s="1" customFormat="1" ht="3" customHeight="1" x14ac:dyDescent="0.3">
      <c r="A425" s="108"/>
      <c r="B425" s="109"/>
      <c r="C425" s="109"/>
      <c r="D425" s="112"/>
      <c r="E425" s="110"/>
      <c r="F425" s="110"/>
      <c r="G425" s="109"/>
      <c r="H425" s="109"/>
      <c r="I425" s="111"/>
      <c r="J425" s="111"/>
      <c r="K425" s="112"/>
      <c r="M425" s="88"/>
      <c r="N425" s="88"/>
    </row>
    <row r="426" spans="1:14" s="1" customFormat="1" ht="3" customHeight="1" x14ac:dyDescent="0.3">
      <c r="A426" s="123"/>
      <c r="B426" s="113"/>
      <c r="C426" s="113"/>
      <c r="D426" s="101"/>
      <c r="E426" s="124"/>
      <c r="F426" s="124"/>
      <c r="G426" s="113"/>
      <c r="H426" s="113"/>
      <c r="I426" s="114"/>
      <c r="J426" s="114"/>
      <c r="K426" s="101"/>
      <c r="M426" s="88"/>
      <c r="N426" s="88"/>
    </row>
    <row r="427" spans="1:14" s="4" customFormat="1" ht="19.95" customHeight="1" x14ac:dyDescent="0.3">
      <c r="A427" s="328" t="s">
        <v>15</v>
      </c>
      <c r="B427" s="329"/>
      <c r="C427" s="330">
        <f ca="1">SUM(C415:D426)</f>
        <v>70000</v>
      </c>
      <c r="D427" s="331"/>
      <c r="E427" s="328" t="s">
        <v>16</v>
      </c>
      <c r="F427" s="329"/>
      <c r="G427" s="329"/>
      <c r="H427" s="329"/>
      <c r="I427" s="329"/>
      <c r="J427" s="330">
        <f ca="1">SUM(J415:K423)</f>
        <v>3800</v>
      </c>
      <c r="K427" s="331"/>
      <c r="M427" s="129"/>
      <c r="N427" s="90"/>
    </row>
    <row r="428" spans="1:14" s="1" customFormat="1" ht="3" customHeight="1" x14ac:dyDescent="0.3">
      <c r="A428" s="108"/>
      <c r="B428" s="109"/>
      <c r="C428" s="109"/>
      <c r="D428" s="112"/>
      <c r="E428" s="110"/>
      <c r="F428" s="110"/>
      <c r="G428" s="109"/>
      <c r="H428" s="109"/>
      <c r="I428" s="111"/>
      <c r="J428" s="111"/>
      <c r="K428" s="112"/>
      <c r="M428" s="88"/>
      <c r="N428" s="88"/>
    </row>
    <row r="429" spans="1:14" s="1" customFormat="1" ht="3" customHeight="1" x14ac:dyDescent="0.3">
      <c r="A429" s="123"/>
      <c r="B429" s="113"/>
      <c r="C429" s="113"/>
      <c r="D429" s="117"/>
      <c r="E429" s="118"/>
      <c r="F429" s="124"/>
      <c r="G429" s="113"/>
      <c r="H429" s="126"/>
      <c r="I429" s="119"/>
      <c r="J429" s="119"/>
      <c r="K429" s="115"/>
      <c r="M429" s="88"/>
      <c r="N429" s="88"/>
    </row>
    <row r="430" spans="1:14" s="5" customFormat="1" ht="19.95" customHeight="1" x14ac:dyDescent="0.3">
      <c r="A430" s="328" t="str" cm="1">
        <f t="array" aca="1" ref="A430" ca="1">mgm(J430)</f>
        <v>Rupees Sixty Six Thousand Two Hundred Only</v>
      </c>
      <c r="B430" s="329"/>
      <c r="C430" s="329"/>
      <c r="D430" s="329"/>
      <c r="E430" s="329"/>
      <c r="F430" s="329"/>
      <c r="G430" s="332"/>
      <c r="H430" s="333" t="s">
        <v>17</v>
      </c>
      <c r="I430" s="334"/>
      <c r="J430" s="330">
        <f ca="1">C427-J427</f>
        <v>66200</v>
      </c>
      <c r="K430" s="331"/>
      <c r="L430" s="205"/>
      <c r="M430" s="90"/>
      <c r="N430" s="90"/>
    </row>
    <row r="431" spans="1:14" s="1" customFormat="1" ht="3" customHeight="1" x14ac:dyDescent="0.3">
      <c r="A431" s="108"/>
      <c r="B431" s="109"/>
      <c r="C431" s="109"/>
      <c r="D431" s="109"/>
      <c r="E431" s="110"/>
      <c r="F431" s="110"/>
      <c r="G431" s="109"/>
      <c r="H431" s="127"/>
      <c r="I431" s="111"/>
      <c r="J431" s="111"/>
      <c r="K431" s="112"/>
      <c r="M431" s="88"/>
      <c r="N431" s="88"/>
    </row>
    <row r="432" spans="1:14" s="1" customFormat="1" ht="19.95" customHeight="1" x14ac:dyDescent="0.3">
      <c r="A432" s="323" t="s">
        <v>18</v>
      </c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M432" s="88"/>
      <c r="N432" s="88"/>
    </row>
    <row r="433" spans="1:14" s="132" customFormat="1" ht="60" customHeight="1" x14ac:dyDescent="0.3">
      <c r="A433" s="181"/>
      <c r="E433" s="181"/>
      <c r="F433" s="181"/>
    </row>
    <row r="434" spans="1:14" s="2" customFormat="1" ht="19.95" customHeight="1" x14ac:dyDescent="0.3">
      <c r="A434" s="338" t="s">
        <v>107</v>
      </c>
      <c r="B434" s="339"/>
      <c r="C434" s="339"/>
      <c r="D434" s="339"/>
      <c r="E434" s="339"/>
      <c r="F434" s="339"/>
      <c r="G434" s="339"/>
      <c r="H434" s="339"/>
      <c r="I434" s="339"/>
      <c r="J434" s="339"/>
      <c r="K434" s="340"/>
      <c r="L434" s="1"/>
      <c r="M434" s="86"/>
      <c r="N434" s="87"/>
    </row>
    <row r="435" spans="1:14" s="2" customFormat="1" ht="15" customHeight="1" x14ac:dyDescent="0.3">
      <c r="A435" s="341" t="s">
        <v>180</v>
      </c>
      <c r="B435" s="342"/>
      <c r="C435" s="342"/>
      <c r="D435" s="342"/>
      <c r="E435" s="342"/>
      <c r="F435" s="342"/>
      <c r="G435" s="342"/>
      <c r="H435" s="342"/>
      <c r="I435" s="342"/>
      <c r="J435" s="342"/>
      <c r="K435" s="343"/>
      <c r="L435" s="1"/>
      <c r="M435" s="86"/>
      <c r="N435" s="88"/>
    </row>
    <row r="436" spans="1:14" s="2" customFormat="1" ht="15" customHeight="1" x14ac:dyDescent="0.3">
      <c r="A436" s="344" t="s">
        <v>72</v>
      </c>
      <c r="B436" s="345"/>
      <c r="C436" s="345"/>
      <c r="D436" s="345"/>
      <c r="E436" s="345"/>
      <c r="F436" s="345"/>
      <c r="G436" s="345"/>
      <c r="H436" s="345"/>
      <c r="I436" s="345"/>
      <c r="J436" s="345"/>
      <c r="K436" s="346"/>
      <c r="L436" s="1"/>
      <c r="M436" s="86"/>
      <c r="N436" s="88"/>
    </row>
    <row r="437" spans="1:14" s="2" customFormat="1" ht="4.95" customHeight="1" x14ac:dyDescent="0.3">
      <c r="A437" s="92"/>
      <c r="B437" s="347"/>
      <c r="C437" s="347"/>
      <c r="D437" s="347"/>
      <c r="E437" s="347"/>
      <c r="F437" s="347"/>
      <c r="G437" s="347"/>
      <c r="H437" s="347"/>
      <c r="I437" s="347"/>
      <c r="J437" s="347"/>
      <c r="K437" s="348"/>
      <c r="L437" s="1"/>
      <c r="M437" s="88"/>
      <c r="N437" s="88"/>
    </row>
    <row r="438" spans="1:14" s="2" customFormat="1" ht="3" customHeight="1" x14ac:dyDescent="0.3">
      <c r="A438" s="93"/>
      <c r="B438" s="94"/>
      <c r="C438" s="94"/>
      <c r="D438" s="94"/>
      <c r="E438" s="95"/>
      <c r="F438" s="95"/>
      <c r="G438" s="94"/>
      <c r="H438" s="94"/>
      <c r="I438" s="94"/>
      <c r="J438" s="94"/>
      <c r="K438" s="96"/>
      <c r="L438" s="1"/>
      <c r="M438" s="88"/>
      <c r="N438" s="88"/>
    </row>
    <row r="439" spans="1:14" s="2" customFormat="1" x14ac:dyDescent="0.3">
      <c r="A439" s="123" t="s">
        <v>68</v>
      </c>
      <c r="B439" s="124" t="str">
        <f ca="1">VLOOKUP($B440,Salary_Master_2,3,FALSE)</f>
        <v>W052</v>
      </c>
      <c r="C439" s="349" t="s">
        <v>21</v>
      </c>
      <c r="D439" s="349"/>
      <c r="E439" s="350">
        <f>IF($E$1="","",$E$1)</f>
        <v>45809</v>
      </c>
      <c r="F439" s="350"/>
      <c r="G439" s="97" t="s">
        <v>22</v>
      </c>
      <c r="H439" s="98">
        <f ca="1">VLOOKUP($B440,INDIRECT(VLOOKUP($E$7,$M$2:$N$20,2,FALSE)),3,FALSE)</f>
        <v>28</v>
      </c>
      <c r="I439" s="99"/>
      <c r="J439" s="100" t="s">
        <v>27</v>
      </c>
      <c r="K439" s="101"/>
      <c r="L439" s="1"/>
      <c r="M439" s="86"/>
      <c r="N439" s="88"/>
    </row>
    <row r="440" spans="1:14" s="2" customFormat="1" x14ac:dyDescent="0.3">
      <c r="A440" s="123" t="s">
        <v>19</v>
      </c>
      <c r="B440" s="124" t="str">
        <f ca="1">IF(Salary_Master_2!$B$17="","",VLOOKUP(Salary_Master_2!$B$17,INDIRECT(VLOOKUP($E439,$M$2:$N$20,2,FALSE)),1,FALSE))</f>
        <v>Gaurav Sune</v>
      </c>
      <c r="C440" s="351" t="s">
        <v>1</v>
      </c>
      <c r="D440" s="351"/>
      <c r="E440" s="352">
        <f ca="1">SUM($H439:$H442)</f>
        <v>31</v>
      </c>
      <c r="F440" s="352"/>
      <c r="G440" s="97" t="s">
        <v>24</v>
      </c>
      <c r="H440" s="102">
        <f ca="1">VLOOKUP($B440,INDIRECT(VLOOKUP($E$7,$M$2:$N$20,2,FALSE)),4,FALSE)</f>
        <v>3</v>
      </c>
      <c r="I440" s="100"/>
      <c r="J440" s="103" t="s">
        <v>28</v>
      </c>
      <c r="K440" s="101">
        <f ca="1">VLOOKUP($B440,INDIRECT(VLOOKUP($E$7,$M$2:$N$20,2,FALSE)),29,FALSE)</f>
        <v>35800</v>
      </c>
      <c r="L440" s="1"/>
      <c r="M440" s="86"/>
      <c r="N440" s="88"/>
    </row>
    <row r="441" spans="1:14" s="2" customFormat="1" x14ac:dyDescent="0.3">
      <c r="A441" s="123" t="s">
        <v>0</v>
      </c>
      <c r="B441" s="124" t="str">
        <f ca="1">VLOOKUP($B440,Salary_Master_2,4,FALSE)</f>
        <v>Software Engineer</v>
      </c>
      <c r="C441" s="124"/>
      <c r="D441" s="103" t="s">
        <v>70</v>
      </c>
      <c r="E441" s="337" t="str">
        <f ca="1">VLOOKUP($B440,Salary_Master_2,9,FALSE)</f>
        <v>NA</v>
      </c>
      <c r="F441" s="337"/>
      <c r="G441" s="97" t="s">
        <v>25</v>
      </c>
      <c r="H441" s="102">
        <f ca="1">VLOOKUP($B440,INDIRECT(VLOOKUP($E$7,$M$2:$N$20,2,FALSE)),5,FALSE)</f>
        <v>0</v>
      </c>
      <c r="I441" s="97"/>
      <c r="J441" s="103" t="s">
        <v>29</v>
      </c>
      <c r="K441" s="101" t="str">
        <f ca="1">VLOOKUP($B440,INDIRECT(VLOOKUP($E$7,$M$2:$N$20,2,FALSE)),30,FALSE)</f>
        <v>Male</v>
      </c>
      <c r="L441" s="1"/>
      <c r="M441" s="86"/>
      <c r="N441" s="88"/>
    </row>
    <row r="442" spans="1:14" s="2" customFormat="1" x14ac:dyDescent="0.3">
      <c r="A442" s="123" t="s">
        <v>20</v>
      </c>
      <c r="B442" s="124" t="str">
        <f ca="1">VLOOKUP($B440,Salary_Master_2,5,FALSE)</f>
        <v>Production</v>
      </c>
      <c r="C442" s="124"/>
      <c r="D442" s="103" t="s">
        <v>71</v>
      </c>
      <c r="E442" s="337" t="str">
        <f ca="1">VLOOKUP($B440,Salary_Master_2,10,FALSE)</f>
        <v>NA</v>
      </c>
      <c r="F442" s="337"/>
      <c r="G442" s="97" t="s">
        <v>26</v>
      </c>
      <c r="H442" s="102">
        <f ca="1">VLOOKUP($B440,INDIRECT(VLOOKUP($E$7,$M$2:$N$20,2,FALSE)),6,FALSE)</f>
        <v>0</v>
      </c>
      <c r="I442" s="97"/>
      <c r="J442" s="103" t="s">
        <v>30</v>
      </c>
      <c r="K442" s="101">
        <f ca="1">VLOOKUP($B440,INDIRECT(VLOOKUP($E$7,$M$2:$N$20,2,FALSE)),31,FALSE)</f>
        <v>1.5</v>
      </c>
      <c r="L442" s="1"/>
      <c r="M442" s="86"/>
      <c r="N442" s="88"/>
    </row>
    <row r="443" spans="1:14" s="2" customFormat="1" x14ac:dyDescent="0.3">
      <c r="A443" s="123" t="s">
        <v>69</v>
      </c>
      <c r="B443" s="124" t="str">
        <f ca="1">VLOOKUP($B440,Salary_Master_2,6,FALSE)</f>
        <v>Koparkhairne Factory</v>
      </c>
      <c r="C443" s="124"/>
      <c r="D443" s="104"/>
      <c r="E443" s="105"/>
      <c r="F443" s="105"/>
      <c r="G443" s="97" t="s">
        <v>23</v>
      </c>
      <c r="H443" s="102">
        <f ca="1">VLOOKUP($B440,INDIRECT(VLOOKUP($E$7,$M$2:$N$20,2,FALSE)),8,FALSE)</f>
        <v>0</v>
      </c>
      <c r="I443" s="97"/>
      <c r="J443" s="125"/>
      <c r="K443" s="101"/>
      <c r="L443" s="1"/>
      <c r="M443" s="86"/>
      <c r="N443" s="88"/>
    </row>
    <row r="444" spans="1:14" s="2" customFormat="1" x14ac:dyDescent="0.3">
      <c r="A444" s="123" t="s">
        <v>32</v>
      </c>
      <c r="B444" s="106">
        <f ca="1">VLOOKUP($B440,Salary_Master_2,7,FALSE)</f>
        <v>43199</v>
      </c>
      <c r="C444" s="106"/>
      <c r="D444" s="104"/>
      <c r="E444" s="105"/>
      <c r="F444" s="105"/>
      <c r="G444" s="97" t="s">
        <v>31</v>
      </c>
      <c r="H444" s="102">
        <f ca="1">VLOOKUP($B440,INDIRECT(VLOOKUP($E$7,$M$2:$N$20,2,FALSE)),9,FALSE)</f>
        <v>12</v>
      </c>
      <c r="I444" s="107"/>
      <c r="J444" s="107"/>
      <c r="K444" s="101"/>
      <c r="L444" s="1"/>
      <c r="M444" s="86"/>
      <c r="N444" s="88"/>
    </row>
    <row r="445" spans="1:14" s="2" customFormat="1" ht="3" customHeight="1" x14ac:dyDescent="0.3">
      <c r="A445" s="108"/>
      <c r="B445" s="109"/>
      <c r="C445" s="109"/>
      <c r="D445" s="109"/>
      <c r="E445" s="110"/>
      <c r="F445" s="110"/>
      <c r="G445" s="109"/>
      <c r="H445" s="109"/>
      <c r="I445" s="111"/>
      <c r="J445" s="111"/>
      <c r="K445" s="112"/>
      <c r="L445" s="1"/>
      <c r="M445" s="88"/>
      <c r="N445" s="88"/>
    </row>
    <row r="446" spans="1:14" s="2" customFormat="1" ht="3" customHeight="1" x14ac:dyDescent="0.3">
      <c r="A446" s="123"/>
      <c r="B446" s="113"/>
      <c r="C446" s="113"/>
      <c r="D446" s="113"/>
      <c r="E446" s="124"/>
      <c r="F446" s="124"/>
      <c r="G446" s="113"/>
      <c r="H446" s="113"/>
      <c r="I446" s="114"/>
      <c r="J446" s="114"/>
      <c r="K446" s="115"/>
      <c r="L446" s="1"/>
      <c r="M446" s="88"/>
      <c r="N446" s="88"/>
    </row>
    <row r="447" spans="1:14" s="1" customFormat="1" ht="3" customHeight="1" x14ac:dyDescent="0.3">
      <c r="A447" s="116"/>
      <c r="B447" s="117"/>
      <c r="C447" s="117"/>
      <c r="D447" s="115"/>
      <c r="E447" s="118"/>
      <c r="F447" s="118"/>
      <c r="G447" s="117"/>
      <c r="H447" s="117"/>
      <c r="I447" s="119"/>
      <c r="J447" s="119"/>
      <c r="K447" s="115"/>
      <c r="M447" s="88"/>
      <c r="N447" s="88"/>
    </row>
    <row r="448" spans="1:14" s="1" customFormat="1" ht="12" customHeight="1" x14ac:dyDescent="0.3">
      <c r="A448" s="120" t="s">
        <v>4</v>
      </c>
      <c r="B448" s="113"/>
      <c r="C448" s="113"/>
      <c r="D448" s="121" t="s">
        <v>5</v>
      </c>
      <c r="E448" s="122" t="s">
        <v>6</v>
      </c>
      <c r="F448" s="122"/>
      <c r="G448" s="113"/>
      <c r="H448" s="113"/>
      <c r="I448" s="113"/>
      <c r="J448" s="113"/>
      <c r="K448" s="121" t="s">
        <v>5</v>
      </c>
      <c r="M448" s="86"/>
      <c r="N448" s="88"/>
    </row>
    <row r="449" spans="1:14" s="1" customFormat="1" ht="3" customHeight="1" x14ac:dyDescent="0.3">
      <c r="A449" s="108"/>
      <c r="B449" s="109"/>
      <c r="C449" s="109"/>
      <c r="D449" s="112"/>
      <c r="E449" s="110"/>
      <c r="F449" s="110"/>
      <c r="G449" s="109"/>
      <c r="H449" s="109"/>
      <c r="I449" s="111"/>
      <c r="J449" s="111"/>
      <c r="K449" s="112"/>
      <c r="M449" s="88"/>
      <c r="N449" s="88"/>
    </row>
    <row r="450" spans="1:14" s="1" customFormat="1" ht="3" customHeight="1" x14ac:dyDescent="0.3">
      <c r="A450" s="123"/>
      <c r="B450" s="113"/>
      <c r="C450" s="113"/>
      <c r="D450" s="101"/>
      <c r="E450" s="124"/>
      <c r="F450" s="124"/>
      <c r="G450" s="113"/>
      <c r="H450" s="113"/>
      <c r="I450" s="114"/>
      <c r="J450" s="114"/>
      <c r="K450" s="101"/>
      <c r="M450" s="88"/>
      <c r="N450" s="88"/>
    </row>
    <row r="451" spans="1:14" s="1" customFormat="1" ht="12" customHeight="1" x14ac:dyDescent="0.3">
      <c r="A451" s="324" t="s">
        <v>7</v>
      </c>
      <c r="B451" s="325"/>
      <c r="C451" s="326">
        <f ca="1">VLOOKUP($B440,INDIRECT(VLOOKUP($E439,$M$2:$N$20,2,FALSE)),13,FALSE)</f>
        <v>16500</v>
      </c>
      <c r="D451" s="327"/>
      <c r="E451" s="324" t="s">
        <v>8</v>
      </c>
      <c r="F451" s="325"/>
      <c r="G451" s="325"/>
      <c r="H451" s="325"/>
      <c r="I451" s="325"/>
      <c r="J451" s="326">
        <f ca="1">VLOOKUP($B440,INDIRECT(VLOOKUP($E439,$M$2:$N$20,2,FALSE)),22,FALSE)</f>
        <v>0</v>
      </c>
      <c r="K451" s="327"/>
      <c r="M451" s="86"/>
      <c r="N451" s="88"/>
    </row>
    <row r="452" spans="1:14" s="1" customFormat="1" ht="12" customHeight="1" x14ac:dyDescent="0.3">
      <c r="A452" s="324" t="s">
        <v>9</v>
      </c>
      <c r="B452" s="325"/>
      <c r="C452" s="326">
        <f ca="1">VLOOKUP($B440,INDIRECT(VLOOKUP($E439,$M$2:$N$20,2,FALSE)),14,FALSE)</f>
        <v>6600</v>
      </c>
      <c r="D452" s="327"/>
      <c r="E452" s="324" t="s">
        <v>94</v>
      </c>
      <c r="F452" s="325"/>
      <c r="G452" s="325"/>
      <c r="H452" s="325"/>
      <c r="I452" s="325"/>
      <c r="J452" s="326">
        <f ca="1">VLOOKUP($B440,INDIRECT(VLOOKUP($E439,$M$2:$N$20,2,FALSE)),23,FALSE)</f>
        <v>0</v>
      </c>
      <c r="K452" s="327"/>
      <c r="M452" s="86"/>
      <c r="N452" s="88"/>
    </row>
    <row r="453" spans="1:14" s="1" customFormat="1" ht="12" customHeight="1" x14ac:dyDescent="0.3">
      <c r="A453" s="324" t="s">
        <v>11</v>
      </c>
      <c r="B453" s="325"/>
      <c r="C453" s="326">
        <f ca="1">VLOOKUP($B440,INDIRECT(VLOOKUP($E439,$M$2:$N$20,2,FALSE)),15,FALSE)</f>
        <v>1600</v>
      </c>
      <c r="D453" s="327"/>
      <c r="E453" s="324" t="s">
        <v>10</v>
      </c>
      <c r="F453" s="325"/>
      <c r="G453" s="325"/>
      <c r="H453" s="325"/>
      <c r="I453" s="325"/>
      <c r="J453" s="326">
        <f ca="1">VLOOKUP($B440,INDIRECT(VLOOKUP($E439,$M$2:$N$20,2,FALSE)),24,FALSE)</f>
        <v>0</v>
      </c>
      <c r="K453" s="327"/>
      <c r="M453" s="87"/>
      <c r="N453" s="86"/>
    </row>
    <row r="454" spans="1:14" s="1" customFormat="1" ht="12" customHeight="1" x14ac:dyDescent="0.3">
      <c r="A454" s="324" t="s">
        <v>3</v>
      </c>
      <c r="B454" s="325"/>
      <c r="C454" s="326">
        <f ca="1">VLOOKUP($B440,INDIRECT(VLOOKUP($E439,$M$2:$N$20,2,FALSE)),16,FALSE)</f>
        <v>1375</v>
      </c>
      <c r="D454" s="327"/>
      <c r="E454" s="324" t="s">
        <v>93</v>
      </c>
      <c r="F454" s="325"/>
      <c r="G454" s="325"/>
      <c r="H454" s="325"/>
      <c r="I454" s="325"/>
      <c r="J454" s="326">
        <f ca="1">VLOOKUP($B440,INDIRECT(VLOOKUP($E439,$M$2:$N$20,2,FALSE)),25,FALSE)</f>
        <v>0</v>
      </c>
      <c r="K454" s="327"/>
      <c r="M454" s="87"/>
      <c r="N454" s="89"/>
    </row>
    <row r="455" spans="1:14" s="1" customFormat="1" ht="12" customHeight="1" x14ac:dyDescent="0.3">
      <c r="A455" s="324" t="s">
        <v>13</v>
      </c>
      <c r="B455" s="325"/>
      <c r="C455" s="326">
        <f ca="1">VLOOKUP($B440,INDIRECT(VLOOKUP($E439,$M$2:$N$20,2,FALSE)),17,FALSE)</f>
        <v>9925</v>
      </c>
      <c r="D455" s="327"/>
      <c r="E455" s="324" t="s">
        <v>12</v>
      </c>
      <c r="F455" s="325"/>
      <c r="G455" s="325"/>
      <c r="H455" s="325"/>
      <c r="I455" s="325"/>
      <c r="J455" s="326">
        <f ca="1">VLOOKUP($B440,INDIRECT(VLOOKUP($E439,$M$2:$N$20,2,FALSE)),26,FALSE)</f>
        <v>200</v>
      </c>
      <c r="K455" s="327"/>
      <c r="M455" s="88" t="s">
        <v>73</v>
      </c>
      <c r="N455" s="88" t="str">
        <f ca="1">IF(VLOOKUP($B440,INDIRECT(VLOOKUP($E439,$M$2:$N$20,2,FALSE)),38,FALSE)&gt;0,"Yes","No")</f>
        <v>No</v>
      </c>
    </row>
    <row r="456" spans="1:14" s="1" customFormat="1" ht="12" customHeight="1" x14ac:dyDescent="0.3">
      <c r="A456" s="324" t="str">
        <f ca="1">IF($J452&gt;0,"Other Allowance",IF(VLOOKUP($B440,INDIRECT(VLOOKUP($E439,$M$2:$N$20,2,FALSE)),44,FALSE)=0,"",IF($E439=DATE(2025,6,1),"Arrears of Apr &amp; May-2025","")))</f>
        <v>Arrears of Apr &amp; May-2025</v>
      </c>
      <c r="B456" s="325"/>
      <c r="C456" s="326" cm="1">
        <f t="array" aca="1" ref="C456" ca="1">_xlfn.IFS($A456="","",$A456="Other Allowance",VLOOKUP($B440,INDIRECT(VLOOKUP($E439,$M$2:$N$20,2,FALSE)),18,FALSE),$A456="Arrears of Apr &amp; May-2025",VLOOKUP($B440,INDIRECT(VLOOKUP($E439,$M$2:$N$20,2,FALSE)),44,FALSE))</f>
        <v>4000</v>
      </c>
      <c r="D456" s="327"/>
      <c r="E456" s="324" t="str" cm="1">
        <f t="array" aca="1" ref="E456" ca="1">_xlfn.IFS(N455="Yes",M455,N456="Yes",M456,TRUE,"")</f>
        <v/>
      </c>
      <c r="F456" s="325"/>
      <c r="G456" s="325"/>
      <c r="H456" s="325"/>
      <c r="I456" s="325"/>
      <c r="J456" s="335" t="str" cm="1">
        <f t="array" aca="1" ref="J456" ca="1">IF(E456="","",_xlfn.IFS(N455="Yes",VLOOKUP($B440,INDIRECT(VLOOKUP($E439,$M$2:$N$20,2,FALSE)),27,FALSE),N456="Yes",VLOOKUP($B440,INDIRECT(VLOOKUP($E439,$M$2:$N$20,2,FALSE)),28,FALSE)))</f>
        <v/>
      </c>
      <c r="K456" s="336"/>
      <c r="M456" s="88" t="s">
        <v>14</v>
      </c>
      <c r="N456" s="88" t="str">
        <f ca="1">IF(VLOOKUP($B440,INDIRECT(VLOOKUP($E$7,$M$2:$N$20,2,FALSE)),39,FALSE)&gt;0,"Yes","No")</f>
        <v>No</v>
      </c>
    </row>
    <row r="457" spans="1:14" s="1" customFormat="1" ht="12" customHeight="1" x14ac:dyDescent="0.3">
      <c r="A457" s="324" t="str" cm="1">
        <f t="array" aca="1" ref="A457" ca="1">_xlfn.IFS($A456="","",$A456="Other Allowance","EPF",$A456="Arrears of Apr &amp; May-2025","",VLOOKUP($B440,INDIRECT(VLOOKUP($E439,$M$2:$N$20,2,FALSE)),44,FALSE)=0,"",$E439=DATE(2025,6,1),"Arrears of Apr &amp; May-2025")</f>
        <v/>
      </c>
      <c r="B457" s="325"/>
      <c r="C457" s="326" t="str" cm="1">
        <f t="array" aca="1" ref="C457" ca="1">_xlfn.IFS($A457="","",$A457="EPF",VLOOKUP($B440,INDIRECT(VLOOKUP($E439,$M$2:$N$20,2,FALSE)),19,FALSE),$A457="Arrears of Apr &amp; May-2025",VLOOKUP($B440,INDIRECT(VLOOKUP($E439,$M$2:$N$20,2,FALSE)),44,FALSE))</f>
        <v/>
      </c>
      <c r="D457" s="327"/>
      <c r="E457" s="324" t="str" cm="1">
        <f t="array" aca="1" ref="E457" ca="1">_xlfn.IFS(N456="No","",N455="Yes",M456,TRUE,"")</f>
        <v/>
      </c>
      <c r="F457" s="325"/>
      <c r="G457" s="325"/>
      <c r="H457" s="325"/>
      <c r="I457" s="325"/>
      <c r="J457" s="335" t="str">
        <f ca="1">IF(E457="","",VLOOKUP($B440,INDIRECT(VLOOKUP($E439,$M$2:$N$20,2,FALSE)),28,FALSE))</f>
        <v/>
      </c>
      <c r="K457" s="336"/>
      <c r="M457" s="130"/>
      <c r="N457" s="88"/>
    </row>
    <row r="458" spans="1:14" s="1" customFormat="1" ht="12" customHeight="1" x14ac:dyDescent="0.3">
      <c r="A458" s="324" t="str">
        <f ca="1">IF($J454&gt;0,"ESIC (Employer)",IF($A457="","",IF(VLOOKUP($B440,INDIRECT(VLOOKUP($E439,$M$2:$N$20,2,FALSE)),44,FALSE)="","",IF($E439=DATE(2025,6,1),"Arrears of Apr &amp; May-2025",""))))</f>
        <v/>
      </c>
      <c r="B458" s="325"/>
      <c r="C458" s="326" t="str" cm="1">
        <f t="array" aca="1" ref="C458" ca="1">_xlfn.IFS($A458="","",$A458="ESIC (Employer)",VLOOKUP($B440,INDIRECT(VLOOKUP($E439,$M$2:$N$20,2,FALSE)),20,FALSE),$A458="Arrears of Apr &amp; May-2025",VLOOKUP($B440,INDIRECT(VLOOKUP($E439,$M$2:$N$20,2,FALSE)),44,FALSE))</f>
        <v/>
      </c>
      <c r="D458" s="327"/>
      <c r="E458" s="324"/>
      <c r="F458" s="325"/>
      <c r="G458" s="325"/>
      <c r="H458" s="325"/>
      <c r="I458" s="325"/>
      <c r="J458" s="335"/>
      <c r="K458" s="336"/>
      <c r="M458" s="88"/>
      <c r="N458" s="88"/>
    </row>
    <row r="459" spans="1:14" s="1" customFormat="1" ht="12" customHeight="1" x14ac:dyDescent="0.3">
      <c r="A459" s="324" t="str">
        <f ca="1">IF($A458="","",IF(VLOOKUP($B440,INDIRECT(VLOOKUP($E439,$M$2:$N$20,2,FALSE)),44,FALSE)=0,"",IF($A458="Arrears of Apr &amp; May-2025","",IF($E439=DATE(2025,6,1),"Arrears of Apr &amp; May-2025",""))))</f>
        <v/>
      </c>
      <c r="B459" s="325"/>
      <c r="C459" s="326" t="str" cm="1">
        <f t="array" aca="1" ref="C459" ca="1">_xlfn.IFS($A459="","",$A459="Arrears of Apr &amp; May-2025",VLOOKUP($B440,INDIRECT(VLOOKUP($E439,$M$2:$N$20,2,FALSE)),44,FALSE))</f>
        <v/>
      </c>
      <c r="D459" s="327"/>
      <c r="E459" s="324"/>
      <c r="F459" s="325"/>
      <c r="G459" s="325"/>
      <c r="H459" s="325"/>
      <c r="I459" s="325"/>
      <c r="J459" s="335"/>
      <c r="K459" s="336"/>
      <c r="M459" s="88"/>
      <c r="N459" s="88"/>
    </row>
    <row r="460" spans="1:14" s="1" customFormat="1" ht="12" customHeight="1" x14ac:dyDescent="0.3">
      <c r="A460" s="324"/>
      <c r="B460" s="325"/>
      <c r="C460" s="326"/>
      <c r="D460" s="327"/>
      <c r="E460" s="124"/>
      <c r="F460" s="124"/>
      <c r="G460" s="124"/>
      <c r="H460" s="124"/>
      <c r="I460" s="124"/>
      <c r="J460" s="335"/>
      <c r="K460" s="336"/>
      <c r="M460" s="88"/>
      <c r="N460" s="88"/>
    </row>
    <row r="461" spans="1:14" s="1" customFormat="1" ht="3" customHeight="1" x14ac:dyDescent="0.3">
      <c r="A461" s="108"/>
      <c r="B461" s="109"/>
      <c r="C461" s="109"/>
      <c r="D461" s="112"/>
      <c r="E461" s="110"/>
      <c r="F461" s="110"/>
      <c r="G461" s="109"/>
      <c r="H461" s="109"/>
      <c r="I461" s="111"/>
      <c r="J461" s="111"/>
      <c r="K461" s="112"/>
      <c r="M461" s="88"/>
      <c r="N461" s="88"/>
    </row>
    <row r="462" spans="1:14" s="1" customFormat="1" ht="3" customHeight="1" x14ac:dyDescent="0.3">
      <c r="A462" s="123"/>
      <c r="B462" s="113"/>
      <c r="C462" s="113"/>
      <c r="D462" s="101"/>
      <c r="E462" s="124"/>
      <c r="F462" s="124"/>
      <c r="G462" s="113"/>
      <c r="H462" s="113"/>
      <c r="I462" s="114"/>
      <c r="J462" s="114"/>
      <c r="K462" s="101"/>
      <c r="M462" s="88"/>
      <c r="N462" s="88"/>
    </row>
    <row r="463" spans="1:14" s="4" customFormat="1" ht="19.95" customHeight="1" x14ac:dyDescent="0.3">
      <c r="A463" s="328" t="s">
        <v>15</v>
      </c>
      <c r="B463" s="329"/>
      <c r="C463" s="330">
        <f ca="1">SUM(C451:D462)</f>
        <v>40000</v>
      </c>
      <c r="D463" s="331"/>
      <c r="E463" s="328" t="s">
        <v>16</v>
      </c>
      <c r="F463" s="329"/>
      <c r="G463" s="329"/>
      <c r="H463" s="329"/>
      <c r="I463" s="329"/>
      <c r="J463" s="330">
        <f ca="1">SUM(J451:K459)</f>
        <v>200</v>
      </c>
      <c r="K463" s="331"/>
      <c r="M463" s="129"/>
      <c r="N463" s="90"/>
    </row>
    <row r="464" spans="1:14" s="1" customFormat="1" ht="3" customHeight="1" x14ac:dyDescent="0.3">
      <c r="A464" s="108"/>
      <c r="B464" s="109"/>
      <c r="C464" s="109"/>
      <c r="D464" s="112"/>
      <c r="E464" s="110"/>
      <c r="F464" s="110"/>
      <c r="G464" s="109"/>
      <c r="H464" s="109"/>
      <c r="I464" s="111"/>
      <c r="J464" s="111"/>
      <c r="K464" s="112"/>
      <c r="M464" s="88"/>
      <c r="N464" s="88"/>
    </row>
    <row r="465" spans="1:14" s="1" customFormat="1" ht="3" customHeight="1" x14ac:dyDescent="0.3">
      <c r="A465" s="123"/>
      <c r="B465" s="113"/>
      <c r="C465" s="113"/>
      <c r="D465" s="117"/>
      <c r="E465" s="118"/>
      <c r="F465" s="124"/>
      <c r="G465" s="113"/>
      <c r="H465" s="126"/>
      <c r="I465" s="119"/>
      <c r="J465" s="119"/>
      <c r="K465" s="115"/>
      <c r="M465" s="88"/>
      <c r="N465" s="88"/>
    </row>
    <row r="466" spans="1:14" s="5" customFormat="1" ht="19.95" customHeight="1" x14ac:dyDescent="0.3">
      <c r="A466" s="328" t="str" cm="1">
        <f t="array" aca="1" ref="A466" ca="1">mgm(J466)</f>
        <v>Rupees Thirty Nine Thousand Eight Hundred Only</v>
      </c>
      <c r="B466" s="329"/>
      <c r="C466" s="329"/>
      <c r="D466" s="329"/>
      <c r="E466" s="329"/>
      <c r="F466" s="329"/>
      <c r="G466" s="332"/>
      <c r="H466" s="333" t="s">
        <v>17</v>
      </c>
      <c r="I466" s="334"/>
      <c r="J466" s="330">
        <f ca="1">C463-J463</f>
        <v>39800</v>
      </c>
      <c r="K466" s="331"/>
      <c r="L466" s="205"/>
      <c r="M466" s="90"/>
      <c r="N466" s="90"/>
    </row>
    <row r="467" spans="1:14" s="1" customFormat="1" ht="3" customHeight="1" x14ac:dyDescent="0.3">
      <c r="A467" s="108"/>
      <c r="B467" s="109"/>
      <c r="C467" s="109"/>
      <c r="D467" s="109"/>
      <c r="E467" s="110"/>
      <c r="F467" s="110"/>
      <c r="G467" s="109"/>
      <c r="H467" s="127"/>
      <c r="I467" s="111"/>
      <c r="J467" s="111"/>
      <c r="K467" s="112"/>
      <c r="M467" s="88"/>
      <c r="N467" s="88"/>
    </row>
    <row r="468" spans="1:14" s="1" customFormat="1" ht="19.95" customHeight="1" x14ac:dyDescent="0.3">
      <c r="A468" s="323" t="s">
        <v>18</v>
      </c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M468" s="88"/>
      <c r="N468" s="88"/>
    </row>
    <row r="469" spans="1:14" s="132" customFormat="1" ht="60" customHeight="1" x14ac:dyDescent="0.3">
      <c r="A469" s="181"/>
      <c r="E469" s="181"/>
      <c r="F469" s="181"/>
    </row>
    <row r="470" spans="1:14" s="2" customFormat="1" ht="19.95" customHeight="1" x14ac:dyDescent="0.3">
      <c r="A470" s="338" t="s">
        <v>107</v>
      </c>
      <c r="B470" s="339"/>
      <c r="C470" s="339"/>
      <c r="D470" s="339"/>
      <c r="E470" s="339"/>
      <c r="F470" s="339"/>
      <c r="G470" s="339"/>
      <c r="H470" s="339"/>
      <c r="I470" s="339"/>
      <c r="J470" s="339"/>
      <c r="K470" s="340"/>
      <c r="L470" s="1"/>
      <c r="M470" s="86"/>
      <c r="N470" s="87"/>
    </row>
    <row r="471" spans="1:14" s="2" customFormat="1" ht="15" customHeight="1" x14ac:dyDescent="0.3">
      <c r="A471" s="341" t="s">
        <v>180</v>
      </c>
      <c r="B471" s="342"/>
      <c r="C471" s="342"/>
      <c r="D471" s="342"/>
      <c r="E471" s="342"/>
      <c r="F471" s="342"/>
      <c r="G471" s="342"/>
      <c r="H471" s="342"/>
      <c r="I471" s="342"/>
      <c r="J471" s="342"/>
      <c r="K471" s="343"/>
      <c r="L471" s="1"/>
      <c r="M471" s="86"/>
      <c r="N471" s="88"/>
    </row>
    <row r="472" spans="1:14" s="2" customFormat="1" ht="15" customHeight="1" x14ac:dyDescent="0.3">
      <c r="A472" s="344" t="s">
        <v>72</v>
      </c>
      <c r="B472" s="345"/>
      <c r="C472" s="345"/>
      <c r="D472" s="345"/>
      <c r="E472" s="345"/>
      <c r="F472" s="345"/>
      <c r="G472" s="345"/>
      <c r="H472" s="345"/>
      <c r="I472" s="345"/>
      <c r="J472" s="345"/>
      <c r="K472" s="346"/>
      <c r="L472" s="1"/>
      <c r="M472" s="86"/>
      <c r="N472" s="88"/>
    </row>
    <row r="473" spans="1:14" s="2" customFormat="1" ht="4.95" customHeight="1" x14ac:dyDescent="0.3">
      <c r="A473" s="92"/>
      <c r="B473" s="347"/>
      <c r="C473" s="347"/>
      <c r="D473" s="347"/>
      <c r="E473" s="347"/>
      <c r="F473" s="347"/>
      <c r="G473" s="347"/>
      <c r="H473" s="347"/>
      <c r="I473" s="347"/>
      <c r="J473" s="347"/>
      <c r="K473" s="348"/>
      <c r="L473" s="1"/>
      <c r="M473" s="88"/>
      <c r="N473" s="88"/>
    </row>
    <row r="474" spans="1:14" s="2" customFormat="1" ht="3" customHeight="1" x14ac:dyDescent="0.3">
      <c r="A474" s="93"/>
      <c r="B474" s="94"/>
      <c r="C474" s="94"/>
      <c r="D474" s="94"/>
      <c r="E474" s="95"/>
      <c r="F474" s="95"/>
      <c r="G474" s="94"/>
      <c r="H474" s="94"/>
      <c r="I474" s="94"/>
      <c r="J474" s="94"/>
      <c r="K474" s="96"/>
      <c r="L474" s="1"/>
      <c r="M474" s="88"/>
      <c r="N474" s="88"/>
    </row>
    <row r="475" spans="1:14" s="2" customFormat="1" x14ac:dyDescent="0.3">
      <c r="A475" s="123" t="s">
        <v>68</v>
      </c>
      <c r="B475" s="124" t="str">
        <f ca="1">VLOOKUP($B476,Salary_Master_2,3,FALSE)</f>
        <v>W053</v>
      </c>
      <c r="C475" s="349" t="s">
        <v>21</v>
      </c>
      <c r="D475" s="349"/>
      <c r="E475" s="350">
        <f>IF($E$1="","",$E$1)</f>
        <v>45809</v>
      </c>
      <c r="F475" s="350"/>
      <c r="G475" s="97" t="s">
        <v>22</v>
      </c>
      <c r="H475" s="98">
        <f ca="1">VLOOKUP($B476,INDIRECT(VLOOKUP($E$7,$M$2:$N$20,2,FALSE)),3,FALSE)</f>
        <v>29.5</v>
      </c>
      <c r="I475" s="99"/>
      <c r="J475" s="100" t="s">
        <v>27</v>
      </c>
      <c r="K475" s="101"/>
      <c r="L475" s="1"/>
      <c r="M475" s="86"/>
      <c r="N475" s="88"/>
    </row>
    <row r="476" spans="1:14" s="2" customFormat="1" x14ac:dyDescent="0.3">
      <c r="A476" s="123" t="s">
        <v>19</v>
      </c>
      <c r="B476" s="124" t="str">
        <f ca="1">IF(Salary_Master_2!$B$18="","",VLOOKUP(Salary_Master_2!$B$18,INDIRECT(VLOOKUP($E475,$M$2:$N$20,2,FALSE)),1,FALSE))</f>
        <v>Hasanulbana Siddiqui</v>
      </c>
      <c r="C476" s="351" t="s">
        <v>1</v>
      </c>
      <c r="D476" s="351"/>
      <c r="E476" s="352">
        <f ca="1">SUM($H475:$H478)</f>
        <v>31</v>
      </c>
      <c r="F476" s="352"/>
      <c r="G476" s="97" t="s">
        <v>24</v>
      </c>
      <c r="H476" s="102">
        <f ca="1">VLOOKUP($B476,INDIRECT(VLOOKUP($E$7,$M$2:$N$20,2,FALSE)),4,FALSE)</f>
        <v>1.5</v>
      </c>
      <c r="I476" s="100"/>
      <c r="J476" s="103" t="s">
        <v>28</v>
      </c>
      <c r="K476" s="101">
        <f ca="1">VLOOKUP($B476,INDIRECT(VLOOKUP($E$7,$M$2:$N$20,2,FALSE)),29,FALSE)</f>
        <v>34800</v>
      </c>
      <c r="L476" s="1"/>
      <c r="M476" s="86"/>
      <c r="N476" s="88"/>
    </row>
    <row r="477" spans="1:14" s="2" customFormat="1" x14ac:dyDescent="0.3">
      <c r="A477" s="123" t="s">
        <v>0</v>
      </c>
      <c r="B477" s="124" t="str">
        <f ca="1">VLOOKUP($B476,Salary_Master_2,4,FALSE)</f>
        <v>Production Engineer</v>
      </c>
      <c r="C477" s="124"/>
      <c r="D477" s="103" t="s">
        <v>70</v>
      </c>
      <c r="E477" s="337" t="str">
        <f ca="1">VLOOKUP($B476,Salary_Master_2,9,FALSE)</f>
        <v>NA</v>
      </c>
      <c r="F477" s="337"/>
      <c r="G477" s="97" t="s">
        <v>25</v>
      </c>
      <c r="H477" s="102">
        <f ca="1">VLOOKUP($B476,INDIRECT(VLOOKUP($E$7,$M$2:$N$20,2,FALSE)),5,FALSE)</f>
        <v>0</v>
      </c>
      <c r="I477" s="97"/>
      <c r="J477" s="103" t="s">
        <v>29</v>
      </c>
      <c r="K477" s="101" t="str">
        <f ca="1">VLOOKUP($B476,INDIRECT(VLOOKUP($E$7,$M$2:$N$20,2,FALSE)),30,FALSE)</f>
        <v>Male</v>
      </c>
      <c r="L477" s="1"/>
      <c r="M477" s="86"/>
      <c r="N477" s="88"/>
    </row>
    <row r="478" spans="1:14" s="2" customFormat="1" x14ac:dyDescent="0.3">
      <c r="A478" s="123" t="s">
        <v>20</v>
      </c>
      <c r="B478" s="124" t="str">
        <f ca="1">VLOOKUP($B476,Salary_Master_2,5,FALSE)</f>
        <v>Production</v>
      </c>
      <c r="C478" s="124"/>
      <c r="D478" s="103" t="s">
        <v>71</v>
      </c>
      <c r="E478" s="337" t="str">
        <f ca="1">VLOOKUP($B476,Salary_Master_2,10,FALSE)</f>
        <v>NA</v>
      </c>
      <c r="F478" s="337"/>
      <c r="G478" s="97" t="s">
        <v>26</v>
      </c>
      <c r="H478" s="102">
        <f ca="1">VLOOKUP($B476,INDIRECT(VLOOKUP($E$7,$M$2:$N$20,2,FALSE)),6,FALSE)</f>
        <v>0</v>
      </c>
      <c r="I478" s="97"/>
      <c r="J478" s="103" t="s">
        <v>30</v>
      </c>
      <c r="K478" s="101">
        <f ca="1">VLOOKUP($B476,INDIRECT(VLOOKUP($E$7,$M$2:$N$20,2,FALSE)),31,FALSE)</f>
        <v>2.5</v>
      </c>
      <c r="L478" s="1"/>
      <c r="M478" s="86"/>
      <c r="N478" s="88"/>
    </row>
    <row r="479" spans="1:14" s="2" customFormat="1" x14ac:dyDescent="0.3">
      <c r="A479" s="123" t="s">
        <v>69</v>
      </c>
      <c r="B479" s="124" t="str">
        <f ca="1">VLOOKUP($B476,Salary_Master_2,6,FALSE)</f>
        <v>Ansa Factory</v>
      </c>
      <c r="C479" s="124"/>
      <c r="D479" s="104"/>
      <c r="E479" s="105"/>
      <c r="F479" s="105"/>
      <c r="G479" s="97" t="s">
        <v>23</v>
      </c>
      <c r="H479" s="102">
        <f ca="1">VLOOKUP($B476,INDIRECT(VLOOKUP($E$7,$M$2:$N$20,2,FALSE)),8,FALSE)</f>
        <v>0</v>
      </c>
      <c r="I479" s="97"/>
      <c r="J479" s="125"/>
      <c r="K479" s="101"/>
      <c r="L479" s="1"/>
      <c r="M479" s="86"/>
      <c r="N479" s="88"/>
    </row>
    <row r="480" spans="1:14" s="2" customFormat="1" x14ac:dyDescent="0.3">
      <c r="A480" s="123" t="s">
        <v>32</v>
      </c>
      <c r="B480" s="106">
        <f ca="1">VLOOKUP($B476,Salary_Master_2,7,FALSE)</f>
        <v>43405</v>
      </c>
      <c r="C480" s="106"/>
      <c r="D480" s="104"/>
      <c r="E480" s="105"/>
      <c r="F480" s="105"/>
      <c r="G480" s="97" t="s">
        <v>31</v>
      </c>
      <c r="H480" s="102">
        <f ca="1">VLOOKUP($B476,INDIRECT(VLOOKUP($E$7,$M$2:$N$20,2,FALSE)),9,FALSE)</f>
        <v>5</v>
      </c>
      <c r="I480" s="107"/>
      <c r="J480" s="107"/>
      <c r="K480" s="101"/>
      <c r="L480" s="1"/>
      <c r="M480" s="86"/>
      <c r="N480" s="88"/>
    </row>
    <row r="481" spans="1:14" s="2" customFormat="1" ht="3" customHeight="1" x14ac:dyDescent="0.3">
      <c r="A481" s="108"/>
      <c r="B481" s="109"/>
      <c r="C481" s="109"/>
      <c r="D481" s="109"/>
      <c r="E481" s="110"/>
      <c r="F481" s="110"/>
      <c r="G481" s="109"/>
      <c r="H481" s="109"/>
      <c r="I481" s="111"/>
      <c r="J481" s="111"/>
      <c r="K481" s="112"/>
      <c r="L481" s="1"/>
      <c r="M481" s="88"/>
      <c r="N481" s="88"/>
    </row>
    <row r="482" spans="1:14" s="2" customFormat="1" ht="3" customHeight="1" x14ac:dyDescent="0.3">
      <c r="A482" s="123"/>
      <c r="B482" s="113"/>
      <c r="C482" s="113"/>
      <c r="D482" s="113"/>
      <c r="E482" s="124"/>
      <c r="F482" s="124"/>
      <c r="G482" s="113"/>
      <c r="H482" s="113"/>
      <c r="I482" s="114"/>
      <c r="J482" s="114"/>
      <c r="K482" s="115"/>
      <c r="L482" s="1"/>
      <c r="M482" s="88"/>
      <c r="N482" s="88"/>
    </row>
    <row r="483" spans="1:14" s="1" customFormat="1" ht="3" customHeight="1" x14ac:dyDescent="0.3">
      <c r="A483" s="116"/>
      <c r="B483" s="117"/>
      <c r="C483" s="117"/>
      <c r="D483" s="115"/>
      <c r="E483" s="118"/>
      <c r="F483" s="118"/>
      <c r="G483" s="117"/>
      <c r="H483" s="117"/>
      <c r="I483" s="119"/>
      <c r="J483" s="119"/>
      <c r="K483" s="115"/>
      <c r="M483" s="88"/>
      <c r="N483" s="88"/>
    </row>
    <row r="484" spans="1:14" s="1" customFormat="1" ht="12" customHeight="1" x14ac:dyDescent="0.3">
      <c r="A484" s="120" t="s">
        <v>4</v>
      </c>
      <c r="B484" s="113"/>
      <c r="C484" s="113"/>
      <c r="D484" s="121" t="s">
        <v>5</v>
      </c>
      <c r="E484" s="122" t="s">
        <v>6</v>
      </c>
      <c r="F484" s="122"/>
      <c r="G484" s="113"/>
      <c r="H484" s="113"/>
      <c r="I484" s="113"/>
      <c r="J484" s="113"/>
      <c r="K484" s="121" t="s">
        <v>5</v>
      </c>
      <c r="M484" s="86"/>
      <c r="N484" s="88"/>
    </row>
    <row r="485" spans="1:14" s="1" customFormat="1" ht="3" customHeight="1" x14ac:dyDescent="0.3">
      <c r="A485" s="108"/>
      <c r="B485" s="109"/>
      <c r="C485" s="109"/>
      <c r="D485" s="112"/>
      <c r="E485" s="110"/>
      <c r="F485" s="110"/>
      <c r="G485" s="109"/>
      <c r="H485" s="109"/>
      <c r="I485" s="111"/>
      <c r="J485" s="111"/>
      <c r="K485" s="112"/>
      <c r="M485" s="88"/>
      <c r="N485" s="88"/>
    </row>
    <row r="486" spans="1:14" s="1" customFormat="1" ht="3" customHeight="1" x14ac:dyDescent="0.3">
      <c r="A486" s="123"/>
      <c r="B486" s="113"/>
      <c r="C486" s="113"/>
      <c r="D486" s="101"/>
      <c r="E486" s="124"/>
      <c r="F486" s="124"/>
      <c r="G486" s="113"/>
      <c r="H486" s="113"/>
      <c r="I486" s="114"/>
      <c r="J486" s="114"/>
      <c r="K486" s="101"/>
      <c r="M486" s="88"/>
      <c r="N486" s="88"/>
    </row>
    <row r="487" spans="1:14" s="1" customFormat="1" ht="12" customHeight="1" x14ac:dyDescent="0.3">
      <c r="A487" s="324" t="s">
        <v>7</v>
      </c>
      <c r="B487" s="325"/>
      <c r="C487" s="326">
        <f ca="1">VLOOKUP($B476,INDIRECT(VLOOKUP($E475,$M$2:$N$20,2,FALSE)),13,FALSE)</f>
        <v>16500</v>
      </c>
      <c r="D487" s="327"/>
      <c r="E487" s="324" t="s">
        <v>8</v>
      </c>
      <c r="F487" s="325"/>
      <c r="G487" s="325"/>
      <c r="H487" s="325"/>
      <c r="I487" s="325"/>
      <c r="J487" s="326">
        <f ca="1">VLOOKUP($B476,INDIRECT(VLOOKUP($E475,$M$2:$N$20,2,FALSE)),22,FALSE)</f>
        <v>0</v>
      </c>
      <c r="K487" s="327"/>
      <c r="M487" s="86"/>
      <c r="N487" s="88"/>
    </row>
    <row r="488" spans="1:14" s="1" customFormat="1" ht="12" customHeight="1" x14ac:dyDescent="0.3">
      <c r="A488" s="324" t="s">
        <v>9</v>
      </c>
      <c r="B488" s="325"/>
      <c r="C488" s="326">
        <f ca="1">VLOOKUP($B476,INDIRECT(VLOOKUP($E475,$M$2:$N$20,2,FALSE)),14,FALSE)</f>
        <v>6600</v>
      </c>
      <c r="D488" s="327"/>
      <c r="E488" s="324" t="s">
        <v>94</v>
      </c>
      <c r="F488" s="325"/>
      <c r="G488" s="325"/>
      <c r="H488" s="325"/>
      <c r="I488" s="325"/>
      <c r="J488" s="326">
        <f ca="1">VLOOKUP($B476,INDIRECT(VLOOKUP($E475,$M$2:$N$20,2,FALSE)),23,FALSE)</f>
        <v>0</v>
      </c>
      <c r="K488" s="327"/>
      <c r="M488" s="86"/>
      <c r="N488" s="88"/>
    </row>
    <row r="489" spans="1:14" s="1" customFormat="1" ht="12" customHeight="1" x14ac:dyDescent="0.3">
      <c r="A489" s="324" t="s">
        <v>11</v>
      </c>
      <c r="B489" s="325"/>
      <c r="C489" s="326">
        <f ca="1">VLOOKUP($B476,INDIRECT(VLOOKUP($E475,$M$2:$N$20,2,FALSE)),15,FALSE)</f>
        <v>1600</v>
      </c>
      <c r="D489" s="327"/>
      <c r="E489" s="324" t="s">
        <v>10</v>
      </c>
      <c r="F489" s="325"/>
      <c r="G489" s="325"/>
      <c r="H489" s="325"/>
      <c r="I489" s="325"/>
      <c r="J489" s="326">
        <f ca="1">VLOOKUP($B476,INDIRECT(VLOOKUP($E475,$M$2:$N$20,2,FALSE)),24,FALSE)</f>
        <v>0</v>
      </c>
      <c r="K489" s="327"/>
      <c r="M489" s="87"/>
      <c r="N489" s="86"/>
    </row>
    <row r="490" spans="1:14" s="1" customFormat="1" ht="12" customHeight="1" x14ac:dyDescent="0.3">
      <c r="A490" s="324" t="s">
        <v>3</v>
      </c>
      <c r="B490" s="325"/>
      <c r="C490" s="326">
        <f ca="1">VLOOKUP($B476,INDIRECT(VLOOKUP($E475,$M$2:$N$20,2,FALSE)),16,FALSE)</f>
        <v>1375</v>
      </c>
      <c r="D490" s="327"/>
      <c r="E490" s="324" t="s">
        <v>93</v>
      </c>
      <c r="F490" s="325"/>
      <c r="G490" s="325"/>
      <c r="H490" s="325"/>
      <c r="I490" s="325"/>
      <c r="J490" s="326">
        <f ca="1">VLOOKUP($B476,INDIRECT(VLOOKUP($E475,$M$2:$N$20,2,FALSE)),25,FALSE)</f>
        <v>0</v>
      </c>
      <c r="K490" s="327"/>
      <c r="M490" s="87"/>
      <c r="N490" s="89"/>
    </row>
    <row r="491" spans="1:14" s="1" customFormat="1" ht="12" customHeight="1" x14ac:dyDescent="0.3">
      <c r="A491" s="324" t="s">
        <v>13</v>
      </c>
      <c r="B491" s="325"/>
      <c r="C491" s="326">
        <f ca="1">VLOOKUP($B476,INDIRECT(VLOOKUP($E475,$M$2:$N$20,2,FALSE)),17,FALSE)</f>
        <v>8925</v>
      </c>
      <c r="D491" s="327"/>
      <c r="E491" s="324" t="s">
        <v>12</v>
      </c>
      <c r="F491" s="325"/>
      <c r="G491" s="325"/>
      <c r="H491" s="325"/>
      <c r="I491" s="325"/>
      <c r="J491" s="326">
        <f ca="1">VLOOKUP($B476,INDIRECT(VLOOKUP($E475,$M$2:$N$20,2,FALSE)),26,FALSE)</f>
        <v>200</v>
      </c>
      <c r="K491" s="327"/>
      <c r="M491" s="88" t="s">
        <v>73</v>
      </c>
      <c r="N491" s="88" t="str">
        <f ca="1">IF(VLOOKUP($B476,INDIRECT(VLOOKUP($E475,$M$2:$N$20,2,FALSE)),38,FALSE)&gt;0,"Yes","No")</f>
        <v>No</v>
      </c>
    </row>
    <row r="492" spans="1:14" s="1" customFormat="1" ht="12" customHeight="1" x14ac:dyDescent="0.3">
      <c r="A492" s="324" t="str">
        <f ca="1">IF($J488&gt;0,"Other Allowance",IF(VLOOKUP($B476,INDIRECT(VLOOKUP($E475,$M$2:$N$20,2,FALSE)),44,FALSE)=0,"",IF($E475=DATE(2025,6,1),"Arrears of Apr &amp; May-2025","")))</f>
        <v>Arrears of Apr &amp; May-2025</v>
      </c>
      <c r="B492" s="325"/>
      <c r="C492" s="326" cm="1">
        <f t="array" aca="1" ref="C492" ca="1">_xlfn.IFS($A492="","",$A492="Other Allowance",VLOOKUP($B476,INDIRECT(VLOOKUP($E475,$M$2:$N$20,2,FALSE)),18,FALSE),$A492="Arrears of Apr &amp; May-2025",VLOOKUP($B476,INDIRECT(VLOOKUP($E475,$M$2:$N$20,2,FALSE)),44,FALSE))</f>
        <v>5000</v>
      </c>
      <c r="D492" s="327"/>
      <c r="E492" s="324" t="str" cm="1">
        <f t="array" aca="1" ref="E492" ca="1">_xlfn.IFS(N491="Yes",M491,N492="Yes",M492,TRUE,"")</f>
        <v/>
      </c>
      <c r="F492" s="325"/>
      <c r="G492" s="325"/>
      <c r="H492" s="325"/>
      <c r="I492" s="325"/>
      <c r="J492" s="335" t="str" cm="1">
        <f t="array" aca="1" ref="J492" ca="1">IF(E492="","",_xlfn.IFS(N491="Yes",VLOOKUP($B476,INDIRECT(VLOOKUP($E475,$M$2:$N$20,2,FALSE)),27,FALSE),N492="Yes",VLOOKUP($B476,INDIRECT(VLOOKUP($E475,$M$2:$N$20,2,FALSE)),28,FALSE)))</f>
        <v/>
      </c>
      <c r="K492" s="336"/>
      <c r="M492" s="88" t="s">
        <v>14</v>
      </c>
      <c r="N492" s="88" t="str">
        <f ca="1">IF(VLOOKUP($B476,INDIRECT(VLOOKUP($E$7,$M$2:$N$20,2,FALSE)),39,FALSE)&gt;0,"Yes","No")</f>
        <v>No</v>
      </c>
    </row>
    <row r="493" spans="1:14" s="1" customFormat="1" ht="12" customHeight="1" x14ac:dyDescent="0.3">
      <c r="A493" s="324" t="str" cm="1">
        <f t="array" aca="1" ref="A493" ca="1">_xlfn.IFS($A492="","",$A492="Other Allowance","EPF",$A492="Arrears of Apr &amp; May-2025","",VLOOKUP($B476,INDIRECT(VLOOKUP($E475,$M$2:$N$20,2,FALSE)),44,FALSE)=0,"",$E475=DATE(2025,6,1),"Arrears of Apr &amp; May-2025")</f>
        <v/>
      </c>
      <c r="B493" s="325"/>
      <c r="C493" s="326" t="str" cm="1">
        <f t="array" aca="1" ref="C493" ca="1">_xlfn.IFS($A493="","",$A493="EPF",VLOOKUP($B476,INDIRECT(VLOOKUP($E475,$M$2:$N$20,2,FALSE)),19,FALSE),$A493="Arrears of Apr &amp; May-2025",VLOOKUP($B476,INDIRECT(VLOOKUP($E475,$M$2:$N$20,2,FALSE)),44,FALSE))</f>
        <v/>
      </c>
      <c r="D493" s="327"/>
      <c r="E493" s="324" t="str" cm="1">
        <f t="array" aca="1" ref="E493" ca="1">_xlfn.IFS(N492="No","",N491="Yes",M492,TRUE,"")</f>
        <v/>
      </c>
      <c r="F493" s="325"/>
      <c r="G493" s="325"/>
      <c r="H493" s="325"/>
      <c r="I493" s="325"/>
      <c r="J493" s="335" t="str">
        <f ca="1">IF(E493="","",VLOOKUP($B476,INDIRECT(VLOOKUP($E475,$M$2:$N$20,2,FALSE)),28,FALSE))</f>
        <v/>
      </c>
      <c r="K493" s="336"/>
      <c r="M493" s="130"/>
      <c r="N493" s="88"/>
    </row>
    <row r="494" spans="1:14" s="1" customFormat="1" ht="12" customHeight="1" x14ac:dyDescent="0.3">
      <c r="A494" s="324" t="str">
        <f ca="1">IF($J490&gt;0,"ESIC (Employer)",IF($A493="","",IF(VLOOKUP($B476,INDIRECT(VLOOKUP($E475,$M$2:$N$20,2,FALSE)),44,FALSE)="","",IF($E475=DATE(2025,6,1),"Arrears of Apr &amp; May-2025",""))))</f>
        <v/>
      </c>
      <c r="B494" s="325"/>
      <c r="C494" s="326" t="str" cm="1">
        <f t="array" aca="1" ref="C494" ca="1">_xlfn.IFS($A494="","",$A494="ESIC (Employer)",VLOOKUP($B476,INDIRECT(VLOOKUP($E475,$M$2:$N$20,2,FALSE)),20,FALSE),$A494="Arrears of Apr &amp; May-2025",VLOOKUP($B476,INDIRECT(VLOOKUP($E475,$M$2:$N$20,2,FALSE)),44,FALSE))</f>
        <v/>
      </c>
      <c r="D494" s="327"/>
      <c r="E494" s="324"/>
      <c r="F494" s="325"/>
      <c r="G494" s="325"/>
      <c r="H494" s="325"/>
      <c r="I494" s="325"/>
      <c r="J494" s="335"/>
      <c r="K494" s="336"/>
      <c r="M494" s="88"/>
      <c r="N494" s="88"/>
    </row>
    <row r="495" spans="1:14" s="1" customFormat="1" ht="12" customHeight="1" x14ac:dyDescent="0.3">
      <c r="A495" s="324" t="str">
        <f ca="1">IF($A494="","",IF(VLOOKUP($B476,INDIRECT(VLOOKUP($E475,$M$2:$N$20,2,FALSE)),44,FALSE)=0,"",IF($A494="Arrears of Apr &amp; May-2025","",IF($E475=DATE(2025,6,1),"Arrears of Apr &amp; May-2025",""))))</f>
        <v/>
      </c>
      <c r="B495" s="325"/>
      <c r="C495" s="326" t="str" cm="1">
        <f t="array" aca="1" ref="C495" ca="1">_xlfn.IFS($A495="","",$A495="Arrears of Apr &amp; May-2025",VLOOKUP($B476,INDIRECT(VLOOKUP($E475,$M$2:$N$20,2,FALSE)),44,FALSE))</f>
        <v/>
      </c>
      <c r="D495" s="327"/>
      <c r="E495" s="324"/>
      <c r="F495" s="325"/>
      <c r="G495" s="325"/>
      <c r="H495" s="325"/>
      <c r="I495" s="325"/>
      <c r="J495" s="335"/>
      <c r="K495" s="336"/>
      <c r="M495" s="88"/>
      <c r="N495" s="88"/>
    </row>
    <row r="496" spans="1:14" s="1" customFormat="1" ht="12" customHeight="1" x14ac:dyDescent="0.3">
      <c r="A496" s="324"/>
      <c r="B496" s="325"/>
      <c r="C496" s="326"/>
      <c r="D496" s="327"/>
      <c r="E496" s="124"/>
      <c r="F496" s="124"/>
      <c r="G496" s="124"/>
      <c r="H496" s="124"/>
      <c r="I496" s="124"/>
      <c r="J496" s="335"/>
      <c r="K496" s="336"/>
      <c r="M496" s="88"/>
      <c r="N496" s="88"/>
    </row>
    <row r="497" spans="1:14" s="1" customFormat="1" ht="3" customHeight="1" x14ac:dyDescent="0.3">
      <c r="A497" s="108"/>
      <c r="B497" s="109"/>
      <c r="C497" s="109"/>
      <c r="D497" s="112"/>
      <c r="E497" s="110"/>
      <c r="F497" s="110"/>
      <c r="G497" s="109"/>
      <c r="H497" s="109"/>
      <c r="I497" s="111"/>
      <c r="J497" s="111"/>
      <c r="K497" s="112"/>
      <c r="M497" s="88"/>
      <c r="N497" s="88"/>
    </row>
    <row r="498" spans="1:14" s="1" customFormat="1" ht="3" customHeight="1" x14ac:dyDescent="0.3">
      <c r="A498" s="123"/>
      <c r="B498" s="113"/>
      <c r="C498" s="113"/>
      <c r="D498" s="101"/>
      <c r="E498" s="124"/>
      <c r="F498" s="124"/>
      <c r="G498" s="113"/>
      <c r="H498" s="113"/>
      <c r="I498" s="114"/>
      <c r="J498" s="114"/>
      <c r="K498" s="101"/>
      <c r="M498" s="88"/>
      <c r="N498" s="88"/>
    </row>
    <row r="499" spans="1:14" s="4" customFormat="1" ht="19.95" customHeight="1" x14ac:dyDescent="0.3">
      <c r="A499" s="328" t="s">
        <v>15</v>
      </c>
      <c r="B499" s="329"/>
      <c r="C499" s="330">
        <f ca="1">SUM(C487:D498)</f>
        <v>40000</v>
      </c>
      <c r="D499" s="331"/>
      <c r="E499" s="328" t="s">
        <v>16</v>
      </c>
      <c r="F499" s="329"/>
      <c r="G499" s="329"/>
      <c r="H499" s="329"/>
      <c r="I499" s="329"/>
      <c r="J499" s="330">
        <f ca="1">SUM(J487:K495)</f>
        <v>200</v>
      </c>
      <c r="K499" s="331"/>
      <c r="M499" s="129"/>
      <c r="N499" s="90"/>
    </row>
    <row r="500" spans="1:14" s="1" customFormat="1" ht="3" customHeight="1" x14ac:dyDescent="0.3">
      <c r="A500" s="108"/>
      <c r="B500" s="109"/>
      <c r="C500" s="109"/>
      <c r="D500" s="112"/>
      <c r="E500" s="110"/>
      <c r="F500" s="110"/>
      <c r="G500" s="109"/>
      <c r="H500" s="109"/>
      <c r="I500" s="111"/>
      <c r="J500" s="111"/>
      <c r="K500" s="112"/>
      <c r="M500" s="88"/>
      <c r="N500" s="88"/>
    </row>
    <row r="501" spans="1:14" s="1" customFormat="1" ht="3" customHeight="1" x14ac:dyDescent="0.3">
      <c r="A501" s="123"/>
      <c r="B501" s="113"/>
      <c r="C501" s="113"/>
      <c r="D501" s="117"/>
      <c r="E501" s="118"/>
      <c r="F501" s="124"/>
      <c r="G501" s="113"/>
      <c r="H501" s="126"/>
      <c r="I501" s="119"/>
      <c r="J501" s="119"/>
      <c r="K501" s="115"/>
      <c r="M501" s="88"/>
      <c r="N501" s="88"/>
    </row>
    <row r="502" spans="1:14" s="5" customFormat="1" ht="19.95" customHeight="1" x14ac:dyDescent="0.3">
      <c r="A502" s="328" t="str" cm="1">
        <f t="array" aca="1" ref="A502" ca="1">mgm(J502)</f>
        <v>Rupees Thirty Nine Thousand Eight Hundred Only</v>
      </c>
      <c r="B502" s="329"/>
      <c r="C502" s="329"/>
      <c r="D502" s="329"/>
      <c r="E502" s="329"/>
      <c r="F502" s="329"/>
      <c r="G502" s="332"/>
      <c r="H502" s="333" t="s">
        <v>17</v>
      </c>
      <c r="I502" s="334"/>
      <c r="J502" s="330">
        <f ca="1">C499-J499</f>
        <v>39800</v>
      </c>
      <c r="K502" s="331"/>
      <c r="L502" s="205"/>
      <c r="M502" s="90"/>
      <c r="N502" s="90"/>
    </row>
    <row r="503" spans="1:14" s="1" customFormat="1" ht="3" customHeight="1" x14ac:dyDescent="0.3">
      <c r="A503" s="108"/>
      <c r="B503" s="109"/>
      <c r="C503" s="109"/>
      <c r="D503" s="109"/>
      <c r="E503" s="110"/>
      <c r="F503" s="110"/>
      <c r="G503" s="109"/>
      <c r="H503" s="127"/>
      <c r="I503" s="111"/>
      <c r="J503" s="111"/>
      <c r="K503" s="112"/>
      <c r="M503" s="88"/>
      <c r="N503" s="88"/>
    </row>
    <row r="504" spans="1:14" s="1" customFormat="1" ht="19.95" customHeight="1" x14ac:dyDescent="0.3">
      <c r="A504" s="323" t="s">
        <v>18</v>
      </c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M504" s="88"/>
      <c r="N504" s="88"/>
    </row>
    <row r="505" spans="1:14" s="132" customFormat="1" ht="60" customHeight="1" x14ac:dyDescent="0.3">
      <c r="A505" s="181"/>
      <c r="E505" s="181"/>
      <c r="F505" s="181"/>
    </row>
    <row r="506" spans="1:14" s="2" customFormat="1" ht="19.95" customHeight="1" x14ac:dyDescent="0.3">
      <c r="A506" s="338" t="s">
        <v>107</v>
      </c>
      <c r="B506" s="339"/>
      <c r="C506" s="339"/>
      <c r="D506" s="339"/>
      <c r="E506" s="339"/>
      <c r="F506" s="339"/>
      <c r="G506" s="339"/>
      <c r="H506" s="339"/>
      <c r="I506" s="339"/>
      <c r="J506" s="339"/>
      <c r="K506" s="340"/>
      <c r="L506" s="1"/>
      <c r="M506" s="86"/>
      <c r="N506" s="87"/>
    </row>
    <row r="507" spans="1:14" s="2" customFormat="1" ht="15" customHeight="1" x14ac:dyDescent="0.3">
      <c r="A507" s="341" t="s">
        <v>180</v>
      </c>
      <c r="B507" s="342"/>
      <c r="C507" s="342"/>
      <c r="D507" s="342"/>
      <c r="E507" s="342"/>
      <c r="F507" s="342"/>
      <c r="G507" s="342"/>
      <c r="H507" s="342"/>
      <c r="I507" s="342"/>
      <c r="J507" s="342"/>
      <c r="K507" s="343"/>
      <c r="L507" s="1"/>
      <c r="M507" s="86"/>
      <c r="N507" s="88"/>
    </row>
    <row r="508" spans="1:14" s="2" customFormat="1" ht="15" customHeight="1" x14ac:dyDescent="0.3">
      <c r="A508" s="344" t="s">
        <v>72</v>
      </c>
      <c r="B508" s="345"/>
      <c r="C508" s="345"/>
      <c r="D508" s="345"/>
      <c r="E508" s="345"/>
      <c r="F508" s="345"/>
      <c r="G508" s="345"/>
      <c r="H508" s="345"/>
      <c r="I508" s="345"/>
      <c r="J508" s="345"/>
      <c r="K508" s="346"/>
      <c r="L508" s="1"/>
      <c r="M508" s="86"/>
      <c r="N508" s="88"/>
    </row>
    <row r="509" spans="1:14" s="2" customFormat="1" ht="4.95" customHeight="1" x14ac:dyDescent="0.3">
      <c r="A509" s="92"/>
      <c r="B509" s="347"/>
      <c r="C509" s="347"/>
      <c r="D509" s="347"/>
      <c r="E509" s="347"/>
      <c r="F509" s="347"/>
      <c r="G509" s="347"/>
      <c r="H509" s="347"/>
      <c r="I509" s="347"/>
      <c r="J509" s="347"/>
      <c r="K509" s="348"/>
      <c r="L509" s="1"/>
      <c r="M509" s="88"/>
      <c r="N509" s="88"/>
    </row>
    <row r="510" spans="1:14" s="2" customFormat="1" ht="3" customHeight="1" x14ac:dyDescent="0.3">
      <c r="A510" s="93"/>
      <c r="B510" s="94"/>
      <c r="C510" s="94"/>
      <c r="D510" s="94"/>
      <c r="E510" s="95"/>
      <c r="F510" s="95"/>
      <c r="G510" s="94"/>
      <c r="H510" s="94"/>
      <c r="I510" s="94"/>
      <c r="J510" s="94"/>
      <c r="K510" s="96"/>
      <c r="L510" s="1"/>
      <c r="M510" s="88"/>
      <c r="N510" s="88"/>
    </row>
    <row r="511" spans="1:14" s="2" customFormat="1" x14ac:dyDescent="0.3">
      <c r="A511" s="123" t="s">
        <v>68</v>
      </c>
      <c r="B511" s="124" t="str">
        <f ca="1">VLOOKUP($B512,Salary_Master_2,3,FALSE)</f>
        <v>H020</v>
      </c>
      <c r="C511" s="349" t="s">
        <v>21</v>
      </c>
      <c r="D511" s="349"/>
      <c r="E511" s="350">
        <f>IF($E$1="","",$E$1)</f>
        <v>45809</v>
      </c>
      <c r="F511" s="350"/>
      <c r="G511" s="97" t="s">
        <v>22</v>
      </c>
      <c r="H511" s="98">
        <f ca="1">VLOOKUP($B512,INDIRECT(VLOOKUP($E$7,$M$2:$N$20,2,FALSE)),3,FALSE)</f>
        <v>28</v>
      </c>
      <c r="I511" s="99"/>
      <c r="J511" s="100" t="s">
        <v>27</v>
      </c>
      <c r="K511" s="101"/>
      <c r="L511" s="1"/>
      <c r="M511" s="86"/>
      <c r="N511" s="88"/>
    </row>
    <row r="512" spans="1:14" s="2" customFormat="1" x14ac:dyDescent="0.3">
      <c r="A512" s="123" t="s">
        <v>19</v>
      </c>
      <c r="B512" s="124" t="str">
        <f ca="1">IF(Salary_Master_2!$B$19="","",VLOOKUP(Salary_Master_2!$B$19,INDIRECT(VLOOKUP($E511,$M$2:$N$20,2,FALSE)),1,FALSE))</f>
        <v>Aniket Sawant</v>
      </c>
      <c r="C512" s="351" t="s">
        <v>1</v>
      </c>
      <c r="D512" s="351"/>
      <c r="E512" s="352">
        <f ca="1">SUM($H511:$H514)</f>
        <v>31</v>
      </c>
      <c r="F512" s="352"/>
      <c r="G512" s="97" t="s">
        <v>24</v>
      </c>
      <c r="H512" s="102">
        <f ca="1">VLOOKUP($B512,INDIRECT(VLOOKUP($E$7,$M$2:$N$20,2,FALSE)),4,FALSE)</f>
        <v>3</v>
      </c>
      <c r="I512" s="100"/>
      <c r="J512" s="103" t="s">
        <v>28</v>
      </c>
      <c r="K512" s="101">
        <f ca="1">VLOOKUP($B512,INDIRECT(VLOOKUP($E$7,$M$2:$N$20,2,FALSE)),29,FALSE)</f>
        <v>30800</v>
      </c>
      <c r="L512" s="1"/>
      <c r="M512" s="86"/>
      <c r="N512" s="88"/>
    </row>
    <row r="513" spans="1:14" s="2" customFormat="1" x14ac:dyDescent="0.3">
      <c r="A513" s="123" t="s">
        <v>0</v>
      </c>
      <c r="B513" s="124" t="str">
        <f ca="1">VLOOKUP($B512,Salary_Master_2,4,FALSE)</f>
        <v>Project Engineer</v>
      </c>
      <c r="C513" s="124"/>
      <c r="D513" s="103" t="s">
        <v>70</v>
      </c>
      <c r="E513" s="337" t="str">
        <f ca="1">VLOOKUP($B512,Salary_Master_2,9,FALSE)</f>
        <v>NA</v>
      </c>
      <c r="F513" s="337"/>
      <c r="G513" s="97" t="s">
        <v>25</v>
      </c>
      <c r="H513" s="102">
        <f ca="1">VLOOKUP($B512,INDIRECT(VLOOKUP($E$7,$M$2:$N$20,2,FALSE)),5,FALSE)</f>
        <v>0</v>
      </c>
      <c r="I513" s="97"/>
      <c r="J513" s="103" t="s">
        <v>29</v>
      </c>
      <c r="K513" s="101" t="str">
        <f ca="1">VLOOKUP($B512,INDIRECT(VLOOKUP($E$7,$M$2:$N$20,2,FALSE)),30,FALSE)</f>
        <v>Male</v>
      </c>
      <c r="L513" s="1"/>
      <c r="M513" s="86"/>
      <c r="N513" s="88"/>
    </row>
    <row r="514" spans="1:14" s="2" customFormat="1" x14ac:dyDescent="0.3">
      <c r="A514" s="123" t="s">
        <v>20</v>
      </c>
      <c r="B514" s="124" t="str">
        <f ca="1">VLOOKUP($B512,Salary_Master_2,5,FALSE)</f>
        <v>Sales</v>
      </c>
      <c r="C514" s="124"/>
      <c r="D514" s="103" t="s">
        <v>71</v>
      </c>
      <c r="E514" s="337" t="str">
        <f ca="1">VLOOKUP($B512,Salary_Master_2,10,FALSE)</f>
        <v>NA</v>
      </c>
      <c r="F514" s="337"/>
      <c r="G514" s="97" t="s">
        <v>26</v>
      </c>
      <c r="H514" s="102">
        <f ca="1">VLOOKUP($B512,INDIRECT(VLOOKUP($E$7,$M$2:$N$20,2,FALSE)),6,FALSE)</f>
        <v>0</v>
      </c>
      <c r="I514" s="97"/>
      <c r="J514" s="103" t="s">
        <v>30</v>
      </c>
      <c r="K514" s="101">
        <f ca="1">VLOOKUP($B512,INDIRECT(VLOOKUP($E$7,$M$2:$N$20,2,FALSE)),31,FALSE)</f>
        <v>1.5</v>
      </c>
      <c r="L514" s="1"/>
      <c r="M514" s="86"/>
      <c r="N514" s="88"/>
    </row>
    <row r="515" spans="1:14" s="2" customFormat="1" x14ac:dyDescent="0.3">
      <c r="A515" s="123" t="s">
        <v>69</v>
      </c>
      <c r="B515" s="124" t="str">
        <f ca="1">VLOOKUP($B512,Salary_Master_2,6,FALSE)</f>
        <v>HO</v>
      </c>
      <c r="C515" s="124"/>
      <c r="D515" s="104"/>
      <c r="E515" s="105"/>
      <c r="F515" s="105"/>
      <c r="G515" s="97" t="s">
        <v>23</v>
      </c>
      <c r="H515" s="102">
        <f ca="1">VLOOKUP($B512,INDIRECT(VLOOKUP($E$7,$M$2:$N$20,2,FALSE)),8,FALSE)</f>
        <v>0</v>
      </c>
      <c r="I515" s="97"/>
      <c r="J515" s="125"/>
      <c r="K515" s="101"/>
      <c r="L515" s="1"/>
      <c r="M515" s="86"/>
      <c r="N515" s="88"/>
    </row>
    <row r="516" spans="1:14" s="2" customFormat="1" x14ac:dyDescent="0.3">
      <c r="A516" s="123" t="s">
        <v>32</v>
      </c>
      <c r="B516" s="106">
        <f ca="1">VLOOKUP($B512,Salary_Master_2,7,FALSE)</f>
        <v>44175</v>
      </c>
      <c r="C516" s="106"/>
      <c r="D516" s="104"/>
      <c r="E516" s="105"/>
      <c r="F516" s="105"/>
      <c r="G516" s="97" t="s">
        <v>31</v>
      </c>
      <c r="H516" s="102">
        <f ca="1">VLOOKUP($B512,INDIRECT(VLOOKUP($E$7,$M$2:$N$20,2,FALSE)),9,FALSE)</f>
        <v>1</v>
      </c>
      <c r="I516" s="107"/>
      <c r="J516" s="107"/>
      <c r="K516" s="101"/>
      <c r="L516" s="1"/>
      <c r="M516" s="86"/>
      <c r="N516" s="88"/>
    </row>
    <row r="517" spans="1:14" s="2" customFormat="1" ht="3" customHeight="1" x14ac:dyDescent="0.3">
      <c r="A517" s="108"/>
      <c r="B517" s="109"/>
      <c r="C517" s="109"/>
      <c r="D517" s="109"/>
      <c r="E517" s="110"/>
      <c r="F517" s="110"/>
      <c r="G517" s="109"/>
      <c r="H517" s="109"/>
      <c r="I517" s="111"/>
      <c r="J517" s="111"/>
      <c r="K517" s="112"/>
      <c r="L517" s="1"/>
      <c r="M517" s="88"/>
      <c r="N517" s="88"/>
    </row>
    <row r="518" spans="1:14" s="2" customFormat="1" ht="3" customHeight="1" x14ac:dyDescent="0.3">
      <c r="A518" s="123"/>
      <c r="B518" s="113"/>
      <c r="C518" s="113"/>
      <c r="D518" s="113"/>
      <c r="E518" s="124"/>
      <c r="F518" s="124"/>
      <c r="G518" s="113"/>
      <c r="H518" s="113"/>
      <c r="I518" s="114"/>
      <c r="J518" s="114"/>
      <c r="K518" s="115"/>
      <c r="L518" s="1"/>
      <c r="M518" s="88"/>
      <c r="N518" s="88"/>
    </row>
    <row r="519" spans="1:14" s="1" customFormat="1" ht="3" customHeight="1" x14ac:dyDescent="0.3">
      <c r="A519" s="116"/>
      <c r="B519" s="117"/>
      <c r="C519" s="117"/>
      <c r="D519" s="115"/>
      <c r="E519" s="118"/>
      <c r="F519" s="118"/>
      <c r="G519" s="117"/>
      <c r="H519" s="117"/>
      <c r="I519" s="119"/>
      <c r="J519" s="119"/>
      <c r="K519" s="115"/>
      <c r="M519" s="88"/>
      <c r="N519" s="88"/>
    </row>
    <row r="520" spans="1:14" s="1" customFormat="1" ht="12" customHeight="1" x14ac:dyDescent="0.3">
      <c r="A520" s="120" t="s">
        <v>4</v>
      </c>
      <c r="B520" s="113"/>
      <c r="C520" s="113"/>
      <c r="D520" s="121" t="s">
        <v>5</v>
      </c>
      <c r="E520" s="122" t="s">
        <v>6</v>
      </c>
      <c r="F520" s="122"/>
      <c r="G520" s="113"/>
      <c r="H520" s="113"/>
      <c r="I520" s="113"/>
      <c r="J520" s="113"/>
      <c r="K520" s="121" t="s">
        <v>5</v>
      </c>
      <c r="M520" s="86"/>
      <c r="N520" s="88"/>
    </row>
    <row r="521" spans="1:14" s="1" customFormat="1" ht="3" customHeight="1" x14ac:dyDescent="0.3">
      <c r="A521" s="108"/>
      <c r="B521" s="109"/>
      <c r="C521" s="109"/>
      <c r="D521" s="112"/>
      <c r="E521" s="110"/>
      <c r="F521" s="110"/>
      <c r="G521" s="109"/>
      <c r="H521" s="109"/>
      <c r="I521" s="111"/>
      <c r="J521" s="111"/>
      <c r="K521" s="112"/>
      <c r="M521" s="88"/>
      <c r="N521" s="88"/>
    </row>
    <row r="522" spans="1:14" s="1" customFormat="1" ht="3" customHeight="1" x14ac:dyDescent="0.3">
      <c r="A522" s="123"/>
      <c r="B522" s="113"/>
      <c r="C522" s="113"/>
      <c r="D522" s="101"/>
      <c r="E522" s="124"/>
      <c r="F522" s="124"/>
      <c r="G522" s="113"/>
      <c r="H522" s="113"/>
      <c r="I522" s="114"/>
      <c r="J522" s="114"/>
      <c r="K522" s="101"/>
      <c r="M522" s="88"/>
      <c r="N522" s="88"/>
    </row>
    <row r="523" spans="1:14" s="1" customFormat="1" ht="12" customHeight="1" x14ac:dyDescent="0.3">
      <c r="A523" s="324" t="s">
        <v>7</v>
      </c>
      <c r="B523" s="325"/>
      <c r="C523" s="326">
        <f ca="1">VLOOKUP($B512,INDIRECT(VLOOKUP($E511,$M$2:$N$20,2,FALSE)),13,FALSE)</f>
        <v>16500</v>
      </c>
      <c r="D523" s="327"/>
      <c r="E523" s="324" t="s">
        <v>8</v>
      </c>
      <c r="F523" s="325"/>
      <c r="G523" s="325"/>
      <c r="H523" s="325"/>
      <c r="I523" s="325"/>
      <c r="J523" s="326">
        <f ca="1">VLOOKUP($B512,INDIRECT(VLOOKUP($E511,$M$2:$N$20,2,FALSE)),22,FALSE)</f>
        <v>0</v>
      </c>
      <c r="K523" s="327"/>
      <c r="M523" s="86"/>
      <c r="N523" s="88"/>
    </row>
    <row r="524" spans="1:14" s="1" customFormat="1" ht="12" customHeight="1" x14ac:dyDescent="0.3">
      <c r="A524" s="324" t="s">
        <v>9</v>
      </c>
      <c r="B524" s="325"/>
      <c r="C524" s="326">
        <f ca="1">VLOOKUP($B512,INDIRECT(VLOOKUP($E511,$M$2:$N$20,2,FALSE)),14,FALSE)</f>
        <v>6600</v>
      </c>
      <c r="D524" s="327"/>
      <c r="E524" s="324" t="s">
        <v>94</v>
      </c>
      <c r="F524" s="325"/>
      <c r="G524" s="325"/>
      <c r="H524" s="325"/>
      <c r="I524" s="325"/>
      <c r="J524" s="326">
        <f ca="1">VLOOKUP($B512,INDIRECT(VLOOKUP($E511,$M$2:$N$20,2,FALSE)),23,FALSE)</f>
        <v>0</v>
      </c>
      <c r="K524" s="327"/>
      <c r="M524" s="86"/>
      <c r="N524" s="88"/>
    </row>
    <row r="525" spans="1:14" s="1" customFormat="1" ht="12" customHeight="1" x14ac:dyDescent="0.3">
      <c r="A525" s="324" t="s">
        <v>11</v>
      </c>
      <c r="B525" s="325"/>
      <c r="C525" s="326">
        <f ca="1">VLOOKUP($B512,INDIRECT(VLOOKUP($E511,$M$2:$N$20,2,FALSE)),15,FALSE)</f>
        <v>1600</v>
      </c>
      <c r="D525" s="327"/>
      <c r="E525" s="324" t="s">
        <v>10</v>
      </c>
      <c r="F525" s="325"/>
      <c r="G525" s="325"/>
      <c r="H525" s="325"/>
      <c r="I525" s="325"/>
      <c r="J525" s="326">
        <f ca="1">VLOOKUP($B512,INDIRECT(VLOOKUP($E511,$M$2:$N$20,2,FALSE)),24,FALSE)</f>
        <v>0</v>
      </c>
      <c r="K525" s="327"/>
      <c r="M525" s="87"/>
      <c r="N525" s="86"/>
    </row>
    <row r="526" spans="1:14" s="1" customFormat="1" ht="12" customHeight="1" x14ac:dyDescent="0.3">
      <c r="A526" s="324" t="s">
        <v>3</v>
      </c>
      <c r="B526" s="325"/>
      <c r="C526" s="326">
        <f ca="1">VLOOKUP($B512,INDIRECT(VLOOKUP($E511,$M$2:$N$20,2,FALSE)),16,FALSE)</f>
        <v>1375</v>
      </c>
      <c r="D526" s="327"/>
      <c r="E526" s="324" t="s">
        <v>93</v>
      </c>
      <c r="F526" s="325"/>
      <c r="G526" s="325"/>
      <c r="H526" s="325"/>
      <c r="I526" s="325"/>
      <c r="J526" s="326">
        <f ca="1">VLOOKUP($B512,INDIRECT(VLOOKUP($E511,$M$2:$N$20,2,FALSE)),25,FALSE)</f>
        <v>0</v>
      </c>
      <c r="K526" s="327"/>
      <c r="M526" s="87"/>
      <c r="N526" s="89"/>
    </row>
    <row r="527" spans="1:14" s="1" customFormat="1" ht="12" customHeight="1" x14ac:dyDescent="0.3">
      <c r="A527" s="324" t="s">
        <v>13</v>
      </c>
      <c r="B527" s="325"/>
      <c r="C527" s="326">
        <f ca="1">VLOOKUP($B512,INDIRECT(VLOOKUP($E511,$M$2:$N$20,2,FALSE)),17,FALSE)</f>
        <v>34925</v>
      </c>
      <c r="D527" s="327"/>
      <c r="E527" s="324" t="s">
        <v>12</v>
      </c>
      <c r="F527" s="325"/>
      <c r="G527" s="325"/>
      <c r="H527" s="325"/>
      <c r="I527" s="325"/>
      <c r="J527" s="326">
        <f ca="1">VLOOKUP($B512,INDIRECT(VLOOKUP($E511,$M$2:$N$20,2,FALSE)),26,FALSE)</f>
        <v>200</v>
      </c>
      <c r="K527" s="327"/>
      <c r="M527" s="88" t="s">
        <v>73</v>
      </c>
      <c r="N527" s="88" t="str">
        <f ca="1">IF(VLOOKUP($B512,INDIRECT(VLOOKUP($E511,$M$2:$N$20,2,FALSE)),38,FALSE)&gt;0,"Yes","No")</f>
        <v>Yes</v>
      </c>
    </row>
    <row r="528" spans="1:14" s="1" customFormat="1" ht="12" customHeight="1" x14ac:dyDescent="0.3">
      <c r="A528" s="324" t="str">
        <f ca="1">IF($J524&gt;0,"Other Allowance",IF(VLOOKUP($B512,INDIRECT(VLOOKUP($E511,$M$2:$N$20,2,FALSE)),44,FALSE)=0,"",IF($E511=DATE(2025,6,1),"Arrears of Apr &amp; May-2025","")))</f>
        <v>Arrears of Apr &amp; May-2025</v>
      </c>
      <c r="B528" s="325"/>
      <c r="C528" s="326" cm="1">
        <f t="array" aca="1" ref="C528" ca="1">_xlfn.IFS($A528="","",$A528="Other Allowance",VLOOKUP($B512,INDIRECT(VLOOKUP($E511,$M$2:$N$20,2,FALSE)),18,FALSE),$A528="Arrears of Apr &amp; May-2025",VLOOKUP($B512,INDIRECT(VLOOKUP($E511,$M$2:$N$20,2,FALSE)),44,FALSE))</f>
        <v>6000</v>
      </c>
      <c r="D528" s="327"/>
      <c r="E528" s="324" t="str" cm="1">
        <f t="array" aca="1" ref="E528" ca="1">_xlfn.IFS(N527="Yes",M527,N528="Yes",M528,TRUE,"")</f>
        <v>Advance/Loan</v>
      </c>
      <c r="F528" s="325"/>
      <c r="G528" s="325"/>
      <c r="H528" s="325"/>
      <c r="I528" s="325"/>
      <c r="J528" s="335" cm="1">
        <f t="array" aca="1" ref="J528" ca="1">IF(E528="","",_xlfn.IFS(N527="Yes",VLOOKUP($B512,INDIRECT(VLOOKUP($E511,$M$2:$N$20,2,FALSE)),27,FALSE),N528="Yes",VLOOKUP($B512,INDIRECT(VLOOKUP($E511,$M$2:$N$20,2,FALSE)),28,FALSE)))</f>
        <v>30000</v>
      </c>
      <c r="K528" s="336"/>
      <c r="M528" s="88" t="s">
        <v>14</v>
      </c>
      <c r="N528" s="88" t="str">
        <f ca="1">IF(VLOOKUP($B512,INDIRECT(VLOOKUP($E$7,$M$2:$N$20,2,FALSE)),39,FALSE)&gt;0,"Yes","No")</f>
        <v>No</v>
      </c>
    </row>
    <row r="529" spans="1:14" s="1" customFormat="1" ht="12" customHeight="1" x14ac:dyDescent="0.3">
      <c r="A529" s="324" t="str" cm="1">
        <f t="array" aca="1" ref="A529" ca="1">_xlfn.IFS($A528="","",$A528="Other Allowance","EPF",$A528="Arrears of Apr &amp; May-2025","",VLOOKUP($B512,INDIRECT(VLOOKUP($E511,$M$2:$N$20,2,FALSE)),44,FALSE)=0,"",$E511=DATE(2025,6,1),"Arrears of Apr &amp; May-2025")</f>
        <v/>
      </c>
      <c r="B529" s="325"/>
      <c r="C529" s="326" t="str" cm="1">
        <f t="array" aca="1" ref="C529" ca="1">_xlfn.IFS($A529="","",$A529="EPF",VLOOKUP($B512,INDIRECT(VLOOKUP($E511,$M$2:$N$20,2,FALSE)),19,FALSE),$A529="Arrears of Apr &amp; May-2025",VLOOKUP($B512,INDIRECT(VLOOKUP($E511,$M$2:$N$20,2,FALSE)),44,FALSE))</f>
        <v/>
      </c>
      <c r="D529" s="327"/>
      <c r="E529" s="324" t="str" cm="1">
        <f t="array" aca="1" ref="E529" ca="1">_xlfn.IFS(N528="No","",N527="Yes",M528,TRUE,"")</f>
        <v/>
      </c>
      <c r="F529" s="325"/>
      <c r="G529" s="325"/>
      <c r="H529" s="325"/>
      <c r="I529" s="325"/>
      <c r="J529" s="335" t="str">
        <f ca="1">IF(E529="","",VLOOKUP($B512,INDIRECT(VLOOKUP($E511,$M$2:$N$20,2,FALSE)),28,FALSE))</f>
        <v/>
      </c>
      <c r="K529" s="336"/>
      <c r="M529" s="130"/>
      <c r="N529" s="88"/>
    </row>
    <row r="530" spans="1:14" s="1" customFormat="1" ht="12" customHeight="1" x14ac:dyDescent="0.3">
      <c r="A530" s="324" t="str">
        <f ca="1">IF($J526&gt;0,"ESIC (Employer)",IF($A529="","",IF(VLOOKUP($B512,INDIRECT(VLOOKUP($E511,$M$2:$N$20,2,FALSE)),44,FALSE)="","",IF($E511=DATE(2025,6,1),"Arrears of Apr &amp; May-2025",""))))</f>
        <v/>
      </c>
      <c r="B530" s="325"/>
      <c r="C530" s="326" t="str" cm="1">
        <f t="array" aca="1" ref="C530" ca="1">_xlfn.IFS($A530="","",$A530="ESIC (Employer)",VLOOKUP($B512,INDIRECT(VLOOKUP($E511,$M$2:$N$20,2,FALSE)),20,FALSE),$A530="Arrears of Apr &amp; May-2025",VLOOKUP($B512,INDIRECT(VLOOKUP($E511,$M$2:$N$20,2,FALSE)),44,FALSE))</f>
        <v/>
      </c>
      <c r="D530" s="327"/>
      <c r="E530" s="324"/>
      <c r="F530" s="325"/>
      <c r="G530" s="325"/>
      <c r="H530" s="325"/>
      <c r="I530" s="325"/>
      <c r="J530" s="335"/>
      <c r="K530" s="336"/>
      <c r="M530" s="88"/>
      <c r="N530" s="88"/>
    </row>
    <row r="531" spans="1:14" s="1" customFormat="1" ht="12" customHeight="1" x14ac:dyDescent="0.3">
      <c r="A531" s="324" t="str">
        <f ca="1">IF($A530="","",IF(VLOOKUP($B512,INDIRECT(VLOOKUP($E511,$M$2:$N$20,2,FALSE)),44,FALSE)=0,"",IF($A530="Arrears of Apr &amp; May-2025","",IF($E511=DATE(2025,6,1),"Arrears of Apr &amp; May-2025",""))))</f>
        <v/>
      </c>
      <c r="B531" s="325"/>
      <c r="C531" s="326" t="str" cm="1">
        <f t="array" aca="1" ref="C531" ca="1">_xlfn.IFS($A531="","",$A531="Arrears of Apr &amp; May-2025",VLOOKUP($B512,INDIRECT(VLOOKUP($E511,$M$2:$N$20,2,FALSE)),44,FALSE))</f>
        <v/>
      </c>
      <c r="D531" s="327"/>
      <c r="E531" s="324"/>
      <c r="F531" s="325"/>
      <c r="G531" s="325"/>
      <c r="H531" s="325"/>
      <c r="I531" s="325"/>
      <c r="J531" s="335"/>
      <c r="K531" s="336"/>
      <c r="M531" s="88"/>
      <c r="N531" s="88"/>
    </row>
    <row r="532" spans="1:14" s="1" customFormat="1" ht="12" customHeight="1" x14ac:dyDescent="0.3">
      <c r="A532" s="324"/>
      <c r="B532" s="325"/>
      <c r="C532" s="326"/>
      <c r="D532" s="327"/>
      <c r="E532" s="124"/>
      <c r="F532" s="124"/>
      <c r="G532" s="124"/>
      <c r="H532" s="124"/>
      <c r="I532" s="124"/>
      <c r="J532" s="335"/>
      <c r="K532" s="336"/>
      <c r="M532" s="88"/>
      <c r="N532" s="88"/>
    </row>
    <row r="533" spans="1:14" s="1" customFormat="1" ht="3" customHeight="1" x14ac:dyDescent="0.3">
      <c r="A533" s="108"/>
      <c r="B533" s="109"/>
      <c r="C533" s="109"/>
      <c r="D533" s="112"/>
      <c r="E533" s="110"/>
      <c r="F533" s="110"/>
      <c r="G533" s="109"/>
      <c r="H533" s="109"/>
      <c r="I533" s="111"/>
      <c r="J533" s="111"/>
      <c r="K533" s="112"/>
      <c r="M533" s="88"/>
      <c r="N533" s="88"/>
    </row>
    <row r="534" spans="1:14" s="1" customFormat="1" ht="3" customHeight="1" x14ac:dyDescent="0.3">
      <c r="A534" s="123"/>
      <c r="B534" s="113"/>
      <c r="C534" s="113"/>
      <c r="D534" s="101"/>
      <c r="E534" s="124"/>
      <c r="F534" s="124"/>
      <c r="G534" s="113"/>
      <c r="H534" s="113"/>
      <c r="I534" s="114"/>
      <c r="J534" s="114"/>
      <c r="K534" s="101"/>
      <c r="M534" s="88"/>
      <c r="N534" s="88"/>
    </row>
    <row r="535" spans="1:14" s="4" customFormat="1" ht="19.95" customHeight="1" x14ac:dyDescent="0.3">
      <c r="A535" s="328" t="s">
        <v>15</v>
      </c>
      <c r="B535" s="329"/>
      <c r="C535" s="330">
        <f ca="1">SUM(C523:D534)</f>
        <v>67000</v>
      </c>
      <c r="D535" s="331"/>
      <c r="E535" s="328" t="s">
        <v>16</v>
      </c>
      <c r="F535" s="329"/>
      <c r="G535" s="329"/>
      <c r="H535" s="329"/>
      <c r="I535" s="329"/>
      <c r="J535" s="330">
        <f ca="1">SUM(J523:K531)</f>
        <v>30200</v>
      </c>
      <c r="K535" s="331"/>
      <c r="M535" s="129"/>
      <c r="N535" s="90"/>
    </row>
    <row r="536" spans="1:14" s="1" customFormat="1" ht="3" customHeight="1" x14ac:dyDescent="0.3">
      <c r="A536" s="108"/>
      <c r="B536" s="109"/>
      <c r="C536" s="109"/>
      <c r="D536" s="112"/>
      <c r="E536" s="110"/>
      <c r="F536" s="110"/>
      <c r="G536" s="109"/>
      <c r="H536" s="109"/>
      <c r="I536" s="111"/>
      <c r="J536" s="111"/>
      <c r="K536" s="112"/>
      <c r="M536" s="88"/>
      <c r="N536" s="88"/>
    </row>
    <row r="537" spans="1:14" s="1" customFormat="1" ht="3" customHeight="1" x14ac:dyDescent="0.3">
      <c r="A537" s="123"/>
      <c r="B537" s="113"/>
      <c r="C537" s="113"/>
      <c r="D537" s="117"/>
      <c r="E537" s="118"/>
      <c r="F537" s="124"/>
      <c r="G537" s="113"/>
      <c r="H537" s="126"/>
      <c r="I537" s="119"/>
      <c r="J537" s="119"/>
      <c r="K537" s="115"/>
      <c r="M537" s="88"/>
      <c r="N537" s="88"/>
    </row>
    <row r="538" spans="1:14" s="5" customFormat="1" ht="19.95" customHeight="1" x14ac:dyDescent="0.3">
      <c r="A538" s="328" t="str" cm="1">
        <f t="array" aca="1" ref="A538" ca="1">mgm(J538)</f>
        <v>Rupees Thirty Six Thousand Eight Hundred Only</v>
      </c>
      <c r="B538" s="329"/>
      <c r="C538" s="329"/>
      <c r="D538" s="329"/>
      <c r="E538" s="329"/>
      <c r="F538" s="329"/>
      <c r="G538" s="332"/>
      <c r="H538" s="333" t="s">
        <v>17</v>
      </c>
      <c r="I538" s="334"/>
      <c r="J538" s="330">
        <f ca="1">C535-J535</f>
        <v>36800</v>
      </c>
      <c r="K538" s="331"/>
      <c r="L538" s="205"/>
      <c r="M538" s="90"/>
      <c r="N538" s="90"/>
    </row>
    <row r="539" spans="1:14" s="1" customFormat="1" ht="3" customHeight="1" x14ac:dyDescent="0.3">
      <c r="A539" s="108"/>
      <c r="B539" s="109"/>
      <c r="C539" s="109"/>
      <c r="D539" s="109"/>
      <c r="E539" s="110"/>
      <c r="F539" s="110"/>
      <c r="G539" s="109"/>
      <c r="H539" s="127"/>
      <c r="I539" s="111"/>
      <c r="J539" s="111"/>
      <c r="K539" s="112"/>
      <c r="M539" s="88"/>
      <c r="N539" s="88"/>
    </row>
    <row r="540" spans="1:14" s="1" customFormat="1" ht="19.95" customHeight="1" x14ac:dyDescent="0.3">
      <c r="A540" s="323" t="s">
        <v>18</v>
      </c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M540" s="88"/>
      <c r="N540" s="88"/>
    </row>
    <row r="541" spans="1:14" s="132" customFormat="1" ht="60" customHeight="1" x14ac:dyDescent="0.3">
      <c r="A541" s="181"/>
      <c r="E541" s="181"/>
      <c r="F541" s="181"/>
    </row>
    <row r="542" spans="1:14" s="2" customFormat="1" ht="19.95" customHeight="1" x14ac:dyDescent="0.3">
      <c r="A542" s="338" t="s">
        <v>107</v>
      </c>
      <c r="B542" s="339"/>
      <c r="C542" s="339"/>
      <c r="D542" s="339"/>
      <c r="E542" s="339"/>
      <c r="F542" s="339"/>
      <c r="G542" s="339"/>
      <c r="H542" s="339"/>
      <c r="I542" s="339"/>
      <c r="J542" s="339"/>
      <c r="K542" s="340"/>
      <c r="L542" s="1"/>
      <c r="M542" s="86"/>
      <c r="N542" s="87"/>
    </row>
    <row r="543" spans="1:14" s="2" customFormat="1" ht="15" customHeight="1" x14ac:dyDescent="0.3">
      <c r="A543" s="341" t="s">
        <v>180</v>
      </c>
      <c r="B543" s="342"/>
      <c r="C543" s="342"/>
      <c r="D543" s="342"/>
      <c r="E543" s="342"/>
      <c r="F543" s="342"/>
      <c r="G543" s="342"/>
      <c r="H543" s="342"/>
      <c r="I543" s="342"/>
      <c r="J543" s="342"/>
      <c r="K543" s="343"/>
      <c r="L543" s="1"/>
      <c r="M543" s="86"/>
      <c r="N543" s="88"/>
    </row>
    <row r="544" spans="1:14" s="2" customFormat="1" ht="15" customHeight="1" x14ac:dyDescent="0.3">
      <c r="A544" s="344" t="s">
        <v>72</v>
      </c>
      <c r="B544" s="345"/>
      <c r="C544" s="345"/>
      <c r="D544" s="345"/>
      <c r="E544" s="345"/>
      <c r="F544" s="345"/>
      <c r="G544" s="345"/>
      <c r="H544" s="345"/>
      <c r="I544" s="345"/>
      <c r="J544" s="345"/>
      <c r="K544" s="346"/>
      <c r="L544" s="1"/>
      <c r="M544" s="86"/>
      <c r="N544" s="88"/>
    </row>
    <row r="545" spans="1:14" s="2" customFormat="1" ht="4.95" customHeight="1" x14ac:dyDescent="0.3">
      <c r="A545" s="92"/>
      <c r="B545" s="347"/>
      <c r="C545" s="347"/>
      <c r="D545" s="347"/>
      <c r="E545" s="347"/>
      <c r="F545" s="347"/>
      <c r="G545" s="347"/>
      <c r="H545" s="347"/>
      <c r="I545" s="347"/>
      <c r="J545" s="347"/>
      <c r="K545" s="348"/>
      <c r="L545" s="1"/>
      <c r="M545" s="88"/>
      <c r="N545" s="88"/>
    </row>
    <row r="546" spans="1:14" s="2" customFormat="1" ht="3" customHeight="1" x14ac:dyDescent="0.3">
      <c r="A546" s="93"/>
      <c r="B546" s="94"/>
      <c r="C546" s="94"/>
      <c r="D546" s="94"/>
      <c r="E546" s="95"/>
      <c r="F546" s="95"/>
      <c r="G546" s="94"/>
      <c r="H546" s="94"/>
      <c r="I546" s="94"/>
      <c r="J546" s="94"/>
      <c r="K546" s="96"/>
      <c r="L546" s="1"/>
      <c r="M546" s="88"/>
      <c r="N546" s="88"/>
    </row>
    <row r="547" spans="1:14" s="2" customFormat="1" x14ac:dyDescent="0.3">
      <c r="A547" s="123" t="s">
        <v>68</v>
      </c>
      <c r="B547" s="124" t="str">
        <f ca="1">VLOOKUP($B548,Salary_Master_2,3,FALSE)</f>
        <v>EW055</v>
      </c>
      <c r="C547" s="349" t="s">
        <v>21</v>
      </c>
      <c r="D547" s="349"/>
      <c r="E547" s="350">
        <f>IF($E$1="","",$E$1)</f>
        <v>45809</v>
      </c>
      <c r="F547" s="350"/>
      <c r="G547" s="97" t="s">
        <v>22</v>
      </c>
      <c r="H547" s="98">
        <f ca="1">VLOOKUP($B548,INDIRECT(VLOOKUP($E$7,$M$2:$N$20,2,FALSE)),3,FALSE)</f>
        <v>29.5</v>
      </c>
      <c r="I547" s="99"/>
      <c r="J547" s="100" t="s">
        <v>27</v>
      </c>
      <c r="K547" s="101"/>
      <c r="L547" s="1"/>
      <c r="M547" s="86"/>
      <c r="N547" s="88"/>
    </row>
    <row r="548" spans="1:14" s="2" customFormat="1" x14ac:dyDescent="0.3">
      <c r="A548" s="123" t="s">
        <v>19</v>
      </c>
      <c r="B548" s="124" t="str">
        <f ca="1">IF(Salary_Master_2!$B$20="","",VLOOKUP(Salary_Master_2!$B$20,INDIRECT(VLOOKUP($E547,$M$2:$N$20,2,FALSE)),1,FALSE))</f>
        <v>Mayur Bhoir</v>
      </c>
      <c r="C548" s="351" t="s">
        <v>1</v>
      </c>
      <c r="D548" s="351"/>
      <c r="E548" s="352">
        <f ca="1">SUM($H547:$H550)</f>
        <v>31</v>
      </c>
      <c r="F548" s="352"/>
      <c r="G548" s="97" t="s">
        <v>24</v>
      </c>
      <c r="H548" s="102">
        <f ca="1">VLOOKUP($B548,INDIRECT(VLOOKUP($E$7,$M$2:$N$20,2,FALSE)),4,FALSE)</f>
        <v>1.5</v>
      </c>
      <c r="I548" s="100"/>
      <c r="J548" s="103" t="s">
        <v>28</v>
      </c>
      <c r="K548" s="101">
        <f ca="1">VLOOKUP($B548,INDIRECT(VLOOKUP($E$7,$M$2:$N$20,2,FALSE)),29,FALSE)</f>
        <v>24000</v>
      </c>
      <c r="L548" s="1"/>
      <c r="M548" s="86"/>
      <c r="N548" s="88"/>
    </row>
    <row r="549" spans="1:14" s="2" customFormat="1" x14ac:dyDescent="0.3">
      <c r="A549" s="123" t="s">
        <v>0</v>
      </c>
      <c r="B549" s="124" t="str">
        <f ca="1">VLOOKUP($B548,Salary_Master_2,4,FALSE)</f>
        <v>PCB Assembler</v>
      </c>
      <c r="C549" s="124"/>
      <c r="D549" s="103" t="s">
        <v>70</v>
      </c>
      <c r="E549" s="337">
        <f ca="1">VLOOKUP($B548,Salary_Master_2,9,FALSE)</f>
        <v>101276272048</v>
      </c>
      <c r="F549" s="337"/>
      <c r="G549" s="97" t="s">
        <v>25</v>
      </c>
      <c r="H549" s="102">
        <f ca="1">VLOOKUP($B548,INDIRECT(VLOOKUP($E$7,$M$2:$N$20,2,FALSE)),5,FALSE)</f>
        <v>0</v>
      </c>
      <c r="I549" s="97"/>
      <c r="J549" s="103" t="s">
        <v>29</v>
      </c>
      <c r="K549" s="101" t="str">
        <f ca="1">VLOOKUP($B548,INDIRECT(VLOOKUP($E$7,$M$2:$N$20,2,FALSE)),30,FALSE)</f>
        <v>Male</v>
      </c>
      <c r="L549" s="1"/>
      <c r="M549" s="86"/>
      <c r="N549" s="88"/>
    </row>
    <row r="550" spans="1:14" s="2" customFormat="1" x14ac:dyDescent="0.3">
      <c r="A550" s="123" t="s">
        <v>20</v>
      </c>
      <c r="B550" s="124" t="str">
        <f ca="1">VLOOKUP($B548,Salary_Master_2,5,FALSE)</f>
        <v>Production</v>
      </c>
      <c r="C550" s="124"/>
      <c r="D550" s="103" t="s">
        <v>71</v>
      </c>
      <c r="E550" s="337">
        <f ca="1">VLOOKUP($B548,Salary_Master_2,10,FALSE)</f>
        <v>3517199097</v>
      </c>
      <c r="F550" s="337"/>
      <c r="G550" s="97" t="s">
        <v>26</v>
      </c>
      <c r="H550" s="102">
        <f ca="1">VLOOKUP($B548,INDIRECT(VLOOKUP($E$7,$M$2:$N$20,2,FALSE)),6,FALSE)</f>
        <v>0</v>
      </c>
      <c r="I550" s="97"/>
      <c r="J550" s="103" t="s">
        <v>30</v>
      </c>
      <c r="K550" s="101">
        <f ca="1">VLOOKUP($B548,INDIRECT(VLOOKUP($E$7,$M$2:$N$20,2,FALSE)),31,FALSE)</f>
        <v>3</v>
      </c>
      <c r="L550" s="1"/>
      <c r="M550" s="86"/>
      <c r="N550" s="88"/>
    </row>
    <row r="551" spans="1:14" s="2" customFormat="1" x14ac:dyDescent="0.3">
      <c r="A551" s="123" t="s">
        <v>69</v>
      </c>
      <c r="B551" s="124" t="str">
        <f ca="1">VLOOKUP($B548,Salary_Master_2,6,FALSE)</f>
        <v>Ansa Factory</v>
      </c>
      <c r="C551" s="124"/>
      <c r="D551" s="104"/>
      <c r="E551" s="105"/>
      <c r="F551" s="105"/>
      <c r="G551" s="97" t="s">
        <v>23</v>
      </c>
      <c r="H551" s="102">
        <f ca="1">VLOOKUP($B548,INDIRECT(VLOOKUP($E$7,$M$2:$N$20,2,FALSE)),8,FALSE)</f>
        <v>0</v>
      </c>
      <c r="I551" s="97"/>
      <c r="J551" s="125"/>
      <c r="K551" s="101"/>
      <c r="L551" s="1"/>
      <c r="M551" s="86"/>
      <c r="N551" s="88"/>
    </row>
    <row r="552" spans="1:14" s="2" customFormat="1" x14ac:dyDescent="0.3">
      <c r="A552" s="123" t="s">
        <v>32</v>
      </c>
      <c r="B552" s="106">
        <f ca="1">VLOOKUP($B548,Salary_Master_2,7,FALSE)</f>
        <v>44440</v>
      </c>
      <c r="C552" s="106"/>
      <c r="D552" s="104"/>
      <c r="E552" s="105"/>
      <c r="F552" s="105"/>
      <c r="G552" s="97" t="s">
        <v>31</v>
      </c>
      <c r="H552" s="102">
        <f ca="1">VLOOKUP($B548,INDIRECT(VLOOKUP($E$7,$M$2:$N$20,2,FALSE)),9,FALSE)</f>
        <v>5</v>
      </c>
      <c r="I552" s="107"/>
      <c r="J552" s="107"/>
      <c r="K552" s="101"/>
      <c r="L552" s="1"/>
      <c r="M552" s="86"/>
      <c r="N552" s="88"/>
    </row>
    <row r="553" spans="1:14" s="2" customFormat="1" ht="3" customHeight="1" x14ac:dyDescent="0.3">
      <c r="A553" s="108"/>
      <c r="B553" s="109"/>
      <c r="C553" s="109"/>
      <c r="D553" s="109"/>
      <c r="E553" s="110"/>
      <c r="F553" s="110"/>
      <c r="G553" s="109"/>
      <c r="H553" s="109"/>
      <c r="I553" s="111"/>
      <c r="J553" s="111"/>
      <c r="K553" s="112"/>
      <c r="L553" s="1"/>
      <c r="M553" s="88"/>
      <c r="N553" s="88"/>
    </row>
    <row r="554" spans="1:14" s="2" customFormat="1" ht="3" customHeight="1" x14ac:dyDescent="0.3">
      <c r="A554" s="123"/>
      <c r="B554" s="113"/>
      <c r="C554" s="113"/>
      <c r="D554" s="113"/>
      <c r="E554" s="124"/>
      <c r="F554" s="124"/>
      <c r="G554" s="113"/>
      <c r="H554" s="113"/>
      <c r="I554" s="114"/>
      <c r="J554" s="114"/>
      <c r="K554" s="115"/>
      <c r="L554" s="1"/>
      <c r="M554" s="88"/>
      <c r="N554" s="88"/>
    </row>
    <row r="555" spans="1:14" s="1" customFormat="1" ht="3" customHeight="1" x14ac:dyDescent="0.3">
      <c r="A555" s="116"/>
      <c r="B555" s="117"/>
      <c r="C555" s="117"/>
      <c r="D555" s="115"/>
      <c r="E555" s="118"/>
      <c r="F555" s="118"/>
      <c r="G555" s="117"/>
      <c r="H555" s="117"/>
      <c r="I555" s="119"/>
      <c r="J555" s="119"/>
      <c r="K555" s="115"/>
      <c r="M555" s="88"/>
      <c r="N555" s="88"/>
    </row>
    <row r="556" spans="1:14" s="1" customFormat="1" ht="12" customHeight="1" x14ac:dyDescent="0.3">
      <c r="A556" s="120" t="s">
        <v>4</v>
      </c>
      <c r="B556" s="113"/>
      <c r="C556" s="113"/>
      <c r="D556" s="121" t="s">
        <v>5</v>
      </c>
      <c r="E556" s="122" t="s">
        <v>6</v>
      </c>
      <c r="F556" s="122"/>
      <c r="G556" s="113"/>
      <c r="H556" s="113"/>
      <c r="I556" s="113"/>
      <c r="J556" s="113"/>
      <c r="K556" s="121" t="s">
        <v>5</v>
      </c>
      <c r="M556" s="86"/>
      <c r="N556" s="88"/>
    </row>
    <row r="557" spans="1:14" s="1" customFormat="1" ht="3" customHeight="1" x14ac:dyDescent="0.3">
      <c r="A557" s="108"/>
      <c r="B557" s="109"/>
      <c r="C557" s="109"/>
      <c r="D557" s="112"/>
      <c r="E557" s="110"/>
      <c r="F557" s="110"/>
      <c r="G557" s="109"/>
      <c r="H557" s="109"/>
      <c r="I557" s="111"/>
      <c r="J557" s="111"/>
      <c r="K557" s="112"/>
      <c r="M557" s="88"/>
      <c r="N557" s="88"/>
    </row>
    <row r="558" spans="1:14" s="1" customFormat="1" ht="3" customHeight="1" x14ac:dyDescent="0.3">
      <c r="A558" s="123"/>
      <c r="B558" s="113"/>
      <c r="C558" s="113"/>
      <c r="D558" s="101"/>
      <c r="E558" s="124"/>
      <c r="F558" s="124"/>
      <c r="G558" s="113"/>
      <c r="H558" s="113"/>
      <c r="I558" s="114"/>
      <c r="J558" s="114"/>
      <c r="K558" s="101"/>
      <c r="M558" s="88"/>
      <c r="N558" s="88"/>
    </row>
    <row r="559" spans="1:14" s="1" customFormat="1" ht="12" customHeight="1" x14ac:dyDescent="0.3">
      <c r="A559" s="324" t="s">
        <v>7</v>
      </c>
      <c r="B559" s="325"/>
      <c r="C559" s="326">
        <f ca="1">VLOOKUP($B548,INDIRECT(VLOOKUP($E547,$M$2:$N$20,2,FALSE)),13,FALSE)</f>
        <v>10000</v>
      </c>
      <c r="D559" s="327"/>
      <c r="E559" s="324" t="s">
        <v>8</v>
      </c>
      <c r="F559" s="325"/>
      <c r="G559" s="325"/>
      <c r="H559" s="325"/>
      <c r="I559" s="325"/>
      <c r="J559" s="326">
        <f ca="1">VLOOKUP($B548,INDIRECT(VLOOKUP($E547,$M$2:$N$20,2,FALSE)),22,FALSE)</f>
        <v>1800</v>
      </c>
      <c r="K559" s="327"/>
      <c r="M559" s="86"/>
      <c r="N559" s="88"/>
    </row>
    <row r="560" spans="1:14" s="1" customFormat="1" ht="12" customHeight="1" x14ac:dyDescent="0.3">
      <c r="A560" s="324" t="s">
        <v>9</v>
      </c>
      <c r="B560" s="325"/>
      <c r="C560" s="326">
        <f ca="1">VLOOKUP($B548,INDIRECT(VLOOKUP($E547,$M$2:$N$20,2,FALSE)),14,FALSE)</f>
        <v>2000</v>
      </c>
      <c r="D560" s="327"/>
      <c r="E560" s="324" t="s">
        <v>94</v>
      </c>
      <c r="F560" s="325"/>
      <c r="G560" s="325"/>
      <c r="H560" s="325"/>
      <c r="I560" s="325"/>
      <c r="J560" s="326">
        <f ca="1">VLOOKUP($B548,INDIRECT(VLOOKUP($E547,$M$2:$N$20,2,FALSE)),23,FALSE)</f>
        <v>1800</v>
      </c>
      <c r="K560" s="327"/>
      <c r="M560" s="86"/>
      <c r="N560" s="88"/>
    </row>
    <row r="561" spans="1:14" s="1" customFormat="1" ht="12" customHeight="1" x14ac:dyDescent="0.3">
      <c r="A561" s="324" t="s">
        <v>11</v>
      </c>
      <c r="B561" s="325"/>
      <c r="C561" s="326">
        <f ca="1">VLOOKUP($B548,INDIRECT(VLOOKUP($E547,$M$2:$N$20,2,FALSE)),15,FALSE)</f>
        <v>1600</v>
      </c>
      <c r="D561" s="327"/>
      <c r="E561" s="324" t="s">
        <v>10</v>
      </c>
      <c r="F561" s="325"/>
      <c r="G561" s="325"/>
      <c r="H561" s="325"/>
      <c r="I561" s="325"/>
      <c r="J561" s="326">
        <f ca="1">VLOOKUP($B548,INDIRECT(VLOOKUP($E547,$M$2:$N$20,2,FALSE)),24,FALSE)</f>
        <v>0</v>
      </c>
      <c r="K561" s="327"/>
      <c r="M561" s="87"/>
      <c r="N561" s="86"/>
    </row>
    <row r="562" spans="1:14" s="1" customFormat="1" ht="12" customHeight="1" x14ac:dyDescent="0.3">
      <c r="A562" s="324" t="s">
        <v>3</v>
      </c>
      <c r="B562" s="325"/>
      <c r="C562" s="326">
        <f ca="1">VLOOKUP($B548,INDIRECT(VLOOKUP($E547,$M$2:$N$20,2,FALSE)),16,FALSE)</f>
        <v>833</v>
      </c>
      <c r="D562" s="327"/>
      <c r="E562" s="324" t="s">
        <v>93</v>
      </c>
      <c r="F562" s="325"/>
      <c r="G562" s="325"/>
      <c r="H562" s="325"/>
      <c r="I562" s="325"/>
      <c r="J562" s="326">
        <f ca="1">VLOOKUP($B548,INDIRECT(VLOOKUP($E547,$M$2:$N$20,2,FALSE)),25,FALSE)</f>
        <v>0</v>
      </c>
      <c r="K562" s="327"/>
      <c r="M562" s="87"/>
      <c r="N562" s="89"/>
    </row>
    <row r="563" spans="1:14" s="1" customFormat="1" ht="12" customHeight="1" x14ac:dyDescent="0.3">
      <c r="A563" s="324" t="s">
        <v>13</v>
      </c>
      <c r="B563" s="325"/>
      <c r="C563" s="326">
        <f ca="1">VLOOKUP($B548,INDIRECT(VLOOKUP($E547,$M$2:$N$20,2,FALSE)),17,FALSE)</f>
        <v>9767</v>
      </c>
      <c r="D563" s="327"/>
      <c r="E563" s="324" t="s">
        <v>12</v>
      </c>
      <c r="F563" s="325"/>
      <c r="G563" s="325"/>
      <c r="H563" s="325"/>
      <c r="I563" s="325"/>
      <c r="J563" s="326">
        <f ca="1">VLOOKUP($B548,INDIRECT(VLOOKUP($E547,$M$2:$N$20,2,FALSE)),26,FALSE)</f>
        <v>200</v>
      </c>
      <c r="K563" s="327"/>
      <c r="M563" s="88" t="s">
        <v>73</v>
      </c>
      <c r="N563" s="88" t="str">
        <f ca="1">IF(VLOOKUP($B548,INDIRECT(VLOOKUP($E547,$M$2:$N$20,2,FALSE)),38,FALSE)&gt;0,"Yes","No")</f>
        <v>No</v>
      </c>
    </row>
    <row r="564" spans="1:14" s="1" customFormat="1" ht="12" customHeight="1" x14ac:dyDescent="0.3">
      <c r="A564" s="324" t="str">
        <f ca="1">IF($J560&gt;0,"Other Allowance",IF(VLOOKUP($B548,INDIRECT(VLOOKUP($E547,$M$2:$N$20,2,FALSE)),44,FALSE)=0,"",IF($E547=DATE(2025,6,1),"Arrears of Apr &amp; May-2025","")))</f>
        <v>Other Allowance</v>
      </c>
      <c r="B564" s="325"/>
      <c r="C564" s="326" cm="1">
        <f t="array" aca="1" ref="C564" ca="1">_xlfn.IFS($A564="","",$A564="Other Allowance",VLOOKUP($B548,INDIRECT(VLOOKUP($E547,$M$2:$N$20,2,FALSE)),18,FALSE),$A564="Arrears of Apr &amp; May-2025",VLOOKUP($B548,INDIRECT(VLOOKUP($E547,$M$2:$N$20,2,FALSE)),44,FALSE))</f>
        <v>1800</v>
      </c>
      <c r="D564" s="327"/>
      <c r="E564" s="324" t="str" cm="1">
        <f t="array" aca="1" ref="E564" ca="1">_xlfn.IFS(N563="Yes",M563,N564="Yes",M564,TRUE,"")</f>
        <v/>
      </c>
      <c r="F564" s="325"/>
      <c r="G564" s="325"/>
      <c r="H564" s="325"/>
      <c r="I564" s="325"/>
      <c r="J564" s="335" t="str" cm="1">
        <f t="array" aca="1" ref="J564" ca="1">IF(E564="","",_xlfn.IFS(N563="Yes",VLOOKUP($B548,INDIRECT(VLOOKUP($E547,$M$2:$N$20,2,FALSE)),27,FALSE),N564="Yes",VLOOKUP($B548,INDIRECT(VLOOKUP($E547,$M$2:$N$20,2,FALSE)),28,FALSE)))</f>
        <v/>
      </c>
      <c r="K564" s="336"/>
      <c r="M564" s="88" t="s">
        <v>14</v>
      </c>
      <c r="N564" s="88" t="str">
        <f ca="1">IF(VLOOKUP($B548,INDIRECT(VLOOKUP($E$7,$M$2:$N$20,2,FALSE)),39,FALSE)&gt;0,"Yes","No")</f>
        <v>No</v>
      </c>
    </row>
    <row r="565" spans="1:14" s="1" customFormat="1" ht="12" customHeight="1" x14ac:dyDescent="0.3">
      <c r="A565" s="324" t="str" cm="1">
        <f t="array" aca="1" ref="A565" ca="1">_xlfn.IFS($A564="","",$A564="Other Allowance","EPF",$A564="Arrears of Apr &amp; May-2025","",VLOOKUP($B548,INDIRECT(VLOOKUP($E547,$M$2:$N$20,2,FALSE)),44,FALSE)=0,"",$E547=DATE(2025,6,1),"Arrears of Apr &amp; May-2025")</f>
        <v>EPF</v>
      </c>
      <c r="B565" s="325"/>
      <c r="C565" s="326" cm="1">
        <f t="array" aca="1" ref="C565" ca="1">_xlfn.IFS($A565="","",$A565="EPF",VLOOKUP($B548,INDIRECT(VLOOKUP($E547,$M$2:$N$20,2,FALSE)),19,FALSE),$A565="Arrears of Apr &amp; May-2025",VLOOKUP($B548,INDIRECT(VLOOKUP($E547,$M$2:$N$20,2,FALSE)),44,FALSE))</f>
        <v>1800</v>
      </c>
      <c r="D565" s="327"/>
      <c r="E565" s="324" t="str" cm="1">
        <f t="array" aca="1" ref="E565" ca="1">_xlfn.IFS(N564="No","",N563="Yes",M564,TRUE,"")</f>
        <v/>
      </c>
      <c r="F565" s="325"/>
      <c r="G565" s="325"/>
      <c r="H565" s="325"/>
      <c r="I565" s="325"/>
      <c r="J565" s="335" t="str">
        <f ca="1">IF(E565="","",VLOOKUP($B548,INDIRECT(VLOOKUP($E547,$M$2:$N$20,2,FALSE)),28,FALSE))</f>
        <v/>
      </c>
      <c r="K565" s="336"/>
      <c r="M565" s="130"/>
      <c r="N565" s="88"/>
    </row>
    <row r="566" spans="1:14" s="1" customFormat="1" ht="12" customHeight="1" x14ac:dyDescent="0.3">
      <c r="A566" s="324" t="str">
        <f ca="1">IF($J562&gt;0,"ESIC (Employer)",IF($A565="","",IF(VLOOKUP($B548,INDIRECT(VLOOKUP($E547,$M$2:$N$20,2,FALSE)),44,FALSE)="","",IF($E547=DATE(2025,6,1),"Arrears of Apr &amp; May-2025",""))))</f>
        <v>Arrears of Apr &amp; May-2025</v>
      </c>
      <c r="B566" s="325"/>
      <c r="C566" s="326" cm="1">
        <f t="array" aca="1" ref="C566" ca="1">_xlfn.IFS($A566="","",$A566="ESIC (Employer)",VLOOKUP($B548,INDIRECT(VLOOKUP($E547,$M$2:$N$20,2,FALSE)),20,FALSE),$A566="Arrears of Apr &amp; May-2025",VLOOKUP($B548,INDIRECT(VLOOKUP($E547,$M$2:$N$20,2,FALSE)),44,FALSE))</f>
        <v>2600</v>
      </c>
      <c r="D566" s="327"/>
      <c r="E566" s="324"/>
      <c r="F566" s="325"/>
      <c r="G566" s="325"/>
      <c r="H566" s="325"/>
      <c r="I566" s="325"/>
      <c r="J566" s="335"/>
      <c r="K566" s="336"/>
      <c r="M566" s="88"/>
      <c r="N566" s="88"/>
    </row>
    <row r="567" spans="1:14" s="1" customFormat="1" ht="12" customHeight="1" x14ac:dyDescent="0.3">
      <c r="A567" s="324" t="str">
        <f ca="1">IF($A566="","",IF(VLOOKUP($B548,INDIRECT(VLOOKUP($E547,$M$2:$N$20,2,FALSE)),44,FALSE)=0,"",IF($A566="Arrears of Apr &amp; May-2025","",IF($E547=DATE(2025,6,1),"Arrears of Apr &amp; May-2025",""))))</f>
        <v/>
      </c>
      <c r="B567" s="325"/>
      <c r="C567" s="326" t="str" cm="1">
        <f t="array" aca="1" ref="C567" ca="1">_xlfn.IFS($A567="","",$A567="Arrears of Apr &amp; May-2025",VLOOKUP($B548,INDIRECT(VLOOKUP($E547,$M$2:$N$20,2,FALSE)),44,FALSE))</f>
        <v/>
      </c>
      <c r="D567" s="327"/>
      <c r="E567" s="324"/>
      <c r="F567" s="325"/>
      <c r="G567" s="325"/>
      <c r="H567" s="325"/>
      <c r="I567" s="325"/>
      <c r="J567" s="335"/>
      <c r="K567" s="336"/>
      <c r="M567" s="88"/>
      <c r="N567" s="88"/>
    </row>
    <row r="568" spans="1:14" s="1" customFormat="1" ht="12" customHeight="1" x14ac:dyDescent="0.3">
      <c r="A568" s="324"/>
      <c r="B568" s="325"/>
      <c r="C568" s="326"/>
      <c r="D568" s="327"/>
      <c r="E568" s="124"/>
      <c r="F568" s="124"/>
      <c r="G568" s="124"/>
      <c r="H568" s="124"/>
      <c r="I568" s="124"/>
      <c r="J568" s="335"/>
      <c r="K568" s="336"/>
      <c r="M568" s="88"/>
      <c r="N568" s="88"/>
    </row>
    <row r="569" spans="1:14" s="1" customFormat="1" ht="3" customHeight="1" x14ac:dyDescent="0.3">
      <c r="A569" s="108"/>
      <c r="B569" s="109"/>
      <c r="C569" s="109"/>
      <c r="D569" s="112"/>
      <c r="E569" s="110"/>
      <c r="F569" s="110"/>
      <c r="G569" s="109"/>
      <c r="H569" s="109"/>
      <c r="I569" s="111"/>
      <c r="J569" s="111"/>
      <c r="K569" s="112"/>
      <c r="M569" s="88"/>
      <c r="N569" s="88"/>
    </row>
    <row r="570" spans="1:14" s="1" customFormat="1" ht="3" customHeight="1" x14ac:dyDescent="0.3">
      <c r="A570" s="123"/>
      <c r="B570" s="113"/>
      <c r="C570" s="113"/>
      <c r="D570" s="101"/>
      <c r="E570" s="124"/>
      <c r="F570" s="124"/>
      <c r="G570" s="113"/>
      <c r="H570" s="113"/>
      <c r="I570" s="114"/>
      <c r="J570" s="114"/>
      <c r="K570" s="101"/>
      <c r="M570" s="88"/>
      <c r="N570" s="88"/>
    </row>
    <row r="571" spans="1:14" s="4" customFormat="1" ht="19.95" customHeight="1" x14ac:dyDescent="0.3">
      <c r="A571" s="328" t="s">
        <v>15</v>
      </c>
      <c r="B571" s="329"/>
      <c r="C571" s="330">
        <f ca="1">SUM(C559:D570)</f>
        <v>30400</v>
      </c>
      <c r="D571" s="331"/>
      <c r="E571" s="328" t="s">
        <v>16</v>
      </c>
      <c r="F571" s="329"/>
      <c r="G571" s="329"/>
      <c r="H571" s="329"/>
      <c r="I571" s="329"/>
      <c r="J571" s="330">
        <f ca="1">SUM(J559:K567)</f>
        <v>3800</v>
      </c>
      <c r="K571" s="331"/>
      <c r="M571" s="129"/>
      <c r="N571" s="90"/>
    </row>
    <row r="572" spans="1:14" s="1" customFormat="1" ht="3" customHeight="1" x14ac:dyDescent="0.3">
      <c r="A572" s="108"/>
      <c r="B572" s="109"/>
      <c r="C572" s="109"/>
      <c r="D572" s="112"/>
      <c r="E572" s="110"/>
      <c r="F572" s="110"/>
      <c r="G572" s="109"/>
      <c r="H572" s="109"/>
      <c r="I572" s="111"/>
      <c r="J572" s="111"/>
      <c r="K572" s="112"/>
      <c r="M572" s="88"/>
      <c r="N572" s="88"/>
    </row>
    <row r="573" spans="1:14" s="1" customFormat="1" ht="3" customHeight="1" x14ac:dyDescent="0.3">
      <c r="A573" s="123"/>
      <c r="B573" s="113"/>
      <c r="C573" s="113"/>
      <c r="D573" s="117"/>
      <c r="E573" s="118"/>
      <c r="F573" s="124"/>
      <c r="G573" s="113"/>
      <c r="H573" s="126"/>
      <c r="I573" s="119"/>
      <c r="J573" s="119"/>
      <c r="K573" s="115"/>
      <c r="M573" s="88"/>
      <c r="N573" s="88"/>
    </row>
    <row r="574" spans="1:14" s="5" customFormat="1" ht="19.95" customHeight="1" x14ac:dyDescent="0.3">
      <c r="A574" s="328" t="str" cm="1">
        <f t="array" aca="1" ref="A574" ca="1">mgm(J574)</f>
        <v>Rupees Twenty Six Thousand Six Hundred Only</v>
      </c>
      <c r="B574" s="329"/>
      <c r="C574" s="329"/>
      <c r="D574" s="329"/>
      <c r="E574" s="329"/>
      <c r="F574" s="329"/>
      <c r="G574" s="332"/>
      <c r="H574" s="333" t="s">
        <v>17</v>
      </c>
      <c r="I574" s="334"/>
      <c r="J574" s="330">
        <f ca="1">C571-J571</f>
        <v>26600</v>
      </c>
      <c r="K574" s="331"/>
      <c r="L574" s="205"/>
      <c r="M574" s="90"/>
      <c r="N574" s="90"/>
    </row>
    <row r="575" spans="1:14" s="1" customFormat="1" ht="3" customHeight="1" x14ac:dyDescent="0.3">
      <c r="A575" s="108"/>
      <c r="B575" s="109"/>
      <c r="C575" s="109"/>
      <c r="D575" s="109"/>
      <c r="E575" s="110"/>
      <c r="F575" s="110"/>
      <c r="G575" s="109"/>
      <c r="H575" s="127"/>
      <c r="I575" s="111"/>
      <c r="J575" s="111"/>
      <c r="K575" s="112"/>
      <c r="M575" s="88"/>
      <c r="N575" s="88"/>
    </row>
    <row r="576" spans="1:14" s="1" customFormat="1" ht="19.95" customHeight="1" x14ac:dyDescent="0.3">
      <c r="A576" s="323" t="s">
        <v>18</v>
      </c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M576" s="88"/>
      <c r="N576" s="88"/>
    </row>
    <row r="577" spans="1:14" s="132" customFormat="1" ht="60" customHeight="1" x14ac:dyDescent="0.3">
      <c r="A577" s="181"/>
      <c r="E577" s="181"/>
      <c r="F577" s="181"/>
    </row>
    <row r="578" spans="1:14" s="2" customFormat="1" ht="19.95" customHeight="1" x14ac:dyDescent="0.3">
      <c r="A578" s="338" t="s">
        <v>107</v>
      </c>
      <c r="B578" s="339"/>
      <c r="C578" s="339"/>
      <c r="D578" s="339"/>
      <c r="E578" s="339"/>
      <c r="F578" s="339"/>
      <c r="G578" s="339"/>
      <c r="H578" s="339"/>
      <c r="I578" s="339"/>
      <c r="J578" s="339"/>
      <c r="K578" s="340"/>
      <c r="L578" s="1"/>
      <c r="M578" s="86"/>
      <c r="N578" s="87"/>
    </row>
    <row r="579" spans="1:14" s="2" customFormat="1" ht="15" customHeight="1" x14ac:dyDescent="0.3">
      <c r="A579" s="341" t="s">
        <v>180</v>
      </c>
      <c r="B579" s="342"/>
      <c r="C579" s="342"/>
      <c r="D579" s="342"/>
      <c r="E579" s="342"/>
      <c r="F579" s="342"/>
      <c r="G579" s="342"/>
      <c r="H579" s="342"/>
      <c r="I579" s="342"/>
      <c r="J579" s="342"/>
      <c r="K579" s="343"/>
      <c r="L579" s="1"/>
      <c r="M579" s="86"/>
      <c r="N579" s="88"/>
    </row>
    <row r="580" spans="1:14" s="2" customFormat="1" ht="15" customHeight="1" x14ac:dyDescent="0.3">
      <c r="A580" s="344" t="s">
        <v>72</v>
      </c>
      <c r="B580" s="345"/>
      <c r="C580" s="345"/>
      <c r="D580" s="345"/>
      <c r="E580" s="345"/>
      <c r="F580" s="345"/>
      <c r="G580" s="345"/>
      <c r="H580" s="345"/>
      <c r="I580" s="345"/>
      <c r="J580" s="345"/>
      <c r="K580" s="346"/>
      <c r="L580" s="1"/>
      <c r="M580" s="86"/>
      <c r="N580" s="88"/>
    </row>
    <row r="581" spans="1:14" s="2" customFormat="1" ht="4.95" customHeight="1" x14ac:dyDescent="0.3">
      <c r="A581" s="92"/>
      <c r="B581" s="347"/>
      <c r="C581" s="347"/>
      <c r="D581" s="347"/>
      <c r="E581" s="347"/>
      <c r="F581" s="347"/>
      <c r="G581" s="347"/>
      <c r="H581" s="347"/>
      <c r="I581" s="347"/>
      <c r="J581" s="347"/>
      <c r="K581" s="348"/>
      <c r="L581" s="1"/>
      <c r="M581" s="88"/>
      <c r="N581" s="88"/>
    </row>
    <row r="582" spans="1:14" s="2" customFormat="1" ht="3" customHeight="1" x14ac:dyDescent="0.3">
      <c r="A582" s="93"/>
      <c r="B582" s="94"/>
      <c r="C582" s="94"/>
      <c r="D582" s="94"/>
      <c r="E582" s="95"/>
      <c r="F582" s="95"/>
      <c r="G582" s="94"/>
      <c r="H582" s="94"/>
      <c r="I582" s="94"/>
      <c r="J582" s="94"/>
      <c r="K582" s="96"/>
      <c r="L582" s="1"/>
      <c r="M582" s="88"/>
      <c r="N582" s="88"/>
    </row>
    <row r="583" spans="1:14" s="2" customFormat="1" x14ac:dyDescent="0.3">
      <c r="A583" s="123" t="s">
        <v>68</v>
      </c>
      <c r="B583" s="124" t="str">
        <f ca="1">VLOOKUP($B584,Salary_Master_2,3,FALSE)</f>
        <v>EW056</v>
      </c>
      <c r="C583" s="349" t="s">
        <v>21</v>
      </c>
      <c r="D583" s="349"/>
      <c r="E583" s="350">
        <f>IF($E$1="","",$E$1)</f>
        <v>45809</v>
      </c>
      <c r="F583" s="350"/>
      <c r="G583" s="97" t="s">
        <v>22</v>
      </c>
      <c r="H583" s="98">
        <f ca="1">VLOOKUP($B584,INDIRECT(VLOOKUP($E$7,$M$2:$N$20,2,FALSE)),3,FALSE)</f>
        <v>30</v>
      </c>
      <c r="I583" s="99"/>
      <c r="J583" s="100" t="s">
        <v>27</v>
      </c>
      <c r="K583" s="101"/>
      <c r="L583" s="1"/>
      <c r="M583" s="86"/>
      <c r="N583" s="88"/>
    </row>
    <row r="584" spans="1:14" s="2" customFormat="1" x14ac:dyDescent="0.3">
      <c r="A584" s="123" t="s">
        <v>19</v>
      </c>
      <c r="B584" s="124" t="str">
        <f ca="1">IF(Salary_Master_2!$B$21="","",VLOOKUP(Salary_Master_2!$B$21,INDIRECT(VLOOKUP($E583,$M$2:$N$20,2,FALSE)),1,FALSE))</f>
        <v>Supriya Padel</v>
      </c>
      <c r="C584" s="351" t="s">
        <v>1</v>
      </c>
      <c r="D584" s="351"/>
      <c r="E584" s="352">
        <f ca="1">SUM($H583:$H586)</f>
        <v>31</v>
      </c>
      <c r="F584" s="352"/>
      <c r="G584" s="97" t="s">
        <v>24</v>
      </c>
      <c r="H584" s="102">
        <f ca="1">VLOOKUP($B584,INDIRECT(VLOOKUP($E$7,$M$2:$N$20,2,FALSE)),4,FALSE)</f>
        <v>0</v>
      </c>
      <c r="I584" s="100"/>
      <c r="J584" s="103" t="s">
        <v>28</v>
      </c>
      <c r="K584" s="101">
        <f ca="1">VLOOKUP($B584,INDIRECT(VLOOKUP($E$7,$M$2:$N$20,2,FALSE)),29,FALSE)</f>
        <v>21100</v>
      </c>
      <c r="L584" s="1"/>
      <c r="M584" s="86"/>
      <c r="N584" s="88"/>
    </row>
    <row r="585" spans="1:14" s="2" customFormat="1" x14ac:dyDescent="0.3">
      <c r="A585" s="123" t="s">
        <v>0</v>
      </c>
      <c r="B585" s="124" t="str">
        <f ca="1">VLOOKUP($B584,Salary_Master_2,4,FALSE)</f>
        <v>PCB Assembler</v>
      </c>
      <c r="C585" s="124"/>
      <c r="D585" s="103" t="s">
        <v>70</v>
      </c>
      <c r="E585" s="337">
        <f ca="1">VLOOKUP($B584,Salary_Master_2,9,FALSE)</f>
        <v>101413492317</v>
      </c>
      <c r="F585" s="337"/>
      <c r="G585" s="97" t="s">
        <v>25</v>
      </c>
      <c r="H585" s="102">
        <f ca="1">VLOOKUP($B584,INDIRECT(VLOOKUP($E$7,$M$2:$N$20,2,FALSE)),5,FALSE)</f>
        <v>1</v>
      </c>
      <c r="I585" s="97"/>
      <c r="J585" s="103" t="s">
        <v>29</v>
      </c>
      <c r="K585" s="101" t="str">
        <f ca="1">VLOOKUP($B584,INDIRECT(VLOOKUP($E$7,$M$2:$N$20,2,FALSE)),30,FALSE)</f>
        <v>Female</v>
      </c>
      <c r="L585" s="1"/>
      <c r="M585" s="86"/>
      <c r="N585" s="88"/>
    </row>
    <row r="586" spans="1:14" s="2" customFormat="1" x14ac:dyDescent="0.3">
      <c r="A586" s="123" t="s">
        <v>20</v>
      </c>
      <c r="B586" s="124" t="str">
        <f ca="1">VLOOKUP($B584,Salary_Master_2,5,FALSE)</f>
        <v>Production</v>
      </c>
      <c r="C586" s="124"/>
      <c r="D586" s="103" t="s">
        <v>71</v>
      </c>
      <c r="E586" s="337">
        <f ca="1">VLOOKUP($B584,Salary_Master_2,10,FALSE)</f>
        <v>3517296877</v>
      </c>
      <c r="F586" s="337"/>
      <c r="G586" s="97" t="s">
        <v>26</v>
      </c>
      <c r="H586" s="102">
        <f ca="1">VLOOKUP($B584,INDIRECT(VLOOKUP($E$7,$M$2:$N$20,2,FALSE)),6,FALSE)</f>
        <v>0</v>
      </c>
      <c r="I586" s="97"/>
      <c r="J586" s="103" t="s">
        <v>30</v>
      </c>
      <c r="K586" s="101">
        <f ca="1">VLOOKUP($B584,INDIRECT(VLOOKUP($E$7,$M$2:$N$20,2,FALSE)),31,FALSE)</f>
        <v>0</v>
      </c>
      <c r="L586" s="1"/>
      <c r="M586" s="86"/>
      <c r="N586" s="88"/>
    </row>
    <row r="587" spans="1:14" s="2" customFormat="1" x14ac:dyDescent="0.3">
      <c r="A587" s="123" t="s">
        <v>69</v>
      </c>
      <c r="B587" s="124" t="str">
        <f ca="1">VLOOKUP($B584,Salary_Master_2,6,FALSE)</f>
        <v>Ansa Factory</v>
      </c>
      <c r="C587" s="124"/>
      <c r="D587" s="104"/>
      <c r="E587" s="105"/>
      <c r="F587" s="105"/>
      <c r="G587" s="97" t="s">
        <v>23</v>
      </c>
      <c r="H587" s="102">
        <f ca="1">VLOOKUP($B584,INDIRECT(VLOOKUP($E$7,$M$2:$N$20,2,FALSE)),8,FALSE)</f>
        <v>0</v>
      </c>
      <c r="I587" s="97"/>
      <c r="J587" s="125"/>
      <c r="K587" s="101"/>
      <c r="L587" s="1"/>
      <c r="M587" s="86"/>
      <c r="N587" s="88"/>
    </row>
    <row r="588" spans="1:14" s="2" customFormat="1" x14ac:dyDescent="0.3">
      <c r="A588" s="123" t="s">
        <v>32</v>
      </c>
      <c r="B588" s="106">
        <f ca="1">VLOOKUP($B584,Salary_Master_2,7,FALSE)</f>
        <v>44562</v>
      </c>
      <c r="C588" s="106"/>
      <c r="D588" s="104"/>
      <c r="E588" s="105"/>
      <c r="F588" s="105"/>
      <c r="G588" s="97" t="s">
        <v>31</v>
      </c>
      <c r="H588" s="102">
        <f ca="1">VLOOKUP($B584,INDIRECT(VLOOKUP($E$7,$M$2:$N$20,2,FALSE)),9,FALSE)</f>
        <v>7</v>
      </c>
      <c r="I588" s="107"/>
      <c r="J588" s="107"/>
      <c r="K588" s="101"/>
      <c r="L588" s="1"/>
      <c r="M588" s="86"/>
      <c r="N588" s="88"/>
    </row>
    <row r="589" spans="1:14" s="2" customFormat="1" ht="3" customHeight="1" x14ac:dyDescent="0.3">
      <c r="A589" s="108"/>
      <c r="B589" s="109"/>
      <c r="C589" s="109"/>
      <c r="D589" s="109"/>
      <c r="E589" s="110"/>
      <c r="F589" s="110"/>
      <c r="G589" s="109"/>
      <c r="H589" s="109"/>
      <c r="I589" s="111"/>
      <c r="J589" s="111"/>
      <c r="K589" s="112"/>
      <c r="L589" s="1"/>
      <c r="M589" s="88"/>
      <c r="N589" s="88"/>
    </row>
    <row r="590" spans="1:14" s="2" customFormat="1" ht="3" customHeight="1" x14ac:dyDescent="0.3">
      <c r="A590" s="123"/>
      <c r="B590" s="113"/>
      <c r="C590" s="113"/>
      <c r="D590" s="113"/>
      <c r="E590" s="124"/>
      <c r="F590" s="124"/>
      <c r="G590" s="113"/>
      <c r="H590" s="113"/>
      <c r="I590" s="114"/>
      <c r="J590" s="114"/>
      <c r="K590" s="115"/>
      <c r="L590" s="1"/>
      <c r="M590" s="88"/>
      <c r="N590" s="88"/>
    </row>
    <row r="591" spans="1:14" s="1" customFormat="1" ht="3" customHeight="1" x14ac:dyDescent="0.3">
      <c r="A591" s="116"/>
      <c r="B591" s="117"/>
      <c r="C591" s="117"/>
      <c r="D591" s="115"/>
      <c r="E591" s="118"/>
      <c r="F591" s="118"/>
      <c r="G591" s="117"/>
      <c r="H591" s="117"/>
      <c r="I591" s="119"/>
      <c r="J591" s="119"/>
      <c r="K591" s="115"/>
      <c r="M591" s="88"/>
      <c r="N591" s="88"/>
    </row>
    <row r="592" spans="1:14" s="1" customFormat="1" ht="12" customHeight="1" x14ac:dyDescent="0.3">
      <c r="A592" s="120" t="s">
        <v>4</v>
      </c>
      <c r="B592" s="113"/>
      <c r="C592" s="113"/>
      <c r="D592" s="121" t="s">
        <v>5</v>
      </c>
      <c r="E592" s="122" t="s">
        <v>6</v>
      </c>
      <c r="F592" s="122"/>
      <c r="G592" s="113"/>
      <c r="H592" s="113"/>
      <c r="I592" s="113"/>
      <c r="J592" s="113"/>
      <c r="K592" s="121" t="s">
        <v>5</v>
      </c>
      <c r="M592" s="86"/>
      <c r="N592" s="88"/>
    </row>
    <row r="593" spans="1:14" s="1" customFormat="1" ht="3" customHeight="1" x14ac:dyDescent="0.3">
      <c r="A593" s="108"/>
      <c r="B593" s="109"/>
      <c r="C593" s="109"/>
      <c r="D593" s="112"/>
      <c r="E593" s="110"/>
      <c r="F593" s="110"/>
      <c r="G593" s="109"/>
      <c r="H593" s="109"/>
      <c r="I593" s="111"/>
      <c r="J593" s="111"/>
      <c r="K593" s="112"/>
      <c r="M593" s="88"/>
      <c r="N593" s="88"/>
    </row>
    <row r="594" spans="1:14" s="1" customFormat="1" ht="3" customHeight="1" x14ac:dyDescent="0.3">
      <c r="A594" s="123"/>
      <c r="B594" s="113"/>
      <c r="C594" s="113"/>
      <c r="D594" s="101"/>
      <c r="E594" s="124"/>
      <c r="F594" s="124"/>
      <c r="G594" s="113"/>
      <c r="H594" s="113"/>
      <c r="I594" s="114"/>
      <c r="J594" s="114"/>
      <c r="K594" s="101"/>
      <c r="M594" s="88"/>
      <c r="N594" s="88"/>
    </row>
    <row r="595" spans="1:14" s="1" customFormat="1" ht="12" customHeight="1" x14ac:dyDescent="0.3">
      <c r="A595" s="324" t="s">
        <v>7</v>
      </c>
      <c r="B595" s="325"/>
      <c r="C595" s="326">
        <f ca="1">VLOOKUP($B584,INDIRECT(VLOOKUP($E583,$M$2:$N$20,2,FALSE)),13,FALSE)</f>
        <v>10000</v>
      </c>
      <c r="D595" s="327"/>
      <c r="E595" s="324" t="s">
        <v>8</v>
      </c>
      <c r="F595" s="325"/>
      <c r="G595" s="325"/>
      <c r="H595" s="325"/>
      <c r="I595" s="325"/>
      <c r="J595" s="326">
        <f ca="1">VLOOKUP($B584,INDIRECT(VLOOKUP($E583,$M$2:$N$20,2,FALSE)),22,FALSE)</f>
        <v>1800</v>
      </c>
      <c r="K595" s="327"/>
      <c r="M595" s="86"/>
      <c r="N595" s="88"/>
    </row>
    <row r="596" spans="1:14" s="1" customFormat="1" ht="12" customHeight="1" x14ac:dyDescent="0.3">
      <c r="A596" s="324" t="s">
        <v>9</v>
      </c>
      <c r="B596" s="325"/>
      <c r="C596" s="326">
        <f ca="1">VLOOKUP($B584,INDIRECT(VLOOKUP($E583,$M$2:$N$20,2,FALSE)),14,FALSE)</f>
        <v>2000</v>
      </c>
      <c r="D596" s="327"/>
      <c r="E596" s="324" t="s">
        <v>94</v>
      </c>
      <c r="F596" s="325"/>
      <c r="G596" s="325"/>
      <c r="H596" s="325"/>
      <c r="I596" s="325"/>
      <c r="J596" s="326">
        <f ca="1">VLOOKUP($B584,INDIRECT(VLOOKUP($E583,$M$2:$N$20,2,FALSE)),23,FALSE)</f>
        <v>1800</v>
      </c>
      <c r="K596" s="327"/>
      <c r="M596" s="86"/>
      <c r="N596" s="88"/>
    </row>
    <row r="597" spans="1:14" s="1" customFormat="1" ht="12" customHeight="1" x14ac:dyDescent="0.3">
      <c r="A597" s="324" t="s">
        <v>11</v>
      </c>
      <c r="B597" s="325"/>
      <c r="C597" s="326">
        <f ca="1">VLOOKUP($B584,INDIRECT(VLOOKUP($E583,$M$2:$N$20,2,FALSE)),15,FALSE)</f>
        <v>1600</v>
      </c>
      <c r="D597" s="327"/>
      <c r="E597" s="324" t="s">
        <v>10</v>
      </c>
      <c r="F597" s="325"/>
      <c r="G597" s="325"/>
      <c r="H597" s="325"/>
      <c r="I597" s="325"/>
      <c r="J597" s="326">
        <f ca="1">VLOOKUP($B584,INDIRECT(VLOOKUP($E583,$M$2:$N$20,2,FALSE)),24,FALSE)</f>
        <v>0</v>
      </c>
      <c r="K597" s="327"/>
      <c r="M597" s="87"/>
      <c r="N597" s="86"/>
    </row>
    <row r="598" spans="1:14" s="1" customFormat="1" ht="12" customHeight="1" x14ac:dyDescent="0.3">
      <c r="A598" s="324" t="s">
        <v>3</v>
      </c>
      <c r="B598" s="325"/>
      <c r="C598" s="326">
        <f ca="1">VLOOKUP($B584,INDIRECT(VLOOKUP($E583,$M$2:$N$20,2,FALSE)),16,FALSE)</f>
        <v>833</v>
      </c>
      <c r="D598" s="327"/>
      <c r="E598" s="324" t="s">
        <v>93</v>
      </c>
      <c r="F598" s="325"/>
      <c r="G598" s="325"/>
      <c r="H598" s="325"/>
      <c r="I598" s="325"/>
      <c r="J598" s="326">
        <f ca="1">VLOOKUP($B584,INDIRECT(VLOOKUP($E583,$M$2:$N$20,2,FALSE)),25,FALSE)</f>
        <v>0</v>
      </c>
      <c r="K598" s="327"/>
      <c r="M598" s="87"/>
      <c r="N598" s="89"/>
    </row>
    <row r="599" spans="1:14" s="1" customFormat="1" ht="12" customHeight="1" x14ac:dyDescent="0.3">
      <c r="A599" s="324" t="s">
        <v>13</v>
      </c>
      <c r="B599" s="325"/>
      <c r="C599" s="326">
        <f ca="1">VLOOKUP($B584,INDIRECT(VLOOKUP($E583,$M$2:$N$20,2,FALSE)),17,FALSE)</f>
        <v>6667</v>
      </c>
      <c r="D599" s="327"/>
      <c r="E599" s="324" t="s">
        <v>12</v>
      </c>
      <c r="F599" s="325"/>
      <c r="G599" s="325"/>
      <c r="H599" s="325"/>
      <c r="I599" s="325"/>
      <c r="J599" s="326">
        <f ca="1">VLOOKUP($B584,INDIRECT(VLOOKUP($E583,$M$2:$N$20,2,FALSE)),26,FALSE)</f>
        <v>0</v>
      </c>
      <c r="K599" s="327"/>
      <c r="M599" s="88" t="s">
        <v>73</v>
      </c>
      <c r="N599" s="88" t="str">
        <f ca="1">IF(VLOOKUP($B584,INDIRECT(VLOOKUP($E583,$M$2:$N$20,2,FALSE)),38,FALSE)&gt;0,"Yes","No")</f>
        <v>No</v>
      </c>
    </row>
    <row r="600" spans="1:14" s="1" customFormat="1" ht="12" customHeight="1" x14ac:dyDescent="0.3">
      <c r="A600" s="324" t="str">
        <f ca="1">IF($J596&gt;0,"Other Allowance",IF(VLOOKUP($B584,INDIRECT(VLOOKUP($E583,$M$2:$N$20,2,FALSE)),44,FALSE)=0,"",IF($E583=DATE(2025,6,1),"Arrears of Apr &amp; May-2025","")))</f>
        <v>Other Allowance</v>
      </c>
      <c r="B600" s="325"/>
      <c r="C600" s="326" cm="1">
        <f t="array" aca="1" ref="C600" ca="1">_xlfn.IFS($A600="","",$A600="Other Allowance",VLOOKUP($B584,INDIRECT(VLOOKUP($E583,$M$2:$N$20,2,FALSE)),18,FALSE),$A600="Arrears of Apr &amp; May-2025",VLOOKUP($B584,INDIRECT(VLOOKUP($E583,$M$2:$N$20,2,FALSE)),44,FALSE))</f>
        <v>1800</v>
      </c>
      <c r="D600" s="327"/>
      <c r="E600" s="324" t="str" cm="1">
        <f t="array" aca="1" ref="E600" ca="1">_xlfn.IFS(N599="Yes",M599,N600="Yes",M600,TRUE,"")</f>
        <v/>
      </c>
      <c r="F600" s="325"/>
      <c r="G600" s="325"/>
      <c r="H600" s="325"/>
      <c r="I600" s="325"/>
      <c r="J600" s="335" t="str" cm="1">
        <f t="array" aca="1" ref="J600" ca="1">IF(E600="","",_xlfn.IFS(N599="Yes",VLOOKUP($B584,INDIRECT(VLOOKUP($E583,$M$2:$N$20,2,FALSE)),27,FALSE),N600="Yes",VLOOKUP($B584,INDIRECT(VLOOKUP($E583,$M$2:$N$20,2,FALSE)),28,FALSE)))</f>
        <v/>
      </c>
      <c r="K600" s="336"/>
      <c r="M600" s="88" t="s">
        <v>14</v>
      </c>
      <c r="N600" s="88" t="str">
        <f ca="1">IF(VLOOKUP($B584,INDIRECT(VLOOKUP($E$7,$M$2:$N$20,2,FALSE)),39,FALSE)&gt;0,"Yes","No")</f>
        <v>No</v>
      </c>
    </row>
    <row r="601" spans="1:14" s="1" customFormat="1" ht="12" customHeight="1" x14ac:dyDescent="0.3">
      <c r="A601" s="324" t="str" cm="1">
        <f t="array" aca="1" ref="A601" ca="1">_xlfn.IFS($A600="","",$A600="Other Allowance","EPF",$A600="Arrears of Apr &amp; May-2025","",VLOOKUP($B584,INDIRECT(VLOOKUP($E583,$M$2:$N$20,2,FALSE)),44,FALSE)=0,"",$E583=DATE(2025,6,1),"Arrears of Apr &amp; May-2025")</f>
        <v>EPF</v>
      </c>
      <c r="B601" s="325"/>
      <c r="C601" s="326" cm="1">
        <f t="array" aca="1" ref="C601" ca="1">_xlfn.IFS($A601="","",$A601="EPF",VLOOKUP($B584,INDIRECT(VLOOKUP($E583,$M$2:$N$20,2,FALSE)),19,FALSE),$A601="Arrears of Apr &amp; May-2025",VLOOKUP($B584,INDIRECT(VLOOKUP($E583,$M$2:$N$20,2,FALSE)),44,FALSE))</f>
        <v>1800</v>
      </c>
      <c r="D601" s="327"/>
      <c r="E601" s="324" t="str" cm="1">
        <f t="array" aca="1" ref="E601" ca="1">_xlfn.IFS(N600="No","",N599="Yes",M600,TRUE,"")</f>
        <v/>
      </c>
      <c r="F601" s="325"/>
      <c r="G601" s="325"/>
      <c r="H601" s="325"/>
      <c r="I601" s="325"/>
      <c r="J601" s="335" t="str">
        <f ca="1">IF(E601="","",VLOOKUP($B584,INDIRECT(VLOOKUP($E583,$M$2:$N$20,2,FALSE)),28,FALSE))</f>
        <v/>
      </c>
      <c r="K601" s="336"/>
      <c r="M601" s="130"/>
      <c r="N601" s="88"/>
    </row>
    <row r="602" spans="1:14" s="1" customFormat="1" ht="12" customHeight="1" x14ac:dyDescent="0.3">
      <c r="A602" s="324" t="str">
        <f ca="1">IF($J598&gt;0,"ESIC (Employer)",IF($A601="","",IF(VLOOKUP($B584,INDIRECT(VLOOKUP($E583,$M$2:$N$20,2,FALSE)),44,FALSE)="","",IF($E583=DATE(2025,6,1),"Arrears of Apr &amp; May-2025",""))))</f>
        <v>Arrears of Apr &amp; May-2025</v>
      </c>
      <c r="B602" s="325"/>
      <c r="C602" s="326" cm="1">
        <f t="array" aca="1" ref="C602" ca="1">_xlfn.IFS($A602="","",$A602="ESIC (Employer)",VLOOKUP($B584,INDIRECT(VLOOKUP($E583,$M$2:$N$20,2,FALSE)),20,FALSE),$A602="Arrears of Apr &amp; May-2025",VLOOKUP($B584,INDIRECT(VLOOKUP($E583,$M$2:$N$20,2,FALSE)),44,FALSE))</f>
        <v>2400</v>
      </c>
      <c r="D602" s="327"/>
      <c r="E602" s="324"/>
      <c r="F602" s="325"/>
      <c r="G602" s="325"/>
      <c r="H602" s="325"/>
      <c r="I602" s="325"/>
      <c r="J602" s="335"/>
      <c r="K602" s="336"/>
      <c r="M602" s="88"/>
      <c r="N602" s="88"/>
    </row>
    <row r="603" spans="1:14" s="1" customFormat="1" ht="12" customHeight="1" x14ac:dyDescent="0.3">
      <c r="A603" s="324" t="str">
        <f ca="1">IF($A602="","",IF(VLOOKUP($B584,INDIRECT(VLOOKUP($E583,$M$2:$N$20,2,FALSE)),44,FALSE)=0,"",IF($A602="Arrears of Apr &amp; May-2025","",IF($E583=DATE(2025,6,1),"Arrears of Apr &amp; May-2025",""))))</f>
        <v/>
      </c>
      <c r="B603" s="325"/>
      <c r="C603" s="326" t="str" cm="1">
        <f t="array" aca="1" ref="C603" ca="1">_xlfn.IFS($A603="","",$A603="Arrears of Apr &amp; May-2025",VLOOKUP($B584,INDIRECT(VLOOKUP($E583,$M$2:$N$20,2,FALSE)),44,FALSE))</f>
        <v/>
      </c>
      <c r="D603" s="327"/>
      <c r="E603" s="324"/>
      <c r="F603" s="325"/>
      <c r="G603" s="325"/>
      <c r="H603" s="325"/>
      <c r="I603" s="325"/>
      <c r="J603" s="335"/>
      <c r="K603" s="336"/>
      <c r="M603" s="88"/>
      <c r="N603" s="88"/>
    </row>
    <row r="604" spans="1:14" s="1" customFormat="1" ht="12" customHeight="1" x14ac:dyDescent="0.3">
      <c r="A604" s="324"/>
      <c r="B604" s="325"/>
      <c r="C604" s="326"/>
      <c r="D604" s="327"/>
      <c r="E604" s="124"/>
      <c r="F604" s="124"/>
      <c r="G604" s="124"/>
      <c r="H604" s="124"/>
      <c r="I604" s="124"/>
      <c r="J604" s="335"/>
      <c r="K604" s="336"/>
      <c r="M604" s="88"/>
      <c r="N604" s="88"/>
    </row>
    <row r="605" spans="1:14" s="1" customFormat="1" ht="3" customHeight="1" x14ac:dyDescent="0.3">
      <c r="A605" s="108"/>
      <c r="B605" s="109"/>
      <c r="C605" s="109"/>
      <c r="D605" s="112"/>
      <c r="E605" s="110"/>
      <c r="F605" s="110"/>
      <c r="G605" s="109"/>
      <c r="H605" s="109"/>
      <c r="I605" s="111"/>
      <c r="J605" s="111"/>
      <c r="K605" s="112"/>
      <c r="M605" s="88"/>
      <c r="N605" s="88"/>
    </row>
    <row r="606" spans="1:14" s="1" customFormat="1" ht="3" customHeight="1" x14ac:dyDescent="0.3">
      <c r="A606" s="123"/>
      <c r="B606" s="113"/>
      <c r="C606" s="113"/>
      <c r="D606" s="101"/>
      <c r="E606" s="124"/>
      <c r="F606" s="124"/>
      <c r="G606" s="113"/>
      <c r="H606" s="113"/>
      <c r="I606" s="114"/>
      <c r="J606" s="114"/>
      <c r="K606" s="101"/>
      <c r="M606" s="88"/>
      <c r="N606" s="88"/>
    </row>
    <row r="607" spans="1:14" s="4" customFormat="1" ht="19.95" customHeight="1" x14ac:dyDescent="0.3">
      <c r="A607" s="328" t="s">
        <v>15</v>
      </c>
      <c r="B607" s="329"/>
      <c r="C607" s="330">
        <f ca="1">SUM(C595:D606)</f>
        <v>27100</v>
      </c>
      <c r="D607" s="331"/>
      <c r="E607" s="328" t="s">
        <v>16</v>
      </c>
      <c r="F607" s="329"/>
      <c r="G607" s="329"/>
      <c r="H607" s="329"/>
      <c r="I607" s="329"/>
      <c r="J607" s="330">
        <f ca="1">SUM(J595:K603)</f>
        <v>3600</v>
      </c>
      <c r="K607" s="331"/>
      <c r="M607" s="129"/>
      <c r="N607" s="90"/>
    </row>
    <row r="608" spans="1:14" s="1" customFormat="1" ht="3" customHeight="1" x14ac:dyDescent="0.3">
      <c r="A608" s="108"/>
      <c r="B608" s="109"/>
      <c r="C608" s="109"/>
      <c r="D608" s="112"/>
      <c r="E608" s="110"/>
      <c r="F608" s="110"/>
      <c r="G608" s="109"/>
      <c r="H608" s="109"/>
      <c r="I608" s="111"/>
      <c r="J608" s="111"/>
      <c r="K608" s="112"/>
      <c r="M608" s="88"/>
      <c r="N608" s="88"/>
    </row>
    <row r="609" spans="1:14" s="1" customFormat="1" ht="3" customHeight="1" x14ac:dyDescent="0.3">
      <c r="A609" s="123"/>
      <c r="B609" s="113"/>
      <c r="C609" s="113"/>
      <c r="D609" s="117"/>
      <c r="E609" s="118"/>
      <c r="F609" s="124"/>
      <c r="G609" s="113"/>
      <c r="H609" s="126"/>
      <c r="I609" s="119"/>
      <c r="J609" s="119"/>
      <c r="K609" s="115"/>
      <c r="M609" s="88"/>
      <c r="N609" s="88"/>
    </row>
    <row r="610" spans="1:14" s="5" customFormat="1" ht="19.95" customHeight="1" x14ac:dyDescent="0.3">
      <c r="A610" s="328" t="str" cm="1">
        <f t="array" aca="1" ref="A610" ca="1">mgm(J610)</f>
        <v>Rupees Twenty Three Thousand Five Hundred Only</v>
      </c>
      <c r="B610" s="329"/>
      <c r="C610" s="329"/>
      <c r="D610" s="329"/>
      <c r="E610" s="329"/>
      <c r="F610" s="329"/>
      <c r="G610" s="332"/>
      <c r="H610" s="333" t="s">
        <v>17</v>
      </c>
      <c r="I610" s="334"/>
      <c r="J610" s="330">
        <f ca="1">C607-J607</f>
        <v>23500</v>
      </c>
      <c r="K610" s="331"/>
      <c r="L610" s="205"/>
      <c r="M610" s="90"/>
      <c r="N610" s="90"/>
    </row>
    <row r="611" spans="1:14" s="1" customFormat="1" ht="3" customHeight="1" x14ac:dyDescent="0.3">
      <c r="A611" s="108"/>
      <c r="B611" s="109"/>
      <c r="C611" s="109"/>
      <c r="D611" s="109"/>
      <c r="E611" s="110"/>
      <c r="F611" s="110"/>
      <c r="G611" s="109"/>
      <c r="H611" s="127"/>
      <c r="I611" s="111"/>
      <c r="J611" s="111"/>
      <c r="K611" s="112"/>
      <c r="M611" s="88"/>
      <c r="N611" s="88"/>
    </row>
    <row r="612" spans="1:14" s="1" customFormat="1" ht="19.95" customHeight="1" x14ac:dyDescent="0.3">
      <c r="A612" s="323" t="s">
        <v>18</v>
      </c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M612" s="88"/>
      <c r="N612" s="88"/>
    </row>
    <row r="613" spans="1:14" s="132" customFormat="1" ht="60" customHeight="1" x14ac:dyDescent="0.3">
      <c r="A613" s="181"/>
      <c r="E613" s="181"/>
      <c r="F613" s="181"/>
    </row>
    <row r="614" spans="1:14" s="2" customFormat="1" ht="19.95" customHeight="1" x14ac:dyDescent="0.3">
      <c r="A614" s="338" t="s">
        <v>107</v>
      </c>
      <c r="B614" s="339"/>
      <c r="C614" s="339"/>
      <c r="D614" s="339"/>
      <c r="E614" s="339"/>
      <c r="F614" s="339"/>
      <c r="G614" s="339"/>
      <c r="H614" s="339"/>
      <c r="I614" s="339"/>
      <c r="J614" s="339"/>
      <c r="K614" s="340"/>
      <c r="L614" s="1"/>
      <c r="M614" s="86"/>
      <c r="N614" s="87"/>
    </row>
    <row r="615" spans="1:14" s="2" customFormat="1" ht="15" customHeight="1" x14ac:dyDescent="0.3">
      <c r="A615" s="341" t="s">
        <v>180</v>
      </c>
      <c r="B615" s="342"/>
      <c r="C615" s="342"/>
      <c r="D615" s="342"/>
      <c r="E615" s="342"/>
      <c r="F615" s="342"/>
      <c r="G615" s="342"/>
      <c r="H615" s="342"/>
      <c r="I615" s="342"/>
      <c r="J615" s="342"/>
      <c r="K615" s="343"/>
      <c r="L615" s="1"/>
      <c r="M615" s="86"/>
      <c r="N615" s="88"/>
    </row>
    <row r="616" spans="1:14" s="2" customFormat="1" ht="15" customHeight="1" x14ac:dyDescent="0.3">
      <c r="A616" s="344" t="s">
        <v>72</v>
      </c>
      <c r="B616" s="345"/>
      <c r="C616" s="345"/>
      <c r="D616" s="345"/>
      <c r="E616" s="345"/>
      <c r="F616" s="345"/>
      <c r="G616" s="345"/>
      <c r="H616" s="345"/>
      <c r="I616" s="345"/>
      <c r="J616" s="345"/>
      <c r="K616" s="346"/>
      <c r="L616" s="1"/>
      <c r="M616" s="86"/>
      <c r="N616" s="88"/>
    </row>
    <row r="617" spans="1:14" s="2" customFormat="1" ht="4.95" customHeight="1" x14ac:dyDescent="0.3">
      <c r="A617" s="92"/>
      <c r="B617" s="347"/>
      <c r="C617" s="347"/>
      <c r="D617" s="347"/>
      <c r="E617" s="347"/>
      <c r="F617" s="347"/>
      <c r="G617" s="347"/>
      <c r="H617" s="347"/>
      <c r="I617" s="347"/>
      <c r="J617" s="347"/>
      <c r="K617" s="348"/>
      <c r="L617" s="1"/>
      <c r="M617" s="88"/>
      <c r="N617" s="88"/>
    </row>
    <row r="618" spans="1:14" s="2" customFormat="1" ht="3" customHeight="1" x14ac:dyDescent="0.3">
      <c r="A618" s="93"/>
      <c r="B618" s="94"/>
      <c r="C618" s="94"/>
      <c r="D618" s="94"/>
      <c r="E618" s="95"/>
      <c r="F618" s="95"/>
      <c r="G618" s="94"/>
      <c r="H618" s="94"/>
      <c r="I618" s="94"/>
      <c r="J618" s="94"/>
      <c r="K618" s="96"/>
      <c r="L618" s="1"/>
      <c r="M618" s="88"/>
      <c r="N618" s="88"/>
    </row>
    <row r="619" spans="1:14" s="2" customFormat="1" x14ac:dyDescent="0.3">
      <c r="A619" s="123" t="s">
        <v>68</v>
      </c>
      <c r="B619" s="124" t="str">
        <f ca="1">VLOOKUP($B620,Salary_Master_2,3,FALSE)</f>
        <v>HO023</v>
      </c>
      <c r="C619" s="349" t="s">
        <v>21</v>
      </c>
      <c r="D619" s="349"/>
      <c r="E619" s="350">
        <f>IF($E$1="","",$E$1)</f>
        <v>45809</v>
      </c>
      <c r="F619" s="350"/>
      <c r="G619" s="97" t="s">
        <v>22</v>
      </c>
      <c r="H619" s="98">
        <f ca="1">VLOOKUP($B620,INDIRECT(VLOOKUP($E$7,$M$2:$N$20,2,FALSE)),3,FALSE)</f>
        <v>31</v>
      </c>
      <c r="I619" s="99"/>
      <c r="J619" s="100" t="s">
        <v>27</v>
      </c>
      <c r="K619" s="101"/>
      <c r="L619" s="1"/>
      <c r="M619" s="86"/>
      <c r="N619" s="88"/>
    </row>
    <row r="620" spans="1:14" s="2" customFormat="1" x14ac:dyDescent="0.3">
      <c r="A620" s="123" t="s">
        <v>19</v>
      </c>
      <c r="B620" s="124" t="str">
        <f ca="1">IF(Salary_Master_2!$B$22="","",VLOOKUP(Salary_Master_2!$B$22,INDIRECT(VLOOKUP($E619,$M$2:$N$20,2,FALSE)),1,FALSE))</f>
        <v>Sagar Kadam</v>
      </c>
      <c r="C620" s="351" t="s">
        <v>1</v>
      </c>
      <c r="D620" s="351"/>
      <c r="E620" s="352">
        <f ca="1">SUM($H619:$H622)</f>
        <v>31</v>
      </c>
      <c r="F620" s="352"/>
      <c r="G620" s="97" t="s">
        <v>24</v>
      </c>
      <c r="H620" s="102">
        <f ca="1">VLOOKUP($B620,INDIRECT(VLOOKUP($E$7,$M$2:$N$20,2,FALSE)),4,FALSE)</f>
        <v>0</v>
      </c>
      <c r="I620" s="100"/>
      <c r="J620" s="103" t="s">
        <v>28</v>
      </c>
      <c r="K620" s="101">
        <f ca="1">VLOOKUP($B620,INDIRECT(VLOOKUP($E$7,$M$2:$N$20,2,FALSE)),29,FALSE)</f>
        <v>17106</v>
      </c>
      <c r="L620" s="1"/>
      <c r="M620" s="86"/>
      <c r="N620" s="88"/>
    </row>
    <row r="621" spans="1:14" s="2" customFormat="1" x14ac:dyDescent="0.3">
      <c r="A621" s="123" t="s">
        <v>0</v>
      </c>
      <c r="B621" s="124" t="str">
        <f ca="1">VLOOKUP($B620,Salary_Master_2,4,FALSE)</f>
        <v>Office assistant</v>
      </c>
      <c r="C621" s="124"/>
      <c r="D621" s="103" t="s">
        <v>70</v>
      </c>
      <c r="E621" s="337">
        <f ca="1">VLOOKUP($B620,Salary_Master_2,9,FALSE)</f>
        <v>101865613126</v>
      </c>
      <c r="F621" s="337"/>
      <c r="G621" s="97" t="s">
        <v>25</v>
      </c>
      <c r="H621" s="102">
        <f ca="1">VLOOKUP($B620,INDIRECT(VLOOKUP($E$7,$M$2:$N$20,2,FALSE)),5,FALSE)</f>
        <v>0</v>
      </c>
      <c r="I621" s="97"/>
      <c r="J621" s="103" t="s">
        <v>29</v>
      </c>
      <c r="K621" s="101" t="str">
        <f ca="1">VLOOKUP($B620,INDIRECT(VLOOKUP($E$7,$M$2:$N$20,2,FALSE)),30,FALSE)</f>
        <v>Male</v>
      </c>
      <c r="L621" s="1"/>
      <c r="M621" s="86"/>
      <c r="N621" s="88"/>
    </row>
    <row r="622" spans="1:14" s="2" customFormat="1" x14ac:dyDescent="0.3">
      <c r="A622" s="123" t="s">
        <v>20</v>
      </c>
      <c r="B622" s="124" t="str">
        <f ca="1">VLOOKUP($B620,Salary_Master_2,5,FALSE)</f>
        <v>Sales</v>
      </c>
      <c r="C622" s="124"/>
      <c r="D622" s="103" t="s">
        <v>71</v>
      </c>
      <c r="E622" s="337">
        <f ca="1">VLOOKUP($B620,Salary_Master_2,10,FALSE)</f>
        <v>3517670708</v>
      </c>
      <c r="F622" s="337"/>
      <c r="G622" s="97" t="s">
        <v>26</v>
      </c>
      <c r="H622" s="102">
        <f ca="1">VLOOKUP($B620,INDIRECT(VLOOKUP($E$7,$M$2:$N$20,2,FALSE)),6,FALSE)</f>
        <v>0</v>
      </c>
      <c r="I622" s="97"/>
      <c r="J622" s="103" t="s">
        <v>30</v>
      </c>
      <c r="K622" s="101">
        <f ca="1">VLOOKUP($B620,INDIRECT(VLOOKUP($E$7,$M$2:$N$20,2,FALSE)),31,FALSE)</f>
        <v>0</v>
      </c>
      <c r="L622" s="1"/>
      <c r="M622" s="86"/>
      <c r="N622" s="88"/>
    </row>
    <row r="623" spans="1:14" s="2" customFormat="1" x14ac:dyDescent="0.3">
      <c r="A623" s="123" t="s">
        <v>69</v>
      </c>
      <c r="B623" s="124" t="str">
        <f ca="1">VLOOKUP($B620,Salary_Master_2,6,FALSE)</f>
        <v>HO</v>
      </c>
      <c r="C623" s="124"/>
      <c r="D623" s="104"/>
      <c r="E623" s="105"/>
      <c r="F623" s="105"/>
      <c r="G623" s="97" t="s">
        <v>23</v>
      </c>
      <c r="H623" s="102">
        <f ca="1">VLOOKUP($B620,INDIRECT(VLOOKUP($E$7,$M$2:$N$20,2,FALSE)),8,FALSE)</f>
        <v>0</v>
      </c>
      <c r="I623" s="97"/>
      <c r="J623" s="125"/>
      <c r="K623" s="101"/>
      <c r="L623" s="1"/>
      <c r="M623" s="86"/>
      <c r="N623" s="88"/>
    </row>
    <row r="624" spans="1:14" s="2" customFormat="1" x14ac:dyDescent="0.3">
      <c r="A624" s="123" t="s">
        <v>32</v>
      </c>
      <c r="B624" s="106">
        <f ca="1">VLOOKUP($B620,Salary_Master_2,7,FALSE)</f>
        <v>44774</v>
      </c>
      <c r="C624" s="106"/>
      <c r="D624" s="104"/>
      <c r="E624" s="105"/>
      <c r="F624" s="105"/>
      <c r="G624" s="97" t="s">
        <v>31</v>
      </c>
      <c r="H624" s="102">
        <f ca="1">VLOOKUP($B620,INDIRECT(VLOOKUP($E$7,$M$2:$N$20,2,FALSE)),9,FALSE)</f>
        <v>0</v>
      </c>
      <c r="I624" s="107"/>
      <c r="J624" s="107"/>
      <c r="K624" s="101"/>
      <c r="L624" s="1"/>
      <c r="M624" s="86"/>
      <c r="N624" s="88"/>
    </row>
    <row r="625" spans="1:14" s="2" customFormat="1" ht="3" customHeight="1" x14ac:dyDescent="0.3">
      <c r="A625" s="108"/>
      <c r="B625" s="109"/>
      <c r="C625" s="109"/>
      <c r="D625" s="109"/>
      <c r="E625" s="110"/>
      <c r="F625" s="110"/>
      <c r="G625" s="109"/>
      <c r="H625" s="109"/>
      <c r="I625" s="111"/>
      <c r="J625" s="111"/>
      <c r="K625" s="112"/>
      <c r="L625" s="1"/>
      <c r="M625" s="88"/>
      <c r="N625" s="88"/>
    </row>
    <row r="626" spans="1:14" s="2" customFormat="1" ht="3" customHeight="1" x14ac:dyDescent="0.3">
      <c r="A626" s="123"/>
      <c r="B626" s="113"/>
      <c r="C626" s="113"/>
      <c r="D626" s="113"/>
      <c r="E626" s="124"/>
      <c r="F626" s="124"/>
      <c r="G626" s="113"/>
      <c r="H626" s="113"/>
      <c r="I626" s="114"/>
      <c r="J626" s="114"/>
      <c r="K626" s="115"/>
      <c r="L626" s="1"/>
      <c r="M626" s="88"/>
      <c r="N626" s="88"/>
    </row>
    <row r="627" spans="1:14" s="1" customFormat="1" ht="3" customHeight="1" x14ac:dyDescent="0.3">
      <c r="A627" s="116"/>
      <c r="B627" s="117"/>
      <c r="C627" s="117"/>
      <c r="D627" s="115"/>
      <c r="E627" s="118"/>
      <c r="F627" s="118"/>
      <c r="G627" s="117"/>
      <c r="H627" s="117"/>
      <c r="I627" s="119"/>
      <c r="J627" s="119"/>
      <c r="K627" s="115"/>
      <c r="M627" s="88"/>
      <c r="N627" s="88"/>
    </row>
    <row r="628" spans="1:14" s="1" customFormat="1" ht="12" customHeight="1" x14ac:dyDescent="0.3">
      <c r="A628" s="120" t="s">
        <v>4</v>
      </c>
      <c r="B628" s="113"/>
      <c r="C628" s="113"/>
      <c r="D628" s="121" t="s">
        <v>5</v>
      </c>
      <c r="E628" s="122" t="s">
        <v>6</v>
      </c>
      <c r="F628" s="122"/>
      <c r="G628" s="113"/>
      <c r="H628" s="113"/>
      <c r="I628" s="113"/>
      <c r="J628" s="113"/>
      <c r="K628" s="121" t="s">
        <v>5</v>
      </c>
      <c r="M628" s="86"/>
      <c r="N628" s="88"/>
    </row>
    <row r="629" spans="1:14" s="1" customFormat="1" ht="3" customHeight="1" x14ac:dyDescent="0.3">
      <c r="A629" s="108"/>
      <c r="B629" s="109"/>
      <c r="C629" s="109"/>
      <c r="D629" s="112"/>
      <c r="E629" s="110"/>
      <c r="F629" s="110"/>
      <c r="G629" s="109"/>
      <c r="H629" s="109"/>
      <c r="I629" s="111"/>
      <c r="J629" s="111"/>
      <c r="K629" s="112"/>
      <c r="M629" s="88"/>
      <c r="N629" s="88"/>
    </row>
    <row r="630" spans="1:14" s="1" customFormat="1" ht="3" customHeight="1" x14ac:dyDescent="0.3">
      <c r="A630" s="123"/>
      <c r="B630" s="113"/>
      <c r="C630" s="113"/>
      <c r="D630" s="101"/>
      <c r="E630" s="124"/>
      <c r="F630" s="124"/>
      <c r="G630" s="113"/>
      <c r="H630" s="113"/>
      <c r="I630" s="114"/>
      <c r="J630" s="114"/>
      <c r="K630" s="101"/>
      <c r="M630" s="88"/>
      <c r="N630" s="88"/>
    </row>
    <row r="631" spans="1:14" s="1" customFormat="1" ht="12" customHeight="1" x14ac:dyDescent="0.3">
      <c r="A631" s="324" t="s">
        <v>7</v>
      </c>
      <c r="B631" s="325"/>
      <c r="C631" s="326">
        <f ca="1">VLOOKUP($B620,INDIRECT(VLOOKUP($E619,$M$2:$N$20,2,FALSE)),13,FALSE)</f>
        <v>10000</v>
      </c>
      <c r="D631" s="327"/>
      <c r="E631" s="324" t="s">
        <v>8</v>
      </c>
      <c r="F631" s="325"/>
      <c r="G631" s="325"/>
      <c r="H631" s="325"/>
      <c r="I631" s="325"/>
      <c r="J631" s="326">
        <f ca="1">VLOOKUP($B620,INDIRECT(VLOOKUP($E619,$M$2:$N$20,2,FALSE)),22,FALSE)</f>
        <v>1800</v>
      </c>
      <c r="K631" s="327"/>
      <c r="M631" s="86"/>
      <c r="N631" s="88"/>
    </row>
    <row r="632" spans="1:14" s="1" customFormat="1" ht="12" customHeight="1" x14ac:dyDescent="0.3">
      <c r="A632" s="324" t="s">
        <v>9</v>
      </c>
      <c r="B632" s="325"/>
      <c r="C632" s="326">
        <f ca="1">VLOOKUP($B620,INDIRECT(VLOOKUP($E619,$M$2:$N$20,2,FALSE)),14,FALSE)</f>
        <v>2000</v>
      </c>
      <c r="D632" s="327"/>
      <c r="E632" s="324" t="s">
        <v>94</v>
      </c>
      <c r="F632" s="325"/>
      <c r="G632" s="325"/>
      <c r="H632" s="325"/>
      <c r="I632" s="325"/>
      <c r="J632" s="326">
        <f ca="1">VLOOKUP($B620,INDIRECT(VLOOKUP($E619,$M$2:$N$20,2,FALSE)),23,FALSE)</f>
        <v>0</v>
      </c>
      <c r="K632" s="327"/>
      <c r="M632" s="86"/>
      <c r="N632" s="88"/>
    </row>
    <row r="633" spans="1:14" s="1" customFormat="1" ht="12" customHeight="1" x14ac:dyDescent="0.3">
      <c r="A633" s="324" t="s">
        <v>11</v>
      </c>
      <c r="B633" s="325"/>
      <c r="C633" s="326">
        <f ca="1">VLOOKUP($B620,INDIRECT(VLOOKUP($E619,$M$2:$N$20,2,FALSE)),15,FALSE)</f>
        <v>1600</v>
      </c>
      <c r="D633" s="327"/>
      <c r="E633" s="324" t="s">
        <v>10</v>
      </c>
      <c r="F633" s="325"/>
      <c r="G633" s="325"/>
      <c r="H633" s="325"/>
      <c r="I633" s="325"/>
      <c r="J633" s="326">
        <f ca="1">VLOOKUP($B620,INDIRECT(VLOOKUP($E619,$M$2:$N$20,2,FALSE)),24,FALSE)</f>
        <v>144</v>
      </c>
      <c r="K633" s="327"/>
      <c r="M633" s="87"/>
      <c r="N633" s="86"/>
    </row>
    <row r="634" spans="1:14" s="1" customFormat="1" ht="12" customHeight="1" x14ac:dyDescent="0.3">
      <c r="A634" s="324" t="s">
        <v>3</v>
      </c>
      <c r="B634" s="325"/>
      <c r="C634" s="326">
        <f ca="1">VLOOKUP($B620,INDIRECT(VLOOKUP($E619,$M$2:$N$20,2,FALSE)),16,FALSE)</f>
        <v>833</v>
      </c>
      <c r="D634" s="327"/>
      <c r="E634" s="324" t="s">
        <v>93</v>
      </c>
      <c r="F634" s="325"/>
      <c r="G634" s="325"/>
      <c r="H634" s="325"/>
      <c r="I634" s="325"/>
      <c r="J634" s="326">
        <f ca="1">VLOOKUP($B620,INDIRECT(VLOOKUP($E619,$M$2:$N$20,2,FALSE)),25,FALSE)</f>
        <v>0</v>
      </c>
      <c r="K634" s="327"/>
      <c r="M634" s="87"/>
      <c r="N634" s="89"/>
    </row>
    <row r="635" spans="1:14" s="1" customFormat="1" ht="12" customHeight="1" x14ac:dyDescent="0.3">
      <c r="A635" s="324" t="s">
        <v>13</v>
      </c>
      <c r="B635" s="325"/>
      <c r="C635" s="326">
        <f ca="1">VLOOKUP($B620,INDIRECT(VLOOKUP($E619,$M$2:$N$20,2,FALSE)),17,FALSE)</f>
        <v>4817</v>
      </c>
      <c r="D635" s="327"/>
      <c r="E635" s="324" t="s">
        <v>12</v>
      </c>
      <c r="F635" s="325"/>
      <c r="G635" s="325"/>
      <c r="H635" s="325"/>
      <c r="I635" s="325"/>
      <c r="J635" s="326">
        <f ca="1">VLOOKUP($B620,INDIRECT(VLOOKUP($E619,$M$2:$N$20,2,FALSE)),26,FALSE)</f>
        <v>200</v>
      </c>
      <c r="K635" s="327"/>
      <c r="M635" s="88" t="s">
        <v>73</v>
      </c>
      <c r="N635" s="88" t="str">
        <f ca="1">IF(VLOOKUP($B620,INDIRECT(VLOOKUP($E619,$M$2:$N$20,2,FALSE)),38,FALSE)&gt;0,"Yes","No")</f>
        <v>No</v>
      </c>
    </row>
    <row r="636" spans="1:14" s="1" customFormat="1" ht="12" customHeight="1" x14ac:dyDescent="0.3">
      <c r="A636" s="324" t="str">
        <f ca="1">IF($J632&gt;0,"Other Allowance",IF(VLOOKUP($B620,INDIRECT(VLOOKUP($E619,$M$2:$N$20,2,FALSE)),44,FALSE)=0,"",IF($E619=DATE(2025,6,1),"Arrears of Apr &amp; May-2025","")))</f>
        <v>Arrears of Apr &amp; May-2025</v>
      </c>
      <c r="B636" s="325"/>
      <c r="C636" s="326" cm="1">
        <f t="array" aca="1" ref="C636" ca="1">_xlfn.IFS($A636="","",$A636="Other Allowance",VLOOKUP($B620,INDIRECT(VLOOKUP($E619,$M$2:$N$20,2,FALSE)),18,FALSE),$A636="Arrears of Apr &amp; May-2025",VLOOKUP($B620,INDIRECT(VLOOKUP($E619,$M$2:$N$20,2,FALSE)),44,FALSE))</f>
        <v>2000</v>
      </c>
      <c r="D636" s="327"/>
      <c r="E636" s="324" t="str" cm="1">
        <f t="array" aca="1" ref="E636" ca="1">_xlfn.IFS(N635="Yes",M635,N636="Yes",M636,TRUE,"")</f>
        <v/>
      </c>
      <c r="F636" s="325"/>
      <c r="G636" s="325"/>
      <c r="H636" s="325"/>
      <c r="I636" s="325"/>
      <c r="J636" s="335" t="str" cm="1">
        <f t="array" aca="1" ref="J636" ca="1">IF(E636="","",_xlfn.IFS(N635="Yes",VLOOKUP($B620,INDIRECT(VLOOKUP($E619,$M$2:$N$20,2,FALSE)),27,FALSE),N636="Yes",VLOOKUP($B620,INDIRECT(VLOOKUP($E619,$M$2:$N$20,2,FALSE)),28,FALSE)))</f>
        <v/>
      </c>
      <c r="K636" s="336"/>
      <c r="M636" s="88" t="s">
        <v>14</v>
      </c>
      <c r="N636" s="88" t="str">
        <f ca="1">IF(VLOOKUP($B620,INDIRECT(VLOOKUP($E$7,$M$2:$N$20,2,FALSE)),39,FALSE)&gt;0,"Yes","No")</f>
        <v>No</v>
      </c>
    </row>
    <row r="637" spans="1:14" s="1" customFormat="1" ht="12" customHeight="1" x14ac:dyDescent="0.3">
      <c r="A637" s="324" t="str" cm="1">
        <f t="array" aca="1" ref="A637" ca="1">_xlfn.IFS($A636="","",$A636="Other Allowance","EPF",$A636="Arrears of Apr &amp; May-2025","",VLOOKUP($B620,INDIRECT(VLOOKUP($E619,$M$2:$N$20,2,FALSE)),44,FALSE)=0,"",$E619=DATE(2025,6,1),"Arrears of Apr &amp; May-2025")</f>
        <v/>
      </c>
      <c r="B637" s="325"/>
      <c r="C637" s="326" t="str" cm="1">
        <f t="array" aca="1" ref="C637" ca="1">_xlfn.IFS($A637="","",$A637="EPF",VLOOKUP($B620,INDIRECT(VLOOKUP($E619,$M$2:$N$20,2,FALSE)),19,FALSE),$A637="Arrears of Apr &amp; May-2025",VLOOKUP($B620,INDIRECT(VLOOKUP($E619,$M$2:$N$20,2,FALSE)),44,FALSE))</f>
        <v/>
      </c>
      <c r="D637" s="327"/>
      <c r="E637" s="324" t="str" cm="1">
        <f t="array" aca="1" ref="E637" ca="1">_xlfn.IFS(N636="No","",N635="Yes",M636,TRUE,"")</f>
        <v/>
      </c>
      <c r="F637" s="325"/>
      <c r="G637" s="325"/>
      <c r="H637" s="325"/>
      <c r="I637" s="325"/>
      <c r="J637" s="335" t="str">
        <f ca="1">IF(E637="","",VLOOKUP($B620,INDIRECT(VLOOKUP($E619,$M$2:$N$20,2,FALSE)),28,FALSE))</f>
        <v/>
      </c>
      <c r="K637" s="336"/>
      <c r="M637" s="130"/>
      <c r="N637" s="88"/>
    </row>
    <row r="638" spans="1:14" s="1" customFormat="1" ht="12" customHeight="1" x14ac:dyDescent="0.3">
      <c r="A638" s="324" t="str">
        <f ca="1">IF($J634&gt;0,"ESIC (Employer)",IF($A637="","",IF(VLOOKUP($B620,INDIRECT(VLOOKUP($E619,$M$2:$N$20,2,FALSE)),44,FALSE)="","",IF($E619=DATE(2025,6,1),"Arrears of Apr &amp; May-2025",""))))</f>
        <v/>
      </c>
      <c r="B638" s="325"/>
      <c r="C638" s="326" t="str" cm="1">
        <f t="array" aca="1" ref="C638" ca="1">_xlfn.IFS($A638="","",$A638="ESIC (Employer)",VLOOKUP($B620,INDIRECT(VLOOKUP($E619,$M$2:$N$20,2,FALSE)),20,FALSE),$A638="Arrears of Apr &amp; May-2025",VLOOKUP($B620,INDIRECT(VLOOKUP($E619,$M$2:$N$20,2,FALSE)),44,FALSE))</f>
        <v/>
      </c>
      <c r="D638" s="327"/>
      <c r="E638" s="324"/>
      <c r="F638" s="325"/>
      <c r="G638" s="325"/>
      <c r="H638" s="325"/>
      <c r="I638" s="325"/>
      <c r="J638" s="335"/>
      <c r="K638" s="336"/>
      <c r="M638" s="88"/>
      <c r="N638" s="88"/>
    </row>
    <row r="639" spans="1:14" s="1" customFormat="1" ht="12" customHeight="1" x14ac:dyDescent="0.3">
      <c r="A639" s="324" t="str">
        <f ca="1">IF($A638="","",IF(VLOOKUP($B620,INDIRECT(VLOOKUP($E619,$M$2:$N$20,2,FALSE)),44,FALSE)=0,"",IF($A638="Arrears of Apr &amp; May-2025","",IF($E619=DATE(2025,6,1),"Arrears of Apr &amp; May-2025",""))))</f>
        <v/>
      </c>
      <c r="B639" s="325"/>
      <c r="C639" s="326" t="str" cm="1">
        <f t="array" aca="1" ref="C639" ca="1">_xlfn.IFS($A639="","",$A639="Arrears of Apr &amp; May-2025",VLOOKUP($B620,INDIRECT(VLOOKUP($E619,$M$2:$N$20,2,FALSE)),44,FALSE))</f>
        <v/>
      </c>
      <c r="D639" s="327"/>
      <c r="E639" s="324"/>
      <c r="F639" s="325"/>
      <c r="G639" s="325"/>
      <c r="H639" s="325"/>
      <c r="I639" s="325"/>
      <c r="J639" s="335"/>
      <c r="K639" s="336"/>
      <c r="M639" s="88"/>
      <c r="N639" s="88"/>
    </row>
    <row r="640" spans="1:14" s="1" customFormat="1" ht="12" customHeight="1" x14ac:dyDescent="0.3">
      <c r="A640" s="324"/>
      <c r="B640" s="325"/>
      <c r="C640" s="326"/>
      <c r="D640" s="327"/>
      <c r="E640" s="124"/>
      <c r="F640" s="124"/>
      <c r="G640" s="124"/>
      <c r="H640" s="124"/>
      <c r="I640" s="124"/>
      <c r="J640" s="335"/>
      <c r="K640" s="336"/>
      <c r="M640" s="88"/>
      <c r="N640" s="88"/>
    </row>
    <row r="641" spans="1:14" s="1" customFormat="1" ht="3" customHeight="1" x14ac:dyDescent="0.3">
      <c r="A641" s="108"/>
      <c r="B641" s="109"/>
      <c r="C641" s="109"/>
      <c r="D641" s="112"/>
      <c r="E641" s="110"/>
      <c r="F641" s="110"/>
      <c r="G641" s="109"/>
      <c r="H641" s="109"/>
      <c r="I641" s="111"/>
      <c r="J641" s="111"/>
      <c r="K641" s="112"/>
      <c r="M641" s="88"/>
      <c r="N641" s="88"/>
    </row>
    <row r="642" spans="1:14" s="1" customFormat="1" ht="3" customHeight="1" x14ac:dyDescent="0.3">
      <c r="A642" s="123"/>
      <c r="B642" s="113"/>
      <c r="C642" s="113"/>
      <c r="D642" s="101"/>
      <c r="E642" s="124"/>
      <c r="F642" s="124"/>
      <c r="G642" s="113"/>
      <c r="H642" s="113"/>
      <c r="I642" s="114"/>
      <c r="J642" s="114"/>
      <c r="K642" s="101"/>
      <c r="M642" s="88"/>
      <c r="N642" s="88"/>
    </row>
    <row r="643" spans="1:14" s="4" customFormat="1" ht="19.95" customHeight="1" x14ac:dyDescent="0.3">
      <c r="A643" s="328" t="s">
        <v>15</v>
      </c>
      <c r="B643" s="329"/>
      <c r="C643" s="330">
        <f ca="1">SUM(C631:D642)</f>
        <v>21250</v>
      </c>
      <c r="D643" s="331"/>
      <c r="E643" s="328" t="s">
        <v>16</v>
      </c>
      <c r="F643" s="329"/>
      <c r="G643" s="329"/>
      <c r="H643" s="329"/>
      <c r="I643" s="329"/>
      <c r="J643" s="330">
        <f ca="1">SUM(J631:K639)</f>
        <v>2144</v>
      </c>
      <c r="K643" s="331"/>
      <c r="M643" s="129"/>
      <c r="N643" s="90"/>
    </row>
    <row r="644" spans="1:14" s="1" customFormat="1" ht="3" customHeight="1" x14ac:dyDescent="0.3">
      <c r="A644" s="108"/>
      <c r="B644" s="109"/>
      <c r="C644" s="109"/>
      <c r="D644" s="112"/>
      <c r="E644" s="110"/>
      <c r="F644" s="110"/>
      <c r="G644" s="109"/>
      <c r="H644" s="109"/>
      <c r="I644" s="111"/>
      <c r="J644" s="111"/>
      <c r="K644" s="112"/>
      <c r="M644" s="88"/>
      <c r="N644" s="88"/>
    </row>
    <row r="645" spans="1:14" s="1" customFormat="1" ht="3" customHeight="1" x14ac:dyDescent="0.3">
      <c r="A645" s="123"/>
      <c r="B645" s="113"/>
      <c r="C645" s="113"/>
      <c r="D645" s="117"/>
      <c r="E645" s="118"/>
      <c r="F645" s="124"/>
      <c r="G645" s="113"/>
      <c r="H645" s="126"/>
      <c r="I645" s="119"/>
      <c r="J645" s="119"/>
      <c r="K645" s="115"/>
      <c r="M645" s="88"/>
      <c r="N645" s="88"/>
    </row>
    <row r="646" spans="1:14" s="5" customFormat="1" ht="19.95" customHeight="1" x14ac:dyDescent="0.3">
      <c r="A646" s="328" t="str" cm="1">
        <f t="array" aca="1" ref="A646" ca="1">mgm(J646)</f>
        <v>Rupees Nineteen Thousand One Hundred Six Only</v>
      </c>
      <c r="B646" s="329"/>
      <c r="C646" s="329"/>
      <c r="D646" s="329"/>
      <c r="E646" s="329"/>
      <c r="F646" s="329"/>
      <c r="G646" s="332"/>
      <c r="H646" s="333" t="s">
        <v>17</v>
      </c>
      <c r="I646" s="334"/>
      <c r="J646" s="330">
        <f ca="1">C643-J643</f>
        <v>19106</v>
      </c>
      <c r="K646" s="331"/>
      <c r="L646" s="205"/>
      <c r="M646" s="90"/>
      <c r="N646" s="90"/>
    </row>
    <row r="647" spans="1:14" s="1" customFormat="1" ht="3" customHeight="1" x14ac:dyDescent="0.3">
      <c r="A647" s="108"/>
      <c r="B647" s="109"/>
      <c r="C647" s="109"/>
      <c r="D647" s="109"/>
      <c r="E647" s="110"/>
      <c r="F647" s="110"/>
      <c r="G647" s="109"/>
      <c r="H647" s="127"/>
      <c r="I647" s="111"/>
      <c r="J647" s="111"/>
      <c r="K647" s="112"/>
      <c r="M647" s="88"/>
      <c r="N647" s="88"/>
    </row>
    <row r="648" spans="1:14" s="1" customFormat="1" ht="19.95" customHeight="1" x14ac:dyDescent="0.3">
      <c r="A648" s="323" t="s">
        <v>18</v>
      </c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M648" s="88"/>
      <c r="N648" s="88"/>
    </row>
    <row r="649" spans="1:14" s="132" customFormat="1" ht="60" customHeight="1" x14ac:dyDescent="0.3">
      <c r="A649" s="181"/>
      <c r="E649" s="181"/>
      <c r="F649" s="181"/>
    </row>
    <row r="650" spans="1:14" s="2" customFormat="1" ht="19.95" customHeight="1" x14ac:dyDescent="0.3">
      <c r="A650" s="338" t="s">
        <v>107</v>
      </c>
      <c r="B650" s="339"/>
      <c r="C650" s="339"/>
      <c r="D650" s="339"/>
      <c r="E650" s="339"/>
      <c r="F650" s="339"/>
      <c r="G650" s="339"/>
      <c r="H650" s="339"/>
      <c r="I650" s="339"/>
      <c r="J650" s="339"/>
      <c r="K650" s="340"/>
      <c r="L650" s="1"/>
      <c r="M650" s="86"/>
      <c r="N650" s="87"/>
    </row>
    <row r="651" spans="1:14" s="2" customFormat="1" ht="15" customHeight="1" x14ac:dyDescent="0.3">
      <c r="A651" s="341" t="s">
        <v>180</v>
      </c>
      <c r="B651" s="342"/>
      <c r="C651" s="342"/>
      <c r="D651" s="342"/>
      <c r="E651" s="342"/>
      <c r="F651" s="342"/>
      <c r="G651" s="342"/>
      <c r="H651" s="342"/>
      <c r="I651" s="342"/>
      <c r="J651" s="342"/>
      <c r="K651" s="343"/>
      <c r="L651" s="1"/>
      <c r="M651" s="86"/>
      <c r="N651" s="88"/>
    </row>
    <row r="652" spans="1:14" s="2" customFormat="1" ht="15" customHeight="1" x14ac:dyDescent="0.3">
      <c r="A652" s="344" t="s">
        <v>72</v>
      </c>
      <c r="B652" s="345"/>
      <c r="C652" s="345"/>
      <c r="D652" s="345"/>
      <c r="E652" s="345"/>
      <c r="F652" s="345"/>
      <c r="G652" s="345"/>
      <c r="H652" s="345"/>
      <c r="I652" s="345"/>
      <c r="J652" s="345"/>
      <c r="K652" s="346"/>
      <c r="L652" s="1"/>
      <c r="M652" s="86"/>
      <c r="N652" s="88"/>
    </row>
    <row r="653" spans="1:14" s="2" customFormat="1" ht="4.95" customHeight="1" x14ac:dyDescent="0.3">
      <c r="A653" s="92"/>
      <c r="B653" s="347"/>
      <c r="C653" s="347"/>
      <c r="D653" s="347"/>
      <c r="E653" s="347"/>
      <c r="F653" s="347"/>
      <c r="G653" s="347"/>
      <c r="H653" s="347"/>
      <c r="I653" s="347"/>
      <c r="J653" s="347"/>
      <c r="K653" s="348"/>
      <c r="L653" s="1"/>
      <c r="M653" s="88"/>
      <c r="N653" s="88"/>
    </row>
    <row r="654" spans="1:14" s="2" customFormat="1" ht="3" customHeight="1" x14ac:dyDescent="0.3">
      <c r="A654" s="93"/>
      <c r="B654" s="94"/>
      <c r="C654" s="94"/>
      <c r="D654" s="94"/>
      <c r="E654" s="95"/>
      <c r="F654" s="95"/>
      <c r="G654" s="94"/>
      <c r="H654" s="94"/>
      <c r="I654" s="94"/>
      <c r="J654" s="94"/>
      <c r="K654" s="96"/>
      <c r="L654" s="1"/>
      <c r="M654" s="88"/>
      <c r="N654" s="88"/>
    </row>
    <row r="655" spans="1:14" s="2" customFormat="1" x14ac:dyDescent="0.3">
      <c r="A655" s="123" t="s">
        <v>68</v>
      </c>
      <c r="B655" s="124" t="str">
        <f ca="1">VLOOKUP($B656,Salary_Master_2,3,FALSE)</f>
        <v>HO024</v>
      </c>
      <c r="C655" s="349" t="s">
        <v>21</v>
      </c>
      <c r="D655" s="349"/>
      <c r="E655" s="350">
        <f>IF($E$1="","",$E$1)</f>
        <v>45809</v>
      </c>
      <c r="F655" s="350"/>
      <c r="G655" s="97" t="s">
        <v>22</v>
      </c>
      <c r="H655" s="98">
        <f ca="1">VLOOKUP($B656,INDIRECT(VLOOKUP($E$7,$M$2:$N$20,2,FALSE)),3,FALSE)</f>
        <v>31</v>
      </c>
      <c r="I655" s="99"/>
      <c r="J655" s="100" t="s">
        <v>27</v>
      </c>
      <c r="K655" s="101"/>
      <c r="L655" s="1"/>
      <c r="M655" s="86"/>
      <c r="N655" s="88"/>
    </row>
    <row r="656" spans="1:14" s="2" customFormat="1" x14ac:dyDescent="0.3">
      <c r="A656" s="123" t="s">
        <v>19</v>
      </c>
      <c r="B656" s="124" t="str">
        <f ca="1">IF(Salary_Master_2!$B$23="","",VLOOKUP(Salary_Master_2!$B$23,INDIRECT(VLOOKUP($E655,$M$2:$N$20,2,FALSE)),1,FALSE))</f>
        <v>Rahul Jadhav</v>
      </c>
      <c r="C656" s="351" t="s">
        <v>1</v>
      </c>
      <c r="D656" s="351"/>
      <c r="E656" s="352">
        <f ca="1">SUM($H655:$H658)</f>
        <v>31</v>
      </c>
      <c r="F656" s="352"/>
      <c r="G656" s="97" t="s">
        <v>24</v>
      </c>
      <c r="H656" s="102">
        <f ca="1">VLOOKUP($B656,INDIRECT(VLOOKUP($E$7,$M$2:$N$20,2,FALSE)),4,FALSE)</f>
        <v>0</v>
      </c>
      <c r="I656" s="100"/>
      <c r="J656" s="103" t="s">
        <v>28</v>
      </c>
      <c r="K656" s="101">
        <f ca="1">VLOOKUP($B656,INDIRECT(VLOOKUP($E$7,$M$2:$N$20,2,FALSE)),29,FALSE)</f>
        <v>15602</v>
      </c>
      <c r="L656" s="1"/>
      <c r="M656" s="86"/>
      <c r="N656" s="88"/>
    </row>
    <row r="657" spans="1:14" s="2" customFormat="1" x14ac:dyDescent="0.3">
      <c r="A657" s="123" t="s">
        <v>0</v>
      </c>
      <c r="B657" s="124" t="str">
        <f ca="1">VLOOKUP($B656,Salary_Master_2,4,FALSE)</f>
        <v>Office assistant</v>
      </c>
      <c r="C657" s="124"/>
      <c r="D657" s="103" t="s">
        <v>70</v>
      </c>
      <c r="E657" s="337">
        <f ca="1">VLOOKUP($B656,Salary_Master_2,9,FALSE)</f>
        <v>101865613135</v>
      </c>
      <c r="F657" s="337"/>
      <c r="G657" s="97" t="s">
        <v>25</v>
      </c>
      <c r="H657" s="102">
        <f ca="1">VLOOKUP($B656,INDIRECT(VLOOKUP($E$7,$M$2:$N$20,2,FALSE)),5,FALSE)</f>
        <v>0</v>
      </c>
      <c r="I657" s="97"/>
      <c r="J657" s="103" t="s">
        <v>29</v>
      </c>
      <c r="K657" s="101" t="str">
        <f ca="1">VLOOKUP($B656,INDIRECT(VLOOKUP($E$7,$M$2:$N$20,2,FALSE)),30,FALSE)</f>
        <v>Male</v>
      </c>
      <c r="L657" s="1"/>
      <c r="M657" s="86"/>
      <c r="N657" s="88"/>
    </row>
    <row r="658" spans="1:14" s="2" customFormat="1" x14ac:dyDescent="0.3">
      <c r="A658" s="123" t="s">
        <v>20</v>
      </c>
      <c r="B658" s="124" t="str">
        <f ca="1">VLOOKUP($B656,Salary_Master_2,5,FALSE)</f>
        <v>Sales</v>
      </c>
      <c r="C658" s="124"/>
      <c r="D658" s="103" t="s">
        <v>71</v>
      </c>
      <c r="E658" s="337">
        <f ca="1">VLOOKUP($B656,Salary_Master_2,10,FALSE)</f>
        <v>3517670835</v>
      </c>
      <c r="F658" s="337"/>
      <c r="G658" s="97" t="s">
        <v>26</v>
      </c>
      <c r="H658" s="102">
        <f ca="1">VLOOKUP($B656,INDIRECT(VLOOKUP($E$7,$M$2:$N$20,2,FALSE)),6,FALSE)</f>
        <v>0</v>
      </c>
      <c r="I658" s="97"/>
      <c r="J658" s="103" t="s">
        <v>30</v>
      </c>
      <c r="K658" s="101">
        <f ca="1">VLOOKUP($B656,INDIRECT(VLOOKUP($E$7,$M$2:$N$20,2,FALSE)),31,FALSE)</f>
        <v>4.5</v>
      </c>
      <c r="L658" s="1"/>
      <c r="M658" s="86"/>
      <c r="N658" s="88"/>
    </row>
    <row r="659" spans="1:14" s="2" customFormat="1" x14ac:dyDescent="0.3">
      <c r="A659" s="123" t="s">
        <v>69</v>
      </c>
      <c r="B659" s="124" t="str">
        <f ca="1">VLOOKUP($B656,Salary_Master_2,6,FALSE)</f>
        <v>HO</v>
      </c>
      <c r="C659" s="124"/>
      <c r="D659" s="104"/>
      <c r="E659" s="105"/>
      <c r="F659" s="105"/>
      <c r="G659" s="97" t="s">
        <v>23</v>
      </c>
      <c r="H659" s="102">
        <f ca="1">VLOOKUP($B656,INDIRECT(VLOOKUP($E$7,$M$2:$N$20,2,FALSE)),8,FALSE)</f>
        <v>0</v>
      </c>
      <c r="I659" s="97"/>
      <c r="J659" s="125"/>
      <c r="K659" s="101"/>
      <c r="L659" s="1"/>
      <c r="M659" s="86"/>
      <c r="N659" s="88"/>
    </row>
    <row r="660" spans="1:14" s="2" customFormat="1" x14ac:dyDescent="0.3">
      <c r="A660" s="123" t="s">
        <v>32</v>
      </c>
      <c r="B660" s="106">
        <f ca="1">VLOOKUP($B656,Salary_Master_2,7,FALSE)</f>
        <v>44774</v>
      </c>
      <c r="C660" s="106"/>
      <c r="D660" s="104"/>
      <c r="E660" s="105"/>
      <c r="F660" s="105"/>
      <c r="G660" s="97" t="s">
        <v>31</v>
      </c>
      <c r="H660" s="102">
        <f ca="1">VLOOKUP($B656,INDIRECT(VLOOKUP($E$7,$M$2:$N$20,2,FALSE)),9,FALSE)</f>
        <v>0</v>
      </c>
      <c r="I660" s="107"/>
      <c r="J660" s="107"/>
      <c r="K660" s="101"/>
      <c r="L660" s="1"/>
      <c r="M660" s="86"/>
      <c r="N660" s="88"/>
    </row>
    <row r="661" spans="1:14" s="2" customFormat="1" ht="3" customHeight="1" x14ac:dyDescent="0.3">
      <c r="A661" s="108"/>
      <c r="B661" s="109"/>
      <c r="C661" s="109"/>
      <c r="D661" s="109"/>
      <c r="E661" s="110"/>
      <c r="F661" s="110"/>
      <c r="G661" s="109"/>
      <c r="H661" s="109"/>
      <c r="I661" s="111"/>
      <c r="J661" s="111"/>
      <c r="K661" s="112"/>
      <c r="L661" s="1"/>
      <c r="M661" s="88"/>
      <c r="N661" s="88"/>
    </row>
    <row r="662" spans="1:14" s="2" customFormat="1" ht="3" customHeight="1" x14ac:dyDescent="0.3">
      <c r="A662" s="123"/>
      <c r="B662" s="113"/>
      <c r="C662" s="113"/>
      <c r="D662" s="113"/>
      <c r="E662" s="124"/>
      <c r="F662" s="124"/>
      <c r="G662" s="113"/>
      <c r="H662" s="113"/>
      <c r="I662" s="114"/>
      <c r="J662" s="114"/>
      <c r="K662" s="115"/>
      <c r="L662" s="1"/>
      <c r="M662" s="88"/>
      <c r="N662" s="88"/>
    </row>
    <row r="663" spans="1:14" s="1" customFormat="1" ht="3" customHeight="1" x14ac:dyDescent="0.3">
      <c r="A663" s="116"/>
      <c r="B663" s="117"/>
      <c r="C663" s="117"/>
      <c r="D663" s="115"/>
      <c r="E663" s="118"/>
      <c r="F663" s="118"/>
      <c r="G663" s="117"/>
      <c r="H663" s="117"/>
      <c r="I663" s="119"/>
      <c r="J663" s="119"/>
      <c r="K663" s="115"/>
      <c r="M663" s="88"/>
      <c r="N663" s="88"/>
    </row>
    <row r="664" spans="1:14" s="1" customFormat="1" ht="12" customHeight="1" x14ac:dyDescent="0.3">
      <c r="A664" s="120" t="s">
        <v>4</v>
      </c>
      <c r="B664" s="113"/>
      <c r="C664" s="113"/>
      <c r="D664" s="121" t="s">
        <v>5</v>
      </c>
      <c r="E664" s="122" t="s">
        <v>6</v>
      </c>
      <c r="F664" s="122"/>
      <c r="G664" s="113"/>
      <c r="H664" s="113"/>
      <c r="I664" s="113"/>
      <c r="J664" s="113"/>
      <c r="K664" s="121" t="s">
        <v>5</v>
      </c>
      <c r="M664" s="86"/>
      <c r="N664" s="88"/>
    </row>
    <row r="665" spans="1:14" s="1" customFormat="1" ht="3" customHeight="1" x14ac:dyDescent="0.3">
      <c r="A665" s="108"/>
      <c r="B665" s="109"/>
      <c r="C665" s="109"/>
      <c r="D665" s="112"/>
      <c r="E665" s="110"/>
      <c r="F665" s="110"/>
      <c r="G665" s="109"/>
      <c r="H665" s="109"/>
      <c r="I665" s="111"/>
      <c r="J665" s="111"/>
      <c r="K665" s="112"/>
      <c r="M665" s="88"/>
      <c r="N665" s="88"/>
    </row>
    <row r="666" spans="1:14" s="1" customFormat="1" ht="3" customHeight="1" x14ac:dyDescent="0.3">
      <c r="A666" s="123"/>
      <c r="B666" s="113"/>
      <c r="C666" s="113"/>
      <c r="D666" s="101"/>
      <c r="E666" s="124"/>
      <c r="F666" s="124"/>
      <c r="G666" s="113"/>
      <c r="H666" s="113"/>
      <c r="I666" s="114"/>
      <c r="J666" s="114"/>
      <c r="K666" s="101"/>
      <c r="M666" s="88"/>
      <c r="N666" s="88"/>
    </row>
    <row r="667" spans="1:14" s="1" customFormat="1" ht="12" customHeight="1" x14ac:dyDescent="0.3">
      <c r="A667" s="324" t="s">
        <v>7</v>
      </c>
      <c r="B667" s="325"/>
      <c r="C667" s="326">
        <f ca="1">VLOOKUP($B656,INDIRECT(VLOOKUP($E655,$M$2:$N$20,2,FALSE)),13,FALSE)</f>
        <v>10000</v>
      </c>
      <c r="D667" s="327"/>
      <c r="E667" s="324" t="s">
        <v>8</v>
      </c>
      <c r="F667" s="325"/>
      <c r="G667" s="325"/>
      <c r="H667" s="325"/>
      <c r="I667" s="325"/>
      <c r="J667" s="326">
        <f ca="1">VLOOKUP($B656,INDIRECT(VLOOKUP($E655,$M$2:$N$20,2,FALSE)),22,FALSE)</f>
        <v>1800</v>
      </c>
      <c r="K667" s="327"/>
      <c r="M667" s="86"/>
      <c r="N667" s="88"/>
    </row>
    <row r="668" spans="1:14" s="1" customFormat="1" ht="12" customHeight="1" x14ac:dyDescent="0.3">
      <c r="A668" s="324" t="s">
        <v>9</v>
      </c>
      <c r="B668" s="325"/>
      <c r="C668" s="326">
        <f ca="1">VLOOKUP($B656,INDIRECT(VLOOKUP($E655,$M$2:$N$20,2,FALSE)),14,FALSE)</f>
        <v>2000</v>
      </c>
      <c r="D668" s="327"/>
      <c r="E668" s="324" t="s">
        <v>94</v>
      </c>
      <c r="F668" s="325"/>
      <c r="G668" s="325"/>
      <c r="H668" s="325"/>
      <c r="I668" s="325"/>
      <c r="J668" s="326">
        <f ca="1">VLOOKUP($B656,INDIRECT(VLOOKUP($E655,$M$2:$N$20,2,FALSE)),23,FALSE)</f>
        <v>0</v>
      </c>
      <c r="K668" s="327"/>
      <c r="M668" s="86"/>
      <c r="N668" s="88"/>
    </row>
    <row r="669" spans="1:14" s="1" customFormat="1" ht="12" customHeight="1" x14ac:dyDescent="0.3">
      <c r="A669" s="324" t="s">
        <v>11</v>
      </c>
      <c r="B669" s="325"/>
      <c r="C669" s="326">
        <f ca="1">VLOOKUP($B656,INDIRECT(VLOOKUP($E655,$M$2:$N$20,2,FALSE)),15,FALSE)</f>
        <v>1600</v>
      </c>
      <c r="D669" s="327"/>
      <c r="E669" s="324" t="s">
        <v>10</v>
      </c>
      <c r="F669" s="325"/>
      <c r="G669" s="325"/>
      <c r="H669" s="325"/>
      <c r="I669" s="325"/>
      <c r="J669" s="326">
        <f ca="1">VLOOKUP($B656,INDIRECT(VLOOKUP($E655,$M$2:$N$20,2,FALSE)),24,FALSE)</f>
        <v>148</v>
      </c>
      <c r="K669" s="327"/>
      <c r="M669" s="87"/>
      <c r="N669" s="86"/>
    </row>
    <row r="670" spans="1:14" s="1" customFormat="1" ht="12" customHeight="1" x14ac:dyDescent="0.3">
      <c r="A670" s="324" t="s">
        <v>3</v>
      </c>
      <c r="B670" s="325"/>
      <c r="C670" s="326">
        <f ca="1">VLOOKUP($B656,INDIRECT(VLOOKUP($E655,$M$2:$N$20,2,FALSE)),16,FALSE)</f>
        <v>833</v>
      </c>
      <c r="D670" s="327"/>
      <c r="E670" s="324" t="s">
        <v>93</v>
      </c>
      <c r="F670" s="325"/>
      <c r="G670" s="325"/>
      <c r="H670" s="325"/>
      <c r="I670" s="325"/>
      <c r="J670" s="326">
        <f ca="1">VLOOKUP($B656,INDIRECT(VLOOKUP($E655,$M$2:$N$20,2,FALSE)),25,FALSE)</f>
        <v>0</v>
      </c>
      <c r="K670" s="327"/>
      <c r="M670" s="87"/>
      <c r="N670" s="89"/>
    </row>
    <row r="671" spans="1:14" s="1" customFormat="1" ht="12" customHeight="1" x14ac:dyDescent="0.3">
      <c r="A671" s="324" t="s">
        <v>13</v>
      </c>
      <c r="B671" s="325"/>
      <c r="C671" s="326">
        <f ca="1">VLOOKUP($B656,INDIRECT(VLOOKUP($E655,$M$2:$N$20,2,FALSE)),17,FALSE)</f>
        <v>5317</v>
      </c>
      <c r="D671" s="327"/>
      <c r="E671" s="324" t="s">
        <v>12</v>
      </c>
      <c r="F671" s="325"/>
      <c r="G671" s="325"/>
      <c r="H671" s="325"/>
      <c r="I671" s="325"/>
      <c r="J671" s="326">
        <f ca="1">VLOOKUP($B656,INDIRECT(VLOOKUP($E655,$M$2:$N$20,2,FALSE)),26,FALSE)</f>
        <v>200</v>
      </c>
      <c r="K671" s="327"/>
      <c r="M671" s="88" t="s">
        <v>73</v>
      </c>
      <c r="N671" s="88" t="str">
        <f ca="1">IF(VLOOKUP($B656,INDIRECT(VLOOKUP($E655,$M$2:$N$20,2,FALSE)),38,FALSE)&gt;0,"Yes","No")</f>
        <v>Yes</v>
      </c>
    </row>
    <row r="672" spans="1:14" s="1" customFormat="1" ht="12" customHeight="1" x14ac:dyDescent="0.3">
      <c r="A672" s="324" t="str">
        <f ca="1">IF($J668&gt;0,"Other Allowance",IF(VLOOKUP($B656,INDIRECT(VLOOKUP($E655,$M$2:$N$20,2,FALSE)),44,FALSE)=0,"",IF($E655=DATE(2025,6,1),"Arrears of Apr &amp; May-2025","")))</f>
        <v>Arrears of Apr &amp; May-2025</v>
      </c>
      <c r="B672" s="325"/>
      <c r="C672" s="326" cm="1">
        <f t="array" aca="1" ref="C672" ca="1">_xlfn.IFS($A672="","",$A672="Other Allowance",VLOOKUP($B656,INDIRECT(VLOOKUP($E655,$M$2:$N$20,2,FALSE)),18,FALSE),$A672="Arrears of Apr &amp; May-2025",VLOOKUP($B656,INDIRECT(VLOOKUP($E655,$M$2:$N$20,2,FALSE)),44,FALSE))</f>
        <v>2000</v>
      </c>
      <c r="D672" s="327"/>
      <c r="E672" s="324" t="str" cm="1">
        <f t="array" aca="1" ref="E672" ca="1">_xlfn.IFS(N671="Yes",M671,N672="Yes",M672,TRUE,"")</f>
        <v>Advance/Loan</v>
      </c>
      <c r="F672" s="325"/>
      <c r="G672" s="325"/>
      <c r="H672" s="325"/>
      <c r="I672" s="325"/>
      <c r="J672" s="335" cm="1">
        <f t="array" aca="1" ref="J672" ca="1">IF(E672="","",_xlfn.IFS(N671="Yes",VLOOKUP($B656,INDIRECT(VLOOKUP($E655,$M$2:$N$20,2,FALSE)),27,FALSE),N672="Yes",VLOOKUP($B656,INDIRECT(VLOOKUP($E655,$M$2:$N$20,2,FALSE)),28,FALSE)))</f>
        <v>2000</v>
      </c>
      <c r="K672" s="336"/>
      <c r="M672" s="88" t="s">
        <v>14</v>
      </c>
      <c r="N672" s="88" t="str">
        <f ca="1">IF(VLOOKUP($B656,INDIRECT(VLOOKUP($E$7,$M$2:$N$20,2,FALSE)),39,FALSE)&gt;0,"Yes","No")</f>
        <v>No</v>
      </c>
    </row>
    <row r="673" spans="1:14" s="1" customFormat="1" ht="12" customHeight="1" x14ac:dyDescent="0.3">
      <c r="A673" s="324" t="str" cm="1">
        <f t="array" aca="1" ref="A673" ca="1">_xlfn.IFS($A672="","",$A672="Other Allowance","EPF",$A672="Arrears of Apr &amp; May-2025","",VLOOKUP($B656,INDIRECT(VLOOKUP($E655,$M$2:$N$20,2,FALSE)),44,FALSE)=0,"",$E655=DATE(2025,6,1),"Arrears of Apr &amp; May-2025")</f>
        <v/>
      </c>
      <c r="B673" s="325"/>
      <c r="C673" s="326" t="str" cm="1">
        <f t="array" aca="1" ref="C673" ca="1">_xlfn.IFS($A673="","",$A673="EPF",VLOOKUP($B656,INDIRECT(VLOOKUP($E655,$M$2:$N$20,2,FALSE)),19,FALSE),$A673="Arrears of Apr &amp; May-2025",VLOOKUP($B656,INDIRECT(VLOOKUP($E655,$M$2:$N$20,2,FALSE)),44,FALSE))</f>
        <v/>
      </c>
      <c r="D673" s="327"/>
      <c r="E673" s="324" t="str" cm="1">
        <f t="array" aca="1" ref="E673" ca="1">_xlfn.IFS(N672="No","",N671="Yes",M672,TRUE,"")</f>
        <v/>
      </c>
      <c r="F673" s="325"/>
      <c r="G673" s="325"/>
      <c r="H673" s="325"/>
      <c r="I673" s="325"/>
      <c r="J673" s="335" t="str">
        <f ca="1">IF(E673="","",VLOOKUP($B656,INDIRECT(VLOOKUP($E655,$M$2:$N$20,2,FALSE)),28,FALSE))</f>
        <v/>
      </c>
      <c r="K673" s="336"/>
      <c r="M673" s="130"/>
      <c r="N673" s="88"/>
    </row>
    <row r="674" spans="1:14" s="1" customFormat="1" ht="12" customHeight="1" x14ac:dyDescent="0.3">
      <c r="A674" s="324" t="str">
        <f ca="1">IF($J670&gt;0,"ESIC (Employer)",IF($A673="","",IF(VLOOKUP($B656,INDIRECT(VLOOKUP($E655,$M$2:$N$20,2,FALSE)),44,FALSE)="","",IF($E655=DATE(2025,6,1),"Arrears of Apr &amp; May-2025",""))))</f>
        <v/>
      </c>
      <c r="B674" s="325"/>
      <c r="C674" s="326" t="str" cm="1">
        <f t="array" aca="1" ref="C674" ca="1">_xlfn.IFS($A674="","",$A674="ESIC (Employer)",VLOOKUP($B656,INDIRECT(VLOOKUP($E655,$M$2:$N$20,2,FALSE)),20,FALSE),$A674="Arrears of Apr &amp; May-2025",VLOOKUP($B656,INDIRECT(VLOOKUP($E655,$M$2:$N$20,2,FALSE)),44,FALSE))</f>
        <v/>
      </c>
      <c r="D674" s="327"/>
      <c r="E674" s="324"/>
      <c r="F674" s="325"/>
      <c r="G674" s="325"/>
      <c r="H674" s="325"/>
      <c r="I674" s="325"/>
      <c r="J674" s="335"/>
      <c r="K674" s="336"/>
      <c r="M674" s="88"/>
      <c r="N674" s="88"/>
    </row>
    <row r="675" spans="1:14" s="1" customFormat="1" ht="12" customHeight="1" x14ac:dyDescent="0.3">
      <c r="A675" s="324" t="str">
        <f ca="1">IF($A674="","",IF(VLOOKUP($B656,INDIRECT(VLOOKUP($E655,$M$2:$N$20,2,FALSE)),44,FALSE)=0,"",IF($A674="Arrears of Apr &amp; May-2025","",IF($E655=DATE(2025,6,1),"Arrears of Apr &amp; May-2025",""))))</f>
        <v/>
      </c>
      <c r="B675" s="325"/>
      <c r="C675" s="326" t="str" cm="1">
        <f t="array" aca="1" ref="C675" ca="1">_xlfn.IFS($A675="","",$A675="Arrears of Apr &amp; May-2025",VLOOKUP($B656,INDIRECT(VLOOKUP($E655,$M$2:$N$20,2,FALSE)),44,FALSE))</f>
        <v/>
      </c>
      <c r="D675" s="327"/>
      <c r="E675" s="324"/>
      <c r="F675" s="325"/>
      <c r="G675" s="325"/>
      <c r="H675" s="325"/>
      <c r="I675" s="325"/>
      <c r="J675" s="335"/>
      <c r="K675" s="336"/>
      <c r="M675" s="88"/>
      <c r="N675" s="88"/>
    </row>
    <row r="676" spans="1:14" s="1" customFormat="1" ht="12" customHeight="1" x14ac:dyDescent="0.3">
      <c r="A676" s="324"/>
      <c r="B676" s="325"/>
      <c r="C676" s="326"/>
      <c r="D676" s="327"/>
      <c r="E676" s="124"/>
      <c r="F676" s="124"/>
      <c r="G676" s="124"/>
      <c r="H676" s="124"/>
      <c r="I676" s="124"/>
      <c r="J676" s="335"/>
      <c r="K676" s="336"/>
      <c r="M676" s="88"/>
      <c r="N676" s="88"/>
    </row>
    <row r="677" spans="1:14" s="1" customFormat="1" ht="3" customHeight="1" x14ac:dyDescent="0.3">
      <c r="A677" s="108"/>
      <c r="B677" s="109"/>
      <c r="C677" s="109"/>
      <c r="D677" s="112"/>
      <c r="E677" s="110"/>
      <c r="F677" s="110"/>
      <c r="G677" s="109"/>
      <c r="H677" s="109"/>
      <c r="I677" s="111"/>
      <c r="J677" s="111"/>
      <c r="K677" s="112"/>
      <c r="M677" s="88"/>
      <c r="N677" s="88"/>
    </row>
    <row r="678" spans="1:14" s="1" customFormat="1" ht="3" customHeight="1" x14ac:dyDescent="0.3">
      <c r="A678" s="123"/>
      <c r="B678" s="113"/>
      <c r="C678" s="113"/>
      <c r="D678" s="101"/>
      <c r="E678" s="124"/>
      <c r="F678" s="124"/>
      <c r="G678" s="113"/>
      <c r="H678" s="113"/>
      <c r="I678" s="114"/>
      <c r="J678" s="114"/>
      <c r="K678" s="101"/>
      <c r="M678" s="88"/>
      <c r="N678" s="88"/>
    </row>
    <row r="679" spans="1:14" s="4" customFormat="1" ht="19.95" customHeight="1" x14ac:dyDescent="0.3">
      <c r="A679" s="328" t="s">
        <v>15</v>
      </c>
      <c r="B679" s="329"/>
      <c r="C679" s="330">
        <f ca="1">SUM(C667:D678)</f>
        <v>21750</v>
      </c>
      <c r="D679" s="331"/>
      <c r="E679" s="328" t="s">
        <v>16</v>
      </c>
      <c r="F679" s="329"/>
      <c r="G679" s="329"/>
      <c r="H679" s="329"/>
      <c r="I679" s="329"/>
      <c r="J679" s="330">
        <f ca="1">SUM(J667:K675)</f>
        <v>4148</v>
      </c>
      <c r="K679" s="331"/>
      <c r="M679" s="129"/>
      <c r="N679" s="90"/>
    </row>
    <row r="680" spans="1:14" s="1" customFormat="1" ht="3" customHeight="1" x14ac:dyDescent="0.3">
      <c r="A680" s="108"/>
      <c r="B680" s="109"/>
      <c r="C680" s="109"/>
      <c r="D680" s="112"/>
      <c r="E680" s="110"/>
      <c r="F680" s="110"/>
      <c r="G680" s="109"/>
      <c r="H680" s="109"/>
      <c r="I680" s="111"/>
      <c r="J680" s="111"/>
      <c r="K680" s="112"/>
      <c r="M680" s="88"/>
      <c r="N680" s="88"/>
    </row>
    <row r="681" spans="1:14" s="1" customFormat="1" ht="3" customHeight="1" x14ac:dyDescent="0.3">
      <c r="A681" s="123"/>
      <c r="B681" s="113"/>
      <c r="C681" s="113"/>
      <c r="D681" s="117"/>
      <c r="E681" s="118"/>
      <c r="F681" s="124"/>
      <c r="G681" s="113"/>
      <c r="H681" s="126"/>
      <c r="I681" s="119"/>
      <c r="J681" s="119"/>
      <c r="K681" s="115"/>
      <c r="M681" s="88"/>
      <c r="N681" s="88"/>
    </row>
    <row r="682" spans="1:14" s="5" customFormat="1" ht="19.95" customHeight="1" x14ac:dyDescent="0.3">
      <c r="A682" s="328" t="str" cm="1">
        <f t="array" aca="1" ref="A682" ca="1">mgm(J682)</f>
        <v>Rupees Seventeen Thousand Six Hundred Two Only</v>
      </c>
      <c r="B682" s="329"/>
      <c r="C682" s="329"/>
      <c r="D682" s="329"/>
      <c r="E682" s="329"/>
      <c r="F682" s="329"/>
      <c r="G682" s="332"/>
      <c r="H682" s="333" t="s">
        <v>17</v>
      </c>
      <c r="I682" s="334"/>
      <c r="J682" s="330">
        <f ca="1">C679-J679</f>
        <v>17602</v>
      </c>
      <c r="K682" s="331"/>
      <c r="L682" s="205"/>
      <c r="M682" s="90"/>
      <c r="N682" s="90"/>
    </row>
    <row r="683" spans="1:14" s="1" customFormat="1" ht="3" customHeight="1" x14ac:dyDescent="0.3">
      <c r="A683" s="108"/>
      <c r="B683" s="109"/>
      <c r="C683" s="109"/>
      <c r="D683" s="109"/>
      <c r="E683" s="110"/>
      <c r="F683" s="110"/>
      <c r="G683" s="109"/>
      <c r="H683" s="127"/>
      <c r="I683" s="111"/>
      <c r="J683" s="111"/>
      <c r="K683" s="112"/>
      <c r="M683" s="88"/>
      <c r="N683" s="88"/>
    </row>
    <row r="684" spans="1:14" s="1" customFormat="1" ht="19.95" customHeight="1" x14ac:dyDescent="0.3">
      <c r="A684" s="323" t="s">
        <v>18</v>
      </c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M684" s="88"/>
      <c r="N684" s="88"/>
    </row>
    <row r="685" spans="1:14" s="132" customFormat="1" ht="60" customHeight="1" x14ac:dyDescent="0.3">
      <c r="A685" s="181"/>
      <c r="E685" s="181"/>
      <c r="F685" s="181"/>
    </row>
    <row r="686" spans="1:14" s="2" customFormat="1" ht="19.95" customHeight="1" x14ac:dyDescent="0.3">
      <c r="A686" s="338" t="s">
        <v>107</v>
      </c>
      <c r="B686" s="339"/>
      <c r="C686" s="339"/>
      <c r="D686" s="339"/>
      <c r="E686" s="339"/>
      <c r="F686" s="339"/>
      <c r="G686" s="339"/>
      <c r="H686" s="339"/>
      <c r="I686" s="339"/>
      <c r="J686" s="339"/>
      <c r="K686" s="340"/>
      <c r="L686" s="1"/>
      <c r="M686" s="86"/>
      <c r="N686" s="87"/>
    </row>
    <row r="687" spans="1:14" s="2" customFormat="1" ht="15" customHeight="1" x14ac:dyDescent="0.3">
      <c r="A687" s="341" t="s">
        <v>180</v>
      </c>
      <c r="B687" s="342"/>
      <c r="C687" s="342"/>
      <c r="D687" s="342"/>
      <c r="E687" s="342"/>
      <c r="F687" s="342"/>
      <c r="G687" s="342"/>
      <c r="H687" s="342"/>
      <c r="I687" s="342"/>
      <c r="J687" s="342"/>
      <c r="K687" s="343"/>
      <c r="L687" s="1"/>
      <c r="M687" s="86"/>
      <c r="N687" s="88"/>
    </row>
    <row r="688" spans="1:14" s="2" customFormat="1" ht="15" customHeight="1" x14ac:dyDescent="0.3">
      <c r="A688" s="344" t="s">
        <v>72</v>
      </c>
      <c r="B688" s="345"/>
      <c r="C688" s="345"/>
      <c r="D688" s="345"/>
      <c r="E688" s="345"/>
      <c r="F688" s="345"/>
      <c r="G688" s="345"/>
      <c r="H688" s="345"/>
      <c r="I688" s="345"/>
      <c r="J688" s="345"/>
      <c r="K688" s="346"/>
      <c r="L688" s="1"/>
      <c r="M688" s="86"/>
      <c r="N688" s="88"/>
    </row>
    <row r="689" spans="1:14" s="2" customFormat="1" ht="4.95" customHeight="1" x14ac:dyDescent="0.3">
      <c r="A689" s="92"/>
      <c r="B689" s="347"/>
      <c r="C689" s="347"/>
      <c r="D689" s="347"/>
      <c r="E689" s="347"/>
      <c r="F689" s="347"/>
      <c r="G689" s="347"/>
      <c r="H689" s="347"/>
      <c r="I689" s="347"/>
      <c r="J689" s="347"/>
      <c r="K689" s="348"/>
      <c r="L689" s="1"/>
      <c r="M689" s="88"/>
      <c r="N689" s="88"/>
    </row>
    <row r="690" spans="1:14" s="2" customFormat="1" ht="3" customHeight="1" x14ac:dyDescent="0.3">
      <c r="A690" s="93"/>
      <c r="B690" s="94"/>
      <c r="C690" s="94"/>
      <c r="D690" s="94"/>
      <c r="E690" s="95"/>
      <c r="F690" s="95"/>
      <c r="G690" s="94"/>
      <c r="H690" s="94"/>
      <c r="I690" s="94"/>
      <c r="J690" s="94"/>
      <c r="K690" s="96"/>
      <c r="L690" s="1"/>
      <c r="M690" s="88"/>
      <c r="N690" s="88"/>
    </row>
    <row r="691" spans="1:14" s="2" customFormat="1" x14ac:dyDescent="0.3">
      <c r="A691" s="123" t="s">
        <v>68</v>
      </c>
      <c r="B691" s="124" t="str">
        <f ca="1">VLOOKUP($B692,Salary_Master_2,3,FALSE)</f>
        <v>EW060</v>
      </c>
      <c r="C691" s="349" t="s">
        <v>21</v>
      </c>
      <c r="D691" s="349"/>
      <c r="E691" s="350">
        <f>IF($E$1="","",$E$1)</f>
        <v>45809</v>
      </c>
      <c r="F691" s="350"/>
      <c r="G691" s="97" t="s">
        <v>22</v>
      </c>
      <c r="H691" s="98">
        <f ca="1">VLOOKUP($B692,INDIRECT(VLOOKUP($E$7,$M$2:$N$20,2,FALSE)),3,FALSE)</f>
        <v>28.5</v>
      </c>
      <c r="I691" s="99"/>
      <c r="J691" s="100" t="s">
        <v>27</v>
      </c>
      <c r="K691" s="101"/>
      <c r="L691" s="1"/>
      <c r="M691" s="86"/>
      <c r="N691" s="88"/>
    </row>
    <row r="692" spans="1:14" s="2" customFormat="1" x14ac:dyDescent="0.3">
      <c r="A692" s="123" t="s">
        <v>19</v>
      </c>
      <c r="B692" s="124" t="str">
        <f ca="1">IF(Salary_Master_2!$B$24="","",VLOOKUP(Salary_Master_2!$B$24,INDIRECT(VLOOKUP($E691,$M$2:$N$20,2,FALSE)),1,FALSE))</f>
        <v>Yash Ghumre</v>
      </c>
      <c r="C692" s="351" t="s">
        <v>1</v>
      </c>
      <c r="D692" s="351"/>
      <c r="E692" s="352">
        <f ca="1">SUM($H691:$H694)</f>
        <v>31</v>
      </c>
      <c r="F692" s="352"/>
      <c r="G692" s="97" t="s">
        <v>24</v>
      </c>
      <c r="H692" s="102">
        <f ca="1">VLOOKUP($B692,INDIRECT(VLOOKUP($E$7,$M$2:$N$20,2,FALSE)),4,FALSE)</f>
        <v>0</v>
      </c>
      <c r="I692" s="100"/>
      <c r="J692" s="103" t="s">
        <v>28</v>
      </c>
      <c r="K692" s="101">
        <f ca="1">VLOOKUP($B692,INDIRECT(VLOOKUP($E$7,$M$2:$N$20,2,FALSE)),29,FALSE)</f>
        <v>26200</v>
      </c>
      <c r="L692" s="1"/>
      <c r="M692" s="86"/>
      <c r="N692" s="88"/>
    </row>
    <row r="693" spans="1:14" s="2" customFormat="1" x14ac:dyDescent="0.3">
      <c r="A693" s="123" t="s">
        <v>0</v>
      </c>
      <c r="B693" s="124" t="str">
        <f ca="1">VLOOKUP($B692,Salary_Master_2,4,FALSE)</f>
        <v>Jr. Technician</v>
      </c>
      <c r="C693" s="124"/>
      <c r="D693" s="103" t="s">
        <v>70</v>
      </c>
      <c r="E693" s="337">
        <f ca="1">VLOOKUP($B692,Salary_Master_2,9,FALSE)</f>
        <v>101876428980</v>
      </c>
      <c r="F693" s="337"/>
      <c r="G693" s="97" t="s">
        <v>25</v>
      </c>
      <c r="H693" s="102">
        <f ca="1">VLOOKUP($B692,INDIRECT(VLOOKUP($E$7,$M$2:$N$20,2,FALSE)),5,FALSE)</f>
        <v>2.5</v>
      </c>
      <c r="I693" s="97"/>
      <c r="J693" s="103" t="s">
        <v>29</v>
      </c>
      <c r="K693" s="101" t="str">
        <f ca="1">VLOOKUP($B692,INDIRECT(VLOOKUP($E$7,$M$2:$N$20,2,FALSE)),30,FALSE)</f>
        <v>Male</v>
      </c>
      <c r="L693" s="1"/>
      <c r="M693" s="86"/>
      <c r="N693" s="88"/>
    </row>
    <row r="694" spans="1:14" s="2" customFormat="1" x14ac:dyDescent="0.3">
      <c r="A694" s="123" t="s">
        <v>20</v>
      </c>
      <c r="B694" s="124" t="str">
        <f ca="1">VLOOKUP($B692,Salary_Master_2,5,FALSE)</f>
        <v>Production</v>
      </c>
      <c r="C694" s="124"/>
      <c r="D694" s="103" t="s">
        <v>71</v>
      </c>
      <c r="E694" s="337">
        <f ca="1">VLOOKUP($B692,Salary_Master_2,10,FALSE)</f>
        <v>3517694410</v>
      </c>
      <c r="F694" s="337"/>
      <c r="G694" s="97" t="s">
        <v>26</v>
      </c>
      <c r="H694" s="102">
        <f ca="1">VLOOKUP($B692,INDIRECT(VLOOKUP($E$7,$M$2:$N$20,2,FALSE)),6,FALSE)</f>
        <v>0</v>
      </c>
      <c r="I694" s="97"/>
      <c r="J694" s="103" t="s">
        <v>30</v>
      </c>
      <c r="K694" s="101">
        <f ca="1">VLOOKUP($B692,INDIRECT(VLOOKUP($E$7,$M$2:$N$20,2,FALSE)),31,FALSE)</f>
        <v>0</v>
      </c>
      <c r="L694" s="1"/>
      <c r="M694" s="86"/>
      <c r="N694" s="88"/>
    </row>
    <row r="695" spans="1:14" s="2" customFormat="1" x14ac:dyDescent="0.3">
      <c r="A695" s="123" t="s">
        <v>69</v>
      </c>
      <c r="B695" s="124" t="str">
        <f ca="1">VLOOKUP($B692,Salary_Master_2,6,FALSE)</f>
        <v>Ansa Factory</v>
      </c>
      <c r="C695" s="124"/>
      <c r="D695" s="104"/>
      <c r="E695" s="105"/>
      <c r="F695" s="105"/>
      <c r="G695" s="97" t="s">
        <v>23</v>
      </c>
      <c r="H695" s="102">
        <f ca="1">VLOOKUP($B692,INDIRECT(VLOOKUP($E$7,$M$2:$N$20,2,FALSE)),8,FALSE)</f>
        <v>0</v>
      </c>
      <c r="I695" s="97"/>
      <c r="J695" s="125"/>
      <c r="K695" s="101"/>
      <c r="L695" s="1"/>
      <c r="M695" s="86"/>
      <c r="N695" s="88"/>
    </row>
    <row r="696" spans="1:14" s="2" customFormat="1" x14ac:dyDescent="0.3">
      <c r="A696" s="123" t="s">
        <v>32</v>
      </c>
      <c r="B696" s="106">
        <f ca="1">VLOOKUP($B692,Salary_Master_2,7,FALSE)</f>
        <v>44805</v>
      </c>
      <c r="C696" s="106"/>
      <c r="D696" s="104"/>
      <c r="E696" s="105"/>
      <c r="F696" s="105"/>
      <c r="G696" s="97" t="s">
        <v>31</v>
      </c>
      <c r="H696" s="102">
        <f ca="1">VLOOKUP($B692,INDIRECT(VLOOKUP($E$7,$M$2:$N$20,2,FALSE)),9,FALSE)</f>
        <v>4</v>
      </c>
      <c r="I696" s="107"/>
      <c r="J696" s="107"/>
      <c r="K696" s="101"/>
      <c r="L696" s="1"/>
      <c r="M696" s="86"/>
      <c r="N696" s="88"/>
    </row>
    <row r="697" spans="1:14" s="2" customFormat="1" ht="3" customHeight="1" x14ac:dyDescent="0.3">
      <c r="A697" s="108"/>
      <c r="B697" s="109"/>
      <c r="C697" s="109"/>
      <c r="D697" s="109"/>
      <c r="E697" s="110"/>
      <c r="F697" s="110"/>
      <c r="G697" s="109"/>
      <c r="H697" s="109"/>
      <c r="I697" s="111"/>
      <c r="J697" s="111"/>
      <c r="K697" s="112"/>
      <c r="L697" s="1"/>
      <c r="M697" s="88"/>
      <c r="N697" s="88"/>
    </row>
    <row r="698" spans="1:14" s="2" customFormat="1" ht="3" customHeight="1" x14ac:dyDescent="0.3">
      <c r="A698" s="123"/>
      <c r="B698" s="113"/>
      <c r="C698" s="113"/>
      <c r="D698" s="113"/>
      <c r="E698" s="124"/>
      <c r="F698" s="124"/>
      <c r="G698" s="113"/>
      <c r="H698" s="113"/>
      <c r="I698" s="114"/>
      <c r="J698" s="114"/>
      <c r="K698" s="115"/>
      <c r="L698" s="1"/>
      <c r="M698" s="88"/>
      <c r="N698" s="88"/>
    </row>
    <row r="699" spans="1:14" s="1" customFormat="1" ht="3" customHeight="1" x14ac:dyDescent="0.3">
      <c r="A699" s="116"/>
      <c r="B699" s="117"/>
      <c r="C699" s="117"/>
      <c r="D699" s="115"/>
      <c r="E699" s="118"/>
      <c r="F699" s="118"/>
      <c r="G699" s="117"/>
      <c r="H699" s="117"/>
      <c r="I699" s="119"/>
      <c r="J699" s="119"/>
      <c r="K699" s="115"/>
      <c r="M699" s="88"/>
      <c r="N699" s="88"/>
    </row>
    <row r="700" spans="1:14" s="1" customFormat="1" ht="12" customHeight="1" x14ac:dyDescent="0.3">
      <c r="A700" s="120" t="s">
        <v>4</v>
      </c>
      <c r="B700" s="113"/>
      <c r="C700" s="113"/>
      <c r="D700" s="121" t="s">
        <v>5</v>
      </c>
      <c r="E700" s="122" t="s">
        <v>6</v>
      </c>
      <c r="F700" s="122"/>
      <c r="G700" s="113"/>
      <c r="H700" s="113"/>
      <c r="I700" s="113"/>
      <c r="J700" s="113"/>
      <c r="K700" s="121" t="s">
        <v>5</v>
      </c>
      <c r="M700" s="86"/>
      <c r="N700" s="88"/>
    </row>
    <row r="701" spans="1:14" s="1" customFormat="1" ht="3" customHeight="1" x14ac:dyDescent="0.3">
      <c r="A701" s="108"/>
      <c r="B701" s="109"/>
      <c r="C701" s="109"/>
      <c r="D701" s="112"/>
      <c r="E701" s="110"/>
      <c r="F701" s="110"/>
      <c r="G701" s="109"/>
      <c r="H701" s="109"/>
      <c r="I701" s="111"/>
      <c r="J701" s="111"/>
      <c r="K701" s="112"/>
      <c r="M701" s="88"/>
      <c r="N701" s="88"/>
    </row>
    <row r="702" spans="1:14" s="1" customFormat="1" ht="3" customHeight="1" x14ac:dyDescent="0.3">
      <c r="A702" s="123"/>
      <c r="B702" s="113"/>
      <c r="C702" s="113"/>
      <c r="D702" s="101"/>
      <c r="E702" s="124"/>
      <c r="F702" s="124"/>
      <c r="G702" s="113"/>
      <c r="H702" s="113"/>
      <c r="I702" s="114"/>
      <c r="J702" s="114"/>
      <c r="K702" s="101"/>
      <c r="M702" s="88"/>
      <c r="N702" s="88"/>
    </row>
    <row r="703" spans="1:14" s="1" customFormat="1" ht="12" customHeight="1" x14ac:dyDescent="0.3">
      <c r="A703" s="324" t="s">
        <v>7</v>
      </c>
      <c r="B703" s="325"/>
      <c r="C703" s="326">
        <f ca="1">VLOOKUP($B692,INDIRECT(VLOOKUP($E691,$M$2:$N$20,2,FALSE)),13,FALSE)</f>
        <v>10000</v>
      </c>
      <c r="D703" s="327"/>
      <c r="E703" s="324" t="s">
        <v>8</v>
      </c>
      <c r="F703" s="325"/>
      <c r="G703" s="325"/>
      <c r="H703" s="325"/>
      <c r="I703" s="325"/>
      <c r="J703" s="326">
        <f ca="1">VLOOKUP($B692,INDIRECT(VLOOKUP($E691,$M$2:$N$20,2,FALSE)),22,FALSE)</f>
        <v>1800</v>
      </c>
      <c r="K703" s="327"/>
      <c r="M703" s="86"/>
      <c r="N703" s="88"/>
    </row>
    <row r="704" spans="1:14" s="1" customFormat="1" ht="12" customHeight="1" x14ac:dyDescent="0.3">
      <c r="A704" s="324" t="s">
        <v>9</v>
      </c>
      <c r="B704" s="325"/>
      <c r="C704" s="326">
        <f ca="1">VLOOKUP($B692,INDIRECT(VLOOKUP($E691,$M$2:$N$20,2,FALSE)),14,FALSE)</f>
        <v>2000</v>
      </c>
      <c r="D704" s="327"/>
      <c r="E704" s="324" t="s">
        <v>94</v>
      </c>
      <c r="F704" s="325"/>
      <c r="G704" s="325"/>
      <c r="H704" s="325"/>
      <c r="I704" s="325"/>
      <c r="J704" s="326">
        <f ca="1">VLOOKUP($B692,INDIRECT(VLOOKUP($E691,$M$2:$N$20,2,FALSE)),23,FALSE)</f>
        <v>1800</v>
      </c>
      <c r="K704" s="327"/>
      <c r="M704" s="86"/>
      <c r="N704" s="88"/>
    </row>
    <row r="705" spans="1:14" s="1" customFormat="1" ht="12" customHeight="1" x14ac:dyDescent="0.3">
      <c r="A705" s="324" t="s">
        <v>11</v>
      </c>
      <c r="B705" s="325"/>
      <c r="C705" s="326">
        <f ca="1">VLOOKUP($B692,INDIRECT(VLOOKUP($E691,$M$2:$N$20,2,FALSE)),15,FALSE)</f>
        <v>1600</v>
      </c>
      <c r="D705" s="327"/>
      <c r="E705" s="324" t="s">
        <v>10</v>
      </c>
      <c r="F705" s="325"/>
      <c r="G705" s="325"/>
      <c r="H705" s="325"/>
      <c r="I705" s="325"/>
      <c r="J705" s="326">
        <f ca="1">VLOOKUP($B692,INDIRECT(VLOOKUP($E691,$M$2:$N$20,2,FALSE)),24,FALSE)</f>
        <v>0</v>
      </c>
      <c r="K705" s="327"/>
      <c r="M705" s="87"/>
      <c r="N705" s="86"/>
    </row>
    <row r="706" spans="1:14" s="1" customFormat="1" ht="12" customHeight="1" x14ac:dyDescent="0.3">
      <c r="A706" s="324" t="s">
        <v>3</v>
      </c>
      <c r="B706" s="325"/>
      <c r="C706" s="326">
        <f ca="1">VLOOKUP($B692,INDIRECT(VLOOKUP($E691,$M$2:$N$20,2,FALSE)),16,FALSE)</f>
        <v>833</v>
      </c>
      <c r="D706" s="327"/>
      <c r="E706" s="324" t="s">
        <v>93</v>
      </c>
      <c r="F706" s="325"/>
      <c r="G706" s="325"/>
      <c r="H706" s="325"/>
      <c r="I706" s="325"/>
      <c r="J706" s="326">
        <f ca="1">VLOOKUP($B692,INDIRECT(VLOOKUP($E691,$M$2:$N$20,2,FALSE)),25,FALSE)</f>
        <v>0</v>
      </c>
      <c r="K706" s="327"/>
      <c r="M706" s="87"/>
      <c r="N706" s="89"/>
    </row>
    <row r="707" spans="1:14" s="1" customFormat="1" ht="12" customHeight="1" x14ac:dyDescent="0.3">
      <c r="A707" s="324" t="s">
        <v>13</v>
      </c>
      <c r="B707" s="325"/>
      <c r="C707" s="326">
        <f ca="1">VLOOKUP($B692,INDIRECT(VLOOKUP($E691,$M$2:$N$20,2,FALSE)),17,FALSE)</f>
        <v>11967</v>
      </c>
      <c r="D707" s="327"/>
      <c r="E707" s="324" t="s">
        <v>12</v>
      </c>
      <c r="F707" s="325"/>
      <c r="G707" s="325"/>
      <c r="H707" s="325"/>
      <c r="I707" s="325"/>
      <c r="J707" s="326">
        <f ca="1">VLOOKUP($B692,INDIRECT(VLOOKUP($E691,$M$2:$N$20,2,FALSE)),26,FALSE)</f>
        <v>200</v>
      </c>
      <c r="K707" s="327"/>
      <c r="M707" s="88" t="s">
        <v>73</v>
      </c>
      <c r="N707" s="88" t="str">
        <f ca="1">IF(VLOOKUP($B692,INDIRECT(VLOOKUP($E691,$M$2:$N$20,2,FALSE)),38,FALSE)&gt;0,"Yes","No")</f>
        <v>No</v>
      </c>
    </row>
    <row r="708" spans="1:14" s="1" customFormat="1" ht="12" customHeight="1" x14ac:dyDescent="0.3">
      <c r="A708" s="324" t="str">
        <f ca="1">IF($J704&gt;0,"Other Allowance",IF(VLOOKUP($B692,INDIRECT(VLOOKUP($E691,$M$2:$N$20,2,FALSE)),44,FALSE)=0,"",IF($E691=DATE(2025,6,1),"Arrears of Apr &amp; May-2025","")))</f>
        <v>Other Allowance</v>
      </c>
      <c r="B708" s="325"/>
      <c r="C708" s="326" cm="1">
        <f t="array" aca="1" ref="C708" ca="1">_xlfn.IFS($A708="","",$A708="Other Allowance",VLOOKUP($B692,INDIRECT(VLOOKUP($E691,$M$2:$N$20,2,FALSE)),18,FALSE),$A708="Arrears of Apr &amp; May-2025",VLOOKUP($B692,INDIRECT(VLOOKUP($E691,$M$2:$N$20,2,FALSE)),44,FALSE))</f>
        <v>1800</v>
      </c>
      <c r="D708" s="327"/>
      <c r="E708" s="324" t="str" cm="1">
        <f t="array" aca="1" ref="E708" ca="1">_xlfn.IFS(N707="Yes",M707,N708="Yes",M708,TRUE,"")</f>
        <v/>
      </c>
      <c r="F708" s="325"/>
      <c r="G708" s="325"/>
      <c r="H708" s="325"/>
      <c r="I708" s="325"/>
      <c r="J708" s="335" t="str" cm="1">
        <f t="array" aca="1" ref="J708" ca="1">IF(E708="","",_xlfn.IFS(N707="Yes",VLOOKUP($B692,INDIRECT(VLOOKUP($E691,$M$2:$N$20,2,FALSE)),27,FALSE),N708="Yes",VLOOKUP($B692,INDIRECT(VLOOKUP($E691,$M$2:$N$20,2,FALSE)),28,FALSE)))</f>
        <v/>
      </c>
      <c r="K708" s="336"/>
      <c r="M708" s="88" t="s">
        <v>14</v>
      </c>
      <c r="N708" s="88" t="str">
        <f ca="1">IF(VLOOKUP($B692,INDIRECT(VLOOKUP($E$7,$M$2:$N$20,2,FALSE)),39,FALSE)&gt;0,"Yes","No")</f>
        <v>No</v>
      </c>
    </row>
    <row r="709" spans="1:14" s="1" customFormat="1" ht="12" customHeight="1" x14ac:dyDescent="0.3">
      <c r="A709" s="324" t="str" cm="1">
        <f t="array" aca="1" ref="A709" ca="1">_xlfn.IFS($A708="","",$A708="Other Allowance","EPF",$A708="Arrears of Apr &amp; May-2025","",VLOOKUP($B692,INDIRECT(VLOOKUP($E691,$M$2:$N$20,2,FALSE)),44,FALSE)=0,"",$E691=DATE(2025,6,1),"Arrears of Apr &amp; May-2025")</f>
        <v>EPF</v>
      </c>
      <c r="B709" s="325"/>
      <c r="C709" s="326" cm="1">
        <f t="array" aca="1" ref="C709" ca="1">_xlfn.IFS($A709="","",$A709="EPF",VLOOKUP($B692,INDIRECT(VLOOKUP($E691,$M$2:$N$20,2,FALSE)),19,FALSE),$A709="Arrears of Apr &amp; May-2025",VLOOKUP($B692,INDIRECT(VLOOKUP($E691,$M$2:$N$20,2,FALSE)),44,FALSE))</f>
        <v>1800</v>
      </c>
      <c r="D709" s="327"/>
      <c r="E709" s="324" t="str" cm="1">
        <f t="array" aca="1" ref="E709" ca="1">_xlfn.IFS(N708="No","",N707="Yes",M708,TRUE,"")</f>
        <v/>
      </c>
      <c r="F709" s="325"/>
      <c r="G709" s="325"/>
      <c r="H709" s="325"/>
      <c r="I709" s="325"/>
      <c r="J709" s="335" t="str">
        <f ca="1">IF(E709="","",VLOOKUP($B692,INDIRECT(VLOOKUP($E691,$M$2:$N$20,2,FALSE)),28,FALSE))</f>
        <v/>
      </c>
      <c r="K709" s="336"/>
      <c r="M709" s="130"/>
      <c r="N709" s="88"/>
    </row>
    <row r="710" spans="1:14" s="1" customFormat="1" ht="12" customHeight="1" x14ac:dyDescent="0.3">
      <c r="A710" s="324" t="str">
        <f ca="1">IF($J706&gt;0,"ESIC (Employer)",IF($A709="","",IF(VLOOKUP($B692,INDIRECT(VLOOKUP($E691,$M$2:$N$20,2,FALSE)),44,FALSE)="","",IF($E691=DATE(2025,6,1),"Arrears of Apr &amp; May-2025",""))))</f>
        <v>Arrears of Apr &amp; May-2025</v>
      </c>
      <c r="B710" s="325"/>
      <c r="C710" s="326" cm="1">
        <f t="array" aca="1" ref="C710" ca="1">_xlfn.IFS($A710="","",$A710="ESIC (Employer)",VLOOKUP($B692,INDIRECT(VLOOKUP($E691,$M$2:$N$20,2,FALSE)),20,FALSE),$A710="Arrears of Apr &amp; May-2025",VLOOKUP($B692,INDIRECT(VLOOKUP($E691,$M$2:$N$20,2,FALSE)),44,FALSE))</f>
        <v>6000</v>
      </c>
      <c r="D710" s="327"/>
      <c r="E710" s="324"/>
      <c r="F710" s="325"/>
      <c r="G710" s="325"/>
      <c r="H710" s="325"/>
      <c r="I710" s="325"/>
      <c r="J710" s="335"/>
      <c r="K710" s="336"/>
      <c r="M710" s="88"/>
      <c r="N710" s="88"/>
    </row>
    <row r="711" spans="1:14" s="1" customFormat="1" ht="12" customHeight="1" x14ac:dyDescent="0.3">
      <c r="A711" s="324" t="str">
        <f ca="1">IF($A710="","",IF(VLOOKUP($B692,INDIRECT(VLOOKUP($E691,$M$2:$N$20,2,FALSE)),44,FALSE)=0,"",IF($A710="Arrears of Apr &amp; May-2025","",IF($E691=DATE(2025,6,1),"Arrears of Apr &amp; May-2025",""))))</f>
        <v/>
      </c>
      <c r="B711" s="325"/>
      <c r="C711" s="326" t="str" cm="1">
        <f t="array" aca="1" ref="C711" ca="1">_xlfn.IFS($A711="","",$A711="Arrears of Apr &amp; May-2025",VLOOKUP($B692,INDIRECT(VLOOKUP($E691,$M$2:$N$20,2,FALSE)),44,FALSE))</f>
        <v/>
      </c>
      <c r="D711" s="327"/>
      <c r="E711" s="324"/>
      <c r="F711" s="325"/>
      <c r="G711" s="325"/>
      <c r="H711" s="325"/>
      <c r="I711" s="325"/>
      <c r="J711" s="335"/>
      <c r="K711" s="336"/>
      <c r="M711" s="88"/>
      <c r="N711" s="88"/>
    </row>
    <row r="712" spans="1:14" s="1" customFormat="1" ht="12" customHeight="1" x14ac:dyDescent="0.3">
      <c r="A712" s="324"/>
      <c r="B712" s="325"/>
      <c r="C712" s="326"/>
      <c r="D712" s="327"/>
      <c r="E712" s="124"/>
      <c r="F712" s="124"/>
      <c r="G712" s="124"/>
      <c r="H712" s="124"/>
      <c r="I712" s="124"/>
      <c r="J712" s="335"/>
      <c r="K712" s="336"/>
      <c r="M712" s="88"/>
      <c r="N712" s="88"/>
    </row>
    <row r="713" spans="1:14" s="1" customFormat="1" ht="3" customHeight="1" x14ac:dyDescent="0.3">
      <c r="A713" s="108"/>
      <c r="B713" s="109"/>
      <c r="C713" s="109"/>
      <c r="D713" s="112"/>
      <c r="E713" s="110"/>
      <c r="F713" s="110"/>
      <c r="G713" s="109"/>
      <c r="H713" s="109"/>
      <c r="I713" s="111"/>
      <c r="J713" s="111"/>
      <c r="K713" s="112"/>
      <c r="M713" s="88"/>
      <c r="N713" s="88"/>
    </row>
    <row r="714" spans="1:14" s="1" customFormat="1" ht="3" customHeight="1" x14ac:dyDescent="0.3">
      <c r="A714" s="123"/>
      <c r="B714" s="113"/>
      <c r="C714" s="113"/>
      <c r="D714" s="101"/>
      <c r="E714" s="124"/>
      <c r="F714" s="124"/>
      <c r="G714" s="113"/>
      <c r="H714" s="113"/>
      <c r="I714" s="114"/>
      <c r="J714" s="114"/>
      <c r="K714" s="101"/>
      <c r="M714" s="88"/>
      <c r="N714" s="88"/>
    </row>
    <row r="715" spans="1:14" s="4" customFormat="1" ht="19.95" customHeight="1" x14ac:dyDescent="0.3">
      <c r="A715" s="328" t="s">
        <v>15</v>
      </c>
      <c r="B715" s="329"/>
      <c r="C715" s="330">
        <f ca="1">SUM(C703:D714)</f>
        <v>36000</v>
      </c>
      <c r="D715" s="331"/>
      <c r="E715" s="328" t="s">
        <v>16</v>
      </c>
      <c r="F715" s="329"/>
      <c r="G715" s="329"/>
      <c r="H715" s="329"/>
      <c r="I715" s="329"/>
      <c r="J715" s="330">
        <f ca="1">SUM(J703:K711)</f>
        <v>3800</v>
      </c>
      <c r="K715" s="331"/>
      <c r="M715" s="129"/>
      <c r="N715" s="90"/>
    </row>
    <row r="716" spans="1:14" s="1" customFormat="1" ht="3" customHeight="1" x14ac:dyDescent="0.3">
      <c r="A716" s="108"/>
      <c r="B716" s="109"/>
      <c r="C716" s="109"/>
      <c r="D716" s="112"/>
      <c r="E716" s="110"/>
      <c r="F716" s="110"/>
      <c r="G716" s="109"/>
      <c r="H716" s="109"/>
      <c r="I716" s="111"/>
      <c r="J716" s="111"/>
      <c r="K716" s="112"/>
      <c r="M716" s="88"/>
      <c r="N716" s="88"/>
    </row>
    <row r="717" spans="1:14" s="1" customFormat="1" ht="3" customHeight="1" x14ac:dyDescent="0.3">
      <c r="A717" s="123"/>
      <c r="B717" s="113"/>
      <c r="C717" s="113"/>
      <c r="D717" s="117"/>
      <c r="E717" s="118"/>
      <c r="F717" s="124"/>
      <c r="G717" s="113"/>
      <c r="H717" s="126"/>
      <c r="I717" s="119"/>
      <c r="J717" s="119"/>
      <c r="K717" s="115"/>
      <c r="M717" s="88"/>
      <c r="N717" s="88"/>
    </row>
    <row r="718" spans="1:14" s="5" customFormat="1" ht="19.95" customHeight="1" x14ac:dyDescent="0.3">
      <c r="A718" s="328" t="str" cm="1">
        <f t="array" aca="1" ref="A718" ca="1">mgm(J718)</f>
        <v>Rupees Thirty Two Thousand Two Hundred Only</v>
      </c>
      <c r="B718" s="329"/>
      <c r="C718" s="329"/>
      <c r="D718" s="329"/>
      <c r="E718" s="329"/>
      <c r="F718" s="329"/>
      <c r="G718" s="332"/>
      <c r="H718" s="333" t="s">
        <v>17</v>
      </c>
      <c r="I718" s="334"/>
      <c r="J718" s="330">
        <f ca="1">C715-J715</f>
        <v>32200</v>
      </c>
      <c r="K718" s="331"/>
      <c r="L718" s="205"/>
      <c r="M718" s="90"/>
      <c r="N718" s="90"/>
    </row>
    <row r="719" spans="1:14" s="1" customFormat="1" ht="3" customHeight="1" x14ac:dyDescent="0.3">
      <c r="A719" s="108"/>
      <c r="B719" s="109"/>
      <c r="C719" s="109"/>
      <c r="D719" s="109"/>
      <c r="E719" s="110"/>
      <c r="F719" s="110"/>
      <c r="G719" s="109"/>
      <c r="H719" s="127"/>
      <c r="I719" s="111"/>
      <c r="J719" s="111"/>
      <c r="K719" s="112"/>
      <c r="M719" s="88"/>
      <c r="N719" s="88"/>
    </row>
    <row r="720" spans="1:14" s="1" customFormat="1" ht="19.95" customHeight="1" x14ac:dyDescent="0.3">
      <c r="A720" s="323" t="s">
        <v>18</v>
      </c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M720" s="88"/>
      <c r="N720" s="88"/>
    </row>
    <row r="721" spans="1:14" s="132" customFormat="1" ht="60" customHeight="1" x14ac:dyDescent="0.3">
      <c r="A721" s="181"/>
      <c r="E721" s="181"/>
      <c r="F721" s="181"/>
    </row>
    <row r="722" spans="1:14" s="2" customFormat="1" ht="19.95" customHeight="1" x14ac:dyDescent="0.3">
      <c r="A722" s="338" t="s">
        <v>107</v>
      </c>
      <c r="B722" s="339"/>
      <c r="C722" s="339"/>
      <c r="D722" s="339"/>
      <c r="E722" s="339"/>
      <c r="F722" s="339"/>
      <c r="G722" s="339"/>
      <c r="H722" s="339"/>
      <c r="I722" s="339"/>
      <c r="J722" s="339"/>
      <c r="K722" s="340"/>
      <c r="L722" s="1"/>
      <c r="M722" s="86"/>
      <c r="N722" s="87"/>
    </row>
    <row r="723" spans="1:14" s="2" customFormat="1" ht="15" customHeight="1" x14ac:dyDescent="0.3">
      <c r="A723" s="341" t="s">
        <v>180</v>
      </c>
      <c r="B723" s="342"/>
      <c r="C723" s="342"/>
      <c r="D723" s="342"/>
      <c r="E723" s="342"/>
      <c r="F723" s="342"/>
      <c r="G723" s="342"/>
      <c r="H723" s="342"/>
      <c r="I723" s="342"/>
      <c r="J723" s="342"/>
      <c r="K723" s="343"/>
      <c r="L723" s="1"/>
      <c r="M723" s="86"/>
      <c r="N723" s="88"/>
    </row>
    <row r="724" spans="1:14" s="2" customFormat="1" ht="15" customHeight="1" x14ac:dyDescent="0.3">
      <c r="A724" s="344" t="s">
        <v>72</v>
      </c>
      <c r="B724" s="345"/>
      <c r="C724" s="345"/>
      <c r="D724" s="345"/>
      <c r="E724" s="345"/>
      <c r="F724" s="345"/>
      <c r="G724" s="345"/>
      <c r="H724" s="345"/>
      <c r="I724" s="345"/>
      <c r="J724" s="345"/>
      <c r="K724" s="346"/>
      <c r="L724" s="1"/>
      <c r="M724" s="86"/>
      <c r="N724" s="88"/>
    </row>
    <row r="725" spans="1:14" s="2" customFormat="1" ht="4.95" customHeight="1" x14ac:dyDescent="0.3">
      <c r="A725" s="92"/>
      <c r="B725" s="347"/>
      <c r="C725" s="347"/>
      <c r="D725" s="347"/>
      <c r="E725" s="347"/>
      <c r="F725" s="347"/>
      <c r="G725" s="347"/>
      <c r="H725" s="347"/>
      <c r="I725" s="347"/>
      <c r="J725" s="347"/>
      <c r="K725" s="348"/>
      <c r="L725" s="1"/>
      <c r="M725" s="88"/>
      <c r="N725" s="88"/>
    </row>
    <row r="726" spans="1:14" s="2" customFormat="1" ht="3" customHeight="1" x14ac:dyDescent="0.3">
      <c r="A726" s="93"/>
      <c r="B726" s="94"/>
      <c r="C726" s="94"/>
      <c r="D726" s="94"/>
      <c r="E726" s="95"/>
      <c r="F726" s="95"/>
      <c r="G726" s="94"/>
      <c r="H726" s="94"/>
      <c r="I726" s="94"/>
      <c r="J726" s="94"/>
      <c r="K726" s="96"/>
      <c r="L726" s="1"/>
      <c r="M726" s="88"/>
      <c r="N726" s="88"/>
    </row>
    <row r="727" spans="1:14" s="2" customFormat="1" x14ac:dyDescent="0.3">
      <c r="A727" s="123" t="s">
        <v>68</v>
      </c>
      <c r="B727" s="124" t="str">
        <f ca="1">VLOOKUP($B728,Salary_Master_2,3,FALSE)</f>
        <v>EW 063</v>
      </c>
      <c r="C727" s="349" t="s">
        <v>21</v>
      </c>
      <c r="D727" s="349"/>
      <c r="E727" s="350">
        <f>IF($E$1="","",$E$1)</f>
        <v>45809</v>
      </c>
      <c r="F727" s="350"/>
      <c r="G727" s="97" t="s">
        <v>22</v>
      </c>
      <c r="H727" s="98">
        <f ca="1">VLOOKUP($B728,INDIRECT(VLOOKUP($E$7,$M$2:$N$20,2,FALSE)),3,FALSE)</f>
        <v>31</v>
      </c>
      <c r="I727" s="99"/>
      <c r="J727" s="100" t="s">
        <v>27</v>
      </c>
      <c r="K727" s="101"/>
      <c r="L727" s="1"/>
      <c r="M727" s="86"/>
      <c r="N727" s="88"/>
    </row>
    <row r="728" spans="1:14" s="2" customFormat="1" x14ac:dyDescent="0.3">
      <c r="A728" s="123" t="s">
        <v>19</v>
      </c>
      <c r="B728" s="124" t="str">
        <f ca="1">IF(Salary_Master_2!$B$25="","",VLOOKUP(Salary_Master_2!$B$25,INDIRECT(VLOOKUP($E727,$M$2:$N$20,2,FALSE)),1,FALSE))</f>
        <v>Shivraj Mahajan</v>
      </c>
      <c r="C728" s="351" t="s">
        <v>1</v>
      </c>
      <c r="D728" s="351"/>
      <c r="E728" s="352">
        <f ca="1">SUM($H727:$H730)</f>
        <v>31</v>
      </c>
      <c r="F728" s="352"/>
      <c r="G728" s="97" t="s">
        <v>24</v>
      </c>
      <c r="H728" s="102">
        <f ca="1">VLOOKUP($B728,INDIRECT(VLOOKUP($E$7,$M$2:$N$20,2,FALSE)),4,FALSE)</f>
        <v>0</v>
      </c>
      <c r="I728" s="100"/>
      <c r="J728" s="103" t="s">
        <v>28</v>
      </c>
      <c r="K728" s="101">
        <f ca="1">VLOOKUP($B728,INDIRECT(VLOOKUP($E$7,$M$2:$N$20,2,FALSE)),29,FALSE)</f>
        <v>33700</v>
      </c>
      <c r="L728" s="1"/>
      <c r="M728" s="86"/>
      <c r="N728" s="88"/>
    </row>
    <row r="729" spans="1:14" s="2" customFormat="1" x14ac:dyDescent="0.3">
      <c r="A729" s="123" t="s">
        <v>0</v>
      </c>
      <c r="B729" s="124" t="str">
        <f ca="1">VLOOKUP($B728,Salary_Master_2,4,FALSE)</f>
        <v>Service Engineer</v>
      </c>
      <c r="C729" s="124"/>
      <c r="D729" s="103" t="s">
        <v>70</v>
      </c>
      <c r="E729" s="337">
        <f ca="1">VLOOKUP($B728,Salary_Master_2,9,FALSE)</f>
        <v>101349756741</v>
      </c>
      <c r="F729" s="337"/>
      <c r="G729" s="97" t="s">
        <v>25</v>
      </c>
      <c r="H729" s="102">
        <f ca="1">VLOOKUP($B728,INDIRECT(VLOOKUP($E$7,$M$2:$N$20,2,FALSE)),5,FALSE)</f>
        <v>0</v>
      </c>
      <c r="I729" s="97"/>
      <c r="J729" s="103" t="s">
        <v>29</v>
      </c>
      <c r="K729" s="101" t="str">
        <f ca="1">VLOOKUP($B728,INDIRECT(VLOOKUP($E$7,$M$2:$N$20,2,FALSE)),30,FALSE)</f>
        <v>Male</v>
      </c>
      <c r="L729" s="1"/>
      <c r="M729" s="86"/>
      <c r="N729" s="88"/>
    </row>
    <row r="730" spans="1:14" s="2" customFormat="1" x14ac:dyDescent="0.3">
      <c r="A730" s="123" t="s">
        <v>20</v>
      </c>
      <c r="B730" s="124" t="str">
        <f ca="1">VLOOKUP($B728,Salary_Master_2,5,FALSE)</f>
        <v>Service</v>
      </c>
      <c r="C730" s="124"/>
      <c r="D730" s="103" t="s">
        <v>71</v>
      </c>
      <c r="E730" s="337" t="str">
        <f ca="1">VLOOKUP($B728,Salary_Master_2,10,FALSE)</f>
        <v>NA</v>
      </c>
      <c r="F730" s="337"/>
      <c r="G730" s="97" t="s">
        <v>26</v>
      </c>
      <c r="H730" s="102">
        <f ca="1">VLOOKUP($B728,INDIRECT(VLOOKUP($E$7,$M$2:$N$20,2,FALSE)),6,FALSE)</f>
        <v>0</v>
      </c>
      <c r="I730" s="97"/>
      <c r="J730" s="103" t="s">
        <v>30</v>
      </c>
      <c r="K730" s="101">
        <f ca="1">VLOOKUP($B728,INDIRECT(VLOOKUP($E$7,$M$2:$N$20,2,FALSE)),31,FALSE)</f>
        <v>1</v>
      </c>
      <c r="L730" s="1"/>
      <c r="M730" s="86"/>
      <c r="N730" s="88"/>
    </row>
    <row r="731" spans="1:14" s="2" customFormat="1" x14ac:dyDescent="0.3">
      <c r="A731" s="123" t="s">
        <v>69</v>
      </c>
      <c r="B731" s="124" t="str">
        <f ca="1">VLOOKUP($B728,Salary_Master_2,6,FALSE)</f>
        <v>Koparkhairne Factory</v>
      </c>
      <c r="C731" s="124"/>
      <c r="D731" s="104"/>
      <c r="E731" s="105"/>
      <c r="F731" s="105"/>
      <c r="G731" s="97" t="s">
        <v>23</v>
      </c>
      <c r="H731" s="102">
        <f ca="1">VLOOKUP($B728,INDIRECT(VLOOKUP($E$7,$M$2:$N$20,2,FALSE)),8,FALSE)</f>
        <v>0</v>
      </c>
      <c r="I731" s="97"/>
      <c r="J731" s="125"/>
      <c r="K731" s="101"/>
      <c r="L731" s="1"/>
      <c r="M731" s="86"/>
      <c r="N731" s="88"/>
    </row>
    <row r="732" spans="1:14" s="2" customFormat="1" x14ac:dyDescent="0.3">
      <c r="A732" s="123" t="s">
        <v>32</v>
      </c>
      <c r="B732" s="106">
        <f ca="1">VLOOKUP($B728,Salary_Master_2,7,FALSE)</f>
        <v>45202</v>
      </c>
      <c r="C732" s="106"/>
      <c r="D732" s="104"/>
      <c r="E732" s="105"/>
      <c r="F732" s="105"/>
      <c r="G732" s="97" t="s">
        <v>31</v>
      </c>
      <c r="H732" s="102">
        <f ca="1">VLOOKUP($B728,INDIRECT(VLOOKUP($E$7,$M$2:$N$20,2,FALSE)),9,FALSE)</f>
        <v>2</v>
      </c>
      <c r="I732" s="107"/>
      <c r="J732" s="107"/>
      <c r="K732" s="101"/>
      <c r="L732" s="1"/>
      <c r="M732" s="86"/>
      <c r="N732" s="88"/>
    </row>
    <row r="733" spans="1:14" s="2" customFormat="1" ht="3" customHeight="1" x14ac:dyDescent="0.3">
      <c r="A733" s="108"/>
      <c r="B733" s="109"/>
      <c r="C733" s="109"/>
      <c r="D733" s="109"/>
      <c r="E733" s="110"/>
      <c r="F733" s="110"/>
      <c r="G733" s="109"/>
      <c r="H733" s="109"/>
      <c r="I733" s="111"/>
      <c r="J733" s="111"/>
      <c r="K733" s="112"/>
      <c r="L733" s="1"/>
      <c r="M733" s="88"/>
      <c r="N733" s="88"/>
    </row>
    <row r="734" spans="1:14" s="2" customFormat="1" ht="3" customHeight="1" x14ac:dyDescent="0.3">
      <c r="A734" s="123"/>
      <c r="B734" s="113"/>
      <c r="C734" s="113"/>
      <c r="D734" s="113"/>
      <c r="E734" s="124"/>
      <c r="F734" s="124"/>
      <c r="G734" s="113"/>
      <c r="H734" s="113"/>
      <c r="I734" s="114"/>
      <c r="J734" s="114"/>
      <c r="K734" s="115"/>
      <c r="L734" s="1"/>
      <c r="M734" s="88"/>
      <c r="N734" s="88"/>
    </row>
    <row r="735" spans="1:14" s="1" customFormat="1" ht="3" customHeight="1" x14ac:dyDescent="0.3">
      <c r="A735" s="116"/>
      <c r="B735" s="117"/>
      <c r="C735" s="117"/>
      <c r="D735" s="115"/>
      <c r="E735" s="118"/>
      <c r="F735" s="118"/>
      <c r="G735" s="117"/>
      <c r="H735" s="117"/>
      <c r="I735" s="119"/>
      <c r="J735" s="119"/>
      <c r="K735" s="115"/>
      <c r="M735" s="88"/>
      <c r="N735" s="88"/>
    </row>
    <row r="736" spans="1:14" s="1" customFormat="1" ht="12" customHeight="1" x14ac:dyDescent="0.3">
      <c r="A736" s="120" t="s">
        <v>4</v>
      </c>
      <c r="B736" s="113"/>
      <c r="C736" s="113"/>
      <c r="D736" s="121" t="s">
        <v>5</v>
      </c>
      <c r="E736" s="122" t="s">
        <v>6</v>
      </c>
      <c r="F736" s="122"/>
      <c r="G736" s="113"/>
      <c r="H736" s="113"/>
      <c r="I736" s="113"/>
      <c r="J736" s="113"/>
      <c r="K736" s="121" t="s">
        <v>5</v>
      </c>
      <c r="M736" s="86"/>
      <c r="N736" s="88"/>
    </row>
    <row r="737" spans="1:14" s="1" customFormat="1" ht="3" customHeight="1" x14ac:dyDescent="0.3">
      <c r="A737" s="108"/>
      <c r="B737" s="109"/>
      <c r="C737" s="109"/>
      <c r="D737" s="112"/>
      <c r="E737" s="110"/>
      <c r="F737" s="110"/>
      <c r="G737" s="109"/>
      <c r="H737" s="109"/>
      <c r="I737" s="111"/>
      <c r="J737" s="111"/>
      <c r="K737" s="112"/>
      <c r="M737" s="88"/>
      <c r="N737" s="88"/>
    </row>
    <row r="738" spans="1:14" s="1" customFormat="1" ht="3" customHeight="1" x14ac:dyDescent="0.3">
      <c r="A738" s="123"/>
      <c r="B738" s="113"/>
      <c r="C738" s="113"/>
      <c r="D738" s="101"/>
      <c r="E738" s="124"/>
      <c r="F738" s="124"/>
      <c r="G738" s="113"/>
      <c r="H738" s="113"/>
      <c r="I738" s="114"/>
      <c r="J738" s="114"/>
      <c r="K738" s="101"/>
      <c r="M738" s="88"/>
      <c r="N738" s="88"/>
    </row>
    <row r="739" spans="1:14" s="1" customFormat="1" ht="12" customHeight="1" x14ac:dyDescent="0.3">
      <c r="A739" s="324" t="s">
        <v>7</v>
      </c>
      <c r="B739" s="325"/>
      <c r="C739" s="326">
        <f ca="1">VLOOKUP($B728,INDIRECT(VLOOKUP($E727,$M$2:$N$20,2,FALSE)),13,FALSE)</f>
        <v>11500</v>
      </c>
      <c r="D739" s="327"/>
      <c r="E739" s="324" t="s">
        <v>8</v>
      </c>
      <c r="F739" s="325"/>
      <c r="G739" s="325"/>
      <c r="H739" s="325"/>
      <c r="I739" s="325"/>
      <c r="J739" s="326">
        <f ca="1">VLOOKUP($B728,INDIRECT(VLOOKUP($E727,$M$2:$N$20,2,FALSE)),22,FALSE)</f>
        <v>1800</v>
      </c>
      <c r="K739" s="327"/>
      <c r="M739" s="86"/>
      <c r="N739" s="88"/>
    </row>
    <row r="740" spans="1:14" s="1" customFormat="1" ht="12" customHeight="1" x14ac:dyDescent="0.3">
      <c r="A740" s="324" t="s">
        <v>9</v>
      </c>
      <c r="B740" s="325"/>
      <c r="C740" s="326">
        <f ca="1">VLOOKUP($B728,INDIRECT(VLOOKUP($E727,$M$2:$N$20,2,FALSE)),14,FALSE)</f>
        <v>4600</v>
      </c>
      <c r="D740" s="327"/>
      <c r="E740" s="324" t="s">
        <v>94</v>
      </c>
      <c r="F740" s="325"/>
      <c r="G740" s="325"/>
      <c r="H740" s="325"/>
      <c r="I740" s="325"/>
      <c r="J740" s="326">
        <f ca="1">VLOOKUP($B728,INDIRECT(VLOOKUP($E727,$M$2:$N$20,2,FALSE)),23,FALSE)</f>
        <v>1800</v>
      </c>
      <c r="K740" s="327"/>
      <c r="M740" s="86"/>
      <c r="N740" s="88"/>
    </row>
    <row r="741" spans="1:14" s="1" customFormat="1" ht="12" customHeight="1" x14ac:dyDescent="0.3">
      <c r="A741" s="324" t="s">
        <v>11</v>
      </c>
      <c r="B741" s="325"/>
      <c r="C741" s="326">
        <f ca="1">VLOOKUP($B728,INDIRECT(VLOOKUP($E727,$M$2:$N$20,2,FALSE)),15,FALSE)</f>
        <v>1600</v>
      </c>
      <c r="D741" s="327"/>
      <c r="E741" s="324" t="s">
        <v>10</v>
      </c>
      <c r="F741" s="325"/>
      <c r="G741" s="325"/>
      <c r="H741" s="325"/>
      <c r="I741" s="325"/>
      <c r="J741" s="326">
        <f ca="1">VLOOKUP($B728,INDIRECT(VLOOKUP($E727,$M$2:$N$20,2,FALSE)),24,FALSE)</f>
        <v>0</v>
      </c>
      <c r="K741" s="327"/>
      <c r="M741" s="87"/>
      <c r="N741" s="86"/>
    </row>
    <row r="742" spans="1:14" s="1" customFormat="1" ht="12" customHeight="1" x14ac:dyDescent="0.3">
      <c r="A742" s="324" t="s">
        <v>3</v>
      </c>
      <c r="B742" s="325"/>
      <c r="C742" s="326">
        <f ca="1">VLOOKUP($B728,INDIRECT(VLOOKUP($E727,$M$2:$N$20,2,FALSE)),16,FALSE)</f>
        <v>958</v>
      </c>
      <c r="D742" s="327"/>
      <c r="E742" s="324" t="s">
        <v>93</v>
      </c>
      <c r="F742" s="325"/>
      <c r="G742" s="325"/>
      <c r="H742" s="325"/>
      <c r="I742" s="325"/>
      <c r="J742" s="326">
        <f ca="1">VLOOKUP($B728,INDIRECT(VLOOKUP($E727,$M$2:$N$20,2,FALSE)),25,FALSE)</f>
        <v>0</v>
      </c>
      <c r="K742" s="327"/>
      <c r="M742" s="87"/>
      <c r="N742" s="89"/>
    </row>
    <row r="743" spans="1:14" s="1" customFormat="1" ht="12" customHeight="1" x14ac:dyDescent="0.3">
      <c r="A743" s="324" t="s">
        <v>13</v>
      </c>
      <c r="B743" s="325"/>
      <c r="C743" s="326">
        <f ca="1">VLOOKUP($B728,INDIRECT(VLOOKUP($E727,$M$2:$N$20,2,FALSE)),17,FALSE)</f>
        <v>15242</v>
      </c>
      <c r="D743" s="327"/>
      <c r="E743" s="324" t="s">
        <v>12</v>
      </c>
      <c r="F743" s="325"/>
      <c r="G743" s="325"/>
      <c r="H743" s="325"/>
      <c r="I743" s="325"/>
      <c r="J743" s="326">
        <f ca="1">VLOOKUP($B728,INDIRECT(VLOOKUP($E727,$M$2:$N$20,2,FALSE)),26,FALSE)</f>
        <v>200</v>
      </c>
      <c r="K743" s="327"/>
      <c r="M743" s="88" t="s">
        <v>73</v>
      </c>
      <c r="N743" s="88" t="str">
        <f ca="1">IF(VLOOKUP($B728,INDIRECT(VLOOKUP($E727,$M$2:$N$20,2,FALSE)),38,FALSE)&gt;0,"Yes","No")</f>
        <v>No</v>
      </c>
    </row>
    <row r="744" spans="1:14" s="1" customFormat="1" ht="12" customHeight="1" x14ac:dyDescent="0.3">
      <c r="A744" s="324" t="str">
        <f ca="1">IF($J740&gt;0,"Other Allowance",IF(VLOOKUP($B728,INDIRECT(VLOOKUP($E727,$M$2:$N$20,2,FALSE)),44,FALSE)=0,"",IF($E727=DATE(2025,6,1),"Arrears of Apr &amp; May-2025","")))</f>
        <v>Other Allowance</v>
      </c>
      <c r="B744" s="325"/>
      <c r="C744" s="326" cm="1">
        <f t="array" aca="1" ref="C744" ca="1">_xlfn.IFS($A744="","",$A744="Other Allowance",VLOOKUP($B728,INDIRECT(VLOOKUP($E727,$M$2:$N$20,2,FALSE)),18,FALSE),$A744="Arrears of Apr &amp; May-2025",VLOOKUP($B728,INDIRECT(VLOOKUP($E727,$M$2:$N$20,2,FALSE)),44,FALSE))</f>
        <v>1800</v>
      </c>
      <c r="D744" s="327"/>
      <c r="E744" s="324" t="str" cm="1">
        <f t="array" aca="1" ref="E744" ca="1">_xlfn.IFS(N743="Yes",M743,N744="Yes",M744,TRUE,"")</f>
        <v/>
      </c>
      <c r="F744" s="325"/>
      <c r="G744" s="325"/>
      <c r="H744" s="325"/>
      <c r="I744" s="325"/>
      <c r="J744" s="335" t="str" cm="1">
        <f t="array" aca="1" ref="J744" ca="1">IF(E744="","",_xlfn.IFS(N743="Yes",VLOOKUP($B728,INDIRECT(VLOOKUP($E727,$M$2:$N$20,2,FALSE)),27,FALSE),N744="Yes",VLOOKUP($B728,INDIRECT(VLOOKUP($E727,$M$2:$N$20,2,FALSE)),28,FALSE)))</f>
        <v/>
      </c>
      <c r="K744" s="336"/>
      <c r="M744" s="88" t="s">
        <v>14</v>
      </c>
      <c r="N744" s="88" t="str">
        <f ca="1">IF(VLOOKUP($B728,INDIRECT(VLOOKUP($E$7,$M$2:$N$20,2,FALSE)),39,FALSE)&gt;0,"Yes","No")</f>
        <v>No</v>
      </c>
    </row>
    <row r="745" spans="1:14" s="1" customFormat="1" ht="12" customHeight="1" x14ac:dyDescent="0.3">
      <c r="A745" s="324" t="str" cm="1">
        <f t="array" aca="1" ref="A745" ca="1">_xlfn.IFS($A744="","",$A744="Other Allowance","EPF",$A744="Arrears of Apr &amp; May-2025","",VLOOKUP($B728,INDIRECT(VLOOKUP($E727,$M$2:$N$20,2,FALSE)),44,FALSE)=0,"",$E727=DATE(2025,6,1),"Arrears of Apr &amp; May-2025")</f>
        <v>EPF</v>
      </c>
      <c r="B745" s="325"/>
      <c r="C745" s="326" cm="1">
        <f t="array" aca="1" ref="C745" ca="1">_xlfn.IFS($A745="","",$A745="EPF",VLOOKUP($B728,INDIRECT(VLOOKUP($E727,$M$2:$N$20,2,FALSE)),19,FALSE),$A745="Arrears of Apr &amp; May-2025",VLOOKUP($B728,INDIRECT(VLOOKUP($E727,$M$2:$N$20,2,FALSE)),44,FALSE))</f>
        <v>1800</v>
      </c>
      <c r="D745" s="327"/>
      <c r="E745" s="324" t="str" cm="1">
        <f t="array" aca="1" ref="E745" ca="1">_xlfn.IFS(N744="No","",N743="Yes",M744,TRUE,"")</f>
        <v/>
      </c>
      <c r="F745" s="325"/>
      <c r="G745" s="325"/>
      <c r="H745" s="325"/>
      <c r="I745" s="325"/>
      <c r="J745" s="335" t="str">
        <f ca="1">IF(E745="","",VLOOKUP($B728,INDIRECT(VLOOKUP($E727,$M$2:$N$20,2,FALSE)),28,FALSE))</f>
        <v/>
      </c>
      <c r="K745" s="336"/>
      <c r="M745" s="130"/>
      <c r="N745" s="88"/>
    </row>
    <row r="746" spans="1:14" s="1" customFormat="1" ht="12" customHeight="1" x14ac:dyDescent="0.3">
      <c r="A746" s="324" t="str">
        <f ca="1">IF($J742&gt;0,"ESIC (Employer)",IF($A745="","",IF(VLOOKUP($B728,INDIRECT(VLOOKUP($E727,$M$2:$N$20,2,FALSE)),44,FALSE)="","",IF($E727=DATE(2025,6,1),"Arrears of Apr &amp; May-2025",""))))</f>
        <v>Arrears of Apr &amp; May-2025</v>
      </c>
      <c r="B746" s="325"/>
      <c r="C746" s="326" cm="1">
        <f t="array" aca="1" ref="C746" ca="1">_xlfn.IFS($A746="","",$A746="ESIC (Employer)",VLOOKUP($B728,INDIRECT(VLOOKUP($E727,$M$2:$N$20,2,FALSE)),20,FALSE),$A746="Arrears of Apr &amp; May-2025",VLOOKUP($B728,INDIRECT(VLOOKUP($E727,$M$2:$N$20,2,FALSE)),44,FALSE))</f>
        <v>5000</v>
      </c>
      <c r="D746" s="327"/>
      <c r="E746" s="324"/>
      <c r="F746" s="325"/>
      <c r="G746" s="325"/>
      <c r="H746" s="325"/>
      <c r="I746" s="325"/>
      <c r="J746" s="335"/>
      <c r="K746" s="336"/>
      <c r="M746" s="88"/>
      <c r="N746" s="88"/>
    </row>
    <row r="747" spans="1:14" s="1" customFormat="1" ht="12" customHeight="1" x14ac:dyDescent="0.3">
      <c r="A747" s="324" t="str">
        <f ca="1">IF($A746="","",IF(VLOOKUP($B728,INDIRECT(VLOOKUP($E727,$M$2:$N$20,2,FALSE)),44,FALSE)=0,"",IF($A746="Arrears of Apr &amp; May-2025","",IF($E727=DATE(2025,6,1),"Arrears of Apr &amp; May-2025",""))))</f>
        <v/>
      </c>
      <c r="B747" s="325"/>
      <c r="C747" s="326" t="str" cm="1">
        <f t="array" aca="1" ref="C747" ca="1">_xlfn.IFS($A747="","",$A747="Arrears of Apr &amp; May-2025",VLOOKUP($B728,INDIRECT(VLOOKUP($E727,$M$2:$N$20,2,FALSE)),44,FALSE))</f>
        <v/>
      </c>
      <c r="D747" s="327"/>
      <c r="E747" s="324"/>
      <c r="F747" s="325"/>
      <c r="G747" s="325"/>
      <c r="H747" s="325"/>
      <c r="I747" s="325"/>
      <c r="J747" s="335"/>
      <c r="K747" s="336"/>
      <c r="M747" s="88"/>
      <c r="N747" s="88"/>
    </row>
    <row r="748" spans="1:14" s="1" customFormat="1" ht="12" customHeight="1" x14ac:dyDescent="0.3">
      <c r="A748" s="324"/>
      <c r="B748" s="325"/>
      <c r="C748" s="326"/>
      <c r="D748" s="327"/>
      <c r="E748" s="124"/>
      <c r="F748" s="124"/>
      <c r="G748" s="124"/>
      <c r="H748" s="124"/>
      <c r="I748" s="124"/>
      <c r="J748" s="335"/>
      <c r="K748" s="336"/>
      <c r="M748" s="88"/>
      <c r="N748" s="88"/>
    </row>
    <row r="749" spans="1:14" s="1" customFormat="1" ht="3" customHeight="1" x14ac:dyDescent="0.3">
      <c r="A749" s="108"/>
      <c r="B749" s="109"/>
      <c r="C749" s="109"/>
      <c r="D749" s="112"/>
      <c r="E749" s="110"/>
      <c r="F749" s="110"/>
      <c r="G749" s="109"/>
      <c r="H749" s="109"/>
      <c r="I749" s="111"/>
      <c r="J749" s="111"/>
      <c r="K749" s="112"/>
      <c r="M749" s="88"/>
      <c r="N749" s="88"/>
    </row>
    <row r="750" spans="1:14" s="1" customFormat="1" ht="3" customHeight="1" x14ac:dyDescent="0.3">
      <c r="A750" s="123"/>
      <c r="B750" s="113"/>
      <c r="C750" s="113"/>
      <c r="D750" s="101"/>
      <c r="E750" s="124"/>
      <c r="F750" s="124"/>
      <c r="G750" s="113"/>
      <c r="H750" s="113"/>
      <c r="I750" s="114"/>
      <c r="J750" s="114"/>
      <c r="K750" s="101"/>
      <c r="M750" s="88"/>
      <c r="N750" s="88"/>
    </row>
    <row r="751" spans="1:14" s="4" customFormat="1" ht="19.95" customHeight="1" x14ac:dyDescent="0.3">
      <c r="A751" s="328" t="s">
        <v>15</v>
      </c>
      <c r="B751" s="329"/>
      <c r="C751" s="330">
        <f ca="1">SUM(C739:D750)</f>
        <v>42500</v>
      </c>
      <c r="D751" s="331"/>
      <c r="E751" s="328" t="s">
        <v>16</v>
      </c>
      <c r="F751" s="329"/>
      <c r="G751" s="329"/>
      <c r="H751" s="329"/>
      <c r="I751" s="329"/>
      <c r="J751" s="330">
        <f ca="1">SUM(J739:K747)</f>
        <v>3800</v>
      </c>
      <c r="K751" s="331"/>
      <c r="M751" s="129"/>
      <c r="N751" s="90"/>
    </row>
    <row r="752" spans="1:14" s="1" customFormat="1" ht="3" customHeight="1" x14ac:dyDescent="0.3">
      <c r="A752" s="108"/>
      <c r="B752" s="109"/>
      <c r="C752" s="109"/>
      <c r="D752" s="112"/>
      <c r="E752" s="110"/>
      <c r="F752" s="110"/>
      <c r="G752" s="109"/>
      <c r="H752" s="109"/>
      <c r="I752" s="111"/>
      <c r="J752" s="111"/>
      <c r="K752" s="112"/>
      <c r="M752" s="88"/>
      <c r="N752" s="88"/>
    </row>
    <row r="753" spans="1:14" s="1" customFormat="1" ht="3" customHeight="1" x14ac:dyDescent="0.3">
      <c r="A753" s="123"/>
      <c r="B753" s="113"/>
      <c r="C753" s="113"/>
      <c r="D753" s="117"/>
      <c r="E753" s="118"/>
      <c r="F753" s="124"/>
      <c r="G753" s="113"/>
      <c r="H753" s="126"/>
      <c r="I753" s="119"/>
      <c r="J753" s="119"/>
      <c r="K753" s="115"/>
      <c r="M753" s="88"/>
      <c r="N753" s="88"/>
    </row>
    <row r="754" spans="1:14" s="5" customFormat="1" ht="19.95" customHeight="1" x14ac:dyDescent="0.3">
      <c r="A754" s="328" t="str" cm="1">
        <f t="array" aca="1" ref="A754" ca="1">mgm(J754)</f>
        <v>Rupees Thirty Eight Thousand Seven Hundred Only</v>
      </c>
      <c r="B754" s="329"/>
      <c r="C754" s="329"/>
      <c r="D754" s="329"/>
      <c r="E754" s="329"/>
      <c r="F754" s="329"/>
      <c r="G754" s="332"/>
      <c r="H754" s="333" t="s">
        <v>17</v>
      </c>
      <c r="I754" s="334"/>
      <c r="J754" s="330">
        <f ca="1">C751-J751</f>
        <v>38700</v>
      </c>
      <c r="K754" s="331"/>
      <c r="L754" s="205"/>
      <c r="M754" s="90"/>
      <c r="N754" s="90"/>
    </row>
    <row r="755" spans="1:14" s="1" customFormat="1" ht="3" customHeight="1" x14ac:dyDescent="0.3">
      <c r="A755" s="108"/>
      <c r="B755" s="109"/>
      <c r="C755" s="109"/>
      <c r="D755" s="109"/>
      <c r="E755" s="110"/>
      <c r="F755" s="110"/>
      <c r="G755" s="109"/>
      <c r="H755" s="127"/>
      <c r="I755" s="111"/>
      <c r="J755" s="111"/>
      <c r="K755" s="112"/>
      <c r="M755" s="88"/>
      <c r="N755" s="88"/>
    </row>
    <row r="756" spans="1:14" s="1" customFormat="1" ht="19.95" customHeight="1" x14ac:dyDescent="0.3">
      <c r="A756" s="323" t="s">
        <v>18</v>
      </c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M756" s="88"/>
      <c r="N756" s="88"/>
    </row>
    <row r="757" spans="1:14" s="132" customFormat="1" ht="60" customHeight="1" x14ac:dyDescent="0.3">
      <c r="A757" s="181"/>
      <c r="E757" s="181"/>
      <c r="F757" s="181"/>
    </row>
    <row r="758" spans="1:14" s="2" customFormat="1" ht="19.95" customHeight="1" x14ac:dyDescent="0.3">
      <c r="A758" s="338" t="s">
        <v>107</v>
      </c>
      <c r="B758" s="339"/>
      <c r="C758" s="339"/>
      <c r="D758" s="339"/>
      <c r="E758" s="339"/>
      <c r="F758" s="339"/>
      <c r="G758" s="339"/>
      <c r="H758" s="339"/>
      <c r="I758" s="339"/>
      <c r="J758" s="339"/>
      <c r="K758" s="340"/>
      <c r="L758" s="1"/>
      <c r="M758" s="86"/>
      <c r="N758" s="87"/>
    </row>
    <row r="759" spans="1:14" s="2" customFormat="1" ht="15" customHeight="1" x14ac:dyDescent="0.3">
      <c r="A759" s="341" t="s">
        <v>180</v>
      </c>
      <c r="B759" s="342"/>
      <c r="C759" s="342"/>
      <c r="D759" s="342"/>
      <c r="E759" s="342"/>
      <c r="F759" s="342"/>
      <c r="G759" s="342"/>
      <c r="H759" s="342"/>
      <c r="I759" s="342"/>
      <c r="J759" s="342"/>
      <c r="K759" s="343"/>
      <c r="L759" s="1"/>
      <c r="M759" s="86"/>
      <c r="N759" s="88"/>
    </row>
    <row r="760" spans="1:14" s="2" customFormat="1" ht="15" customHeight="1" x14ac:dyDescent="0.3">
      <c r="A760" s="344" t="s">
        <v>72</v>
      </c>
      <c r="B760" s="345"/>
      <c r="C760" s="345"/>
      <c r="D760" s="345"/>
      <c r="E760" s="345"/>
      <c r="F760" s="345"/>
      <c r="G760" s="345"/>
      <c r="H760" s="345"/>
      <c r="I760" s="345"/>
      <c r="J760" s="345"/>
      <c r="K760" s="346"/>
      <c r="L760" s="1"/>
      <c r="M760" s="86"/>
      <c r="N760" s="88"/>
    </row>
    <row r="761" spans="1:14" s="2" customFormat="1" ht="4.95" customHeight="1" x14ac:dyDescent="0.3">
      <c r="A761" s="92"/>
      <c r="B761" s="347"/>
      <c r="C761" s="347"/>
      <c r="D761" s="347"/>
      <c r="E761" s="347"/>
      <c r="F761" s="347"/>
      <c r="G761" s="347"/>
      <c r="H761" s="347"/>
      <c r="I761" s="347"/>
      <c r="J761" s="347"/>
      <c r="K761" s="348"/>
      <c r="L761" s="1"/>
      <c r="M761" s="88"/>
      <c r="N761" s="88"/>
    </row>
    <row r="762" spans="1:14" s="2" customFormat="1" ht="3" customHeight="1" x14ac:dyDescent="0.3">
      <c r="A762" s="93"/>
      <c r="B762" s="94"/>
      <c r="C762" s="94"/>
      <c r="D762" s="94"/>
      <c r="E762" s="95"/>
      <c r="F762" s="95"/>
      <c r="G762" s="94"/>
      <c r="H762" s="94"/>
      <c r="I762" s="94"/>
      <c r="J762" s="94"/>
      <c r="K762" s="96"/>
      <c r="L762" s="1"/>
      <c r="M762" s="88"/>
      <c r="N762" s="88"/>
    </row>
    <row r="763" spans="1:14" s="2" customFormat="1" x14ac:dyDescent="0.3">
      <c r="A763" s="123" t="s">
        <v>68</v>
      </c>
      <c r="B763" s="124" t="str">
        <f ca="1">VLOOKUP($B764,Salary_Master_2,3,FALSE)</f>
        <v>EW 064</v>
      </c>
      <c r="C763" s="349" t="s">
        <v>21</v>
      </c>
      <c r="D763" s="349"/>
      <c r="E763" s="350">
        <f>IF($E$1="","",$E$1)</f>
        <v>45809</v>
      </c>
      <c r="F763" s="350"/>
      <c r="G763" s="97" t="s">
        <v>22</v>
      </c>
      <c r="H763" s="98">
        <f ca="1">VLOOKUP($B764,INDIRECT(VLOOKUP($E$7,$M$2:$N$20,2,FALSE)),3,FALSE)</f>
        <v>28</v>
      </c>
      <c r="I763" s="99"/>
      <c r="J763" s="100" t="s">
        <v>27</v>
      </c>
      <c r="K763" s="101"/>
      <c r="L763" s="1"/>
      <c r="M763" s="86"/>
      <c r="N763" s="88"/>
    </row>
    <row r="764" spans="1:14" s="2" customFormat="1" x14ac:dyDescent="0.3">
      <c r="A764" s="123" t="s">
        <v>19</v>
      </c>
      <c r="B764" s="124" t="str">
        <f ca="1">IF(Salary_Master_2!$B$26="","",VLOOKUP(Salary_Master_2!$B$26,INDIRECT(VLOOKUP($E763,$M$2:$N$20,2,FALSE)),1,FALSE))</f>
        <v>Akash Gholap</v>
      </c>
      <c r="C764" s="351" t="s">
        <v>1</v>
      </c>
      <c r="D764" s="351"/>
      <c r="E764" s="352">
        <f ca="1">SUM($H763:$H766)</f>
        <v>31</v>
      </c>
      <c r="F764" s="352"/>
      <c r="G764" s="97" t="s">
        <v>24</v>
      </c>
      <c r="H764" s="102">
        <f ca="1">VLOOKUP($B764,INDIRECT(VLOOKUP($E$7,$M$2:$N$20,2,FALSE)),4,FALSE)</f>
        <v>0</v>
      </c>
      <c r="I764" s="100"/>
      <c r="J764" s="103" t="s">
        <v>28</v>
      </c>
      <c r="K764" s="101">
        <f ca="1">VLOOKUP($B764,INDIRECT(VLOOKUP($E$7,$M$2:$N$20,2,FALSE)),29,FALSE)</f>
        <v>30500</v>
      </c>
      <c r="L764" s="1"/>
      <c r="M764" s="86"/>
      <c r="N764" s="88"/>
    </row>
    <row r="765" spans="1:14" s="2" customFormat="1" x14ac:dyDescent="0.3">
      <c r="A765" s="123" t="s">
        <v>0</v>
      </c>
      <c r="B765" s="124" t="str">
        <f ca="1">VLOOKUP($B764,Salary_Master_2,4,FALSE)</f>
        <v>Service Engineer</v>
      </c>
      <c r="C765" s="124"/>
      <c r="D765" s="103" t="s">
        <v>70</v>
      </c>
      <c r="E765" s="337">
        <f ca="1">VLOOKUP($B764,Salary_Master_2,9,FALSE)</f>
        <v>101315235480</v>
      </c>
      <c r="F765" s="337"/>
      <c r="G765" s="97" t="s">
        <v>25</v>
      </c>
      <c r="H765" s="102">
        <f ca="1">VLOOKUP($B764,INDIRECT(VLOOKUP($E$7,$M$2:$N$20,2,FALSE)),5,FALSE)</f>
        <v>3</v>
      </c>
      <c r="I765" s="97"/>
      <c r="J765" s="103" t="s">
        <v>29</v>
      </c>
      <c r="K765" s="101" t="str">
        <f ca="1">VLOOKUP($B764,INDIRECT(VLOOKUP($E$7,$M$2:$N$20,2,FALSE)),30,FALSE)</f>
        <v>Male</v>
      </c>
      <c r="L765" s="1"/>
      <c r="M765" s="86"/>
      <c r="N765" s="88"/>
    </row>
    <row r="766" spans="1:14" s="2" customFormat="1" x14ac:dyDescent="0.3">
      <c r="A766" s="123" t="s">
        <v>20</v>
      </c>
      <c r="B766" s="124" t="str">
        <f ca="1">VLOOKUP($B764,Salary_Master_2,5,FALSE)</f>
        <v>Service</v>
      </c>
      <c r="C766" s="124"/>
      <c r="D766" s="103" t="s">
        <v>71</v>
      </c>
      <c r="E766" s="337" t="str">
        <f ca="1">VLOOKUP($B764,Salary_Master_2,10,FALSE)</f>
        <v>NA</v>
      </c>
      <c r="F766" s="337"/>
      <c r="G766" s="97" t="s">
        <v>26</v>
      </c>
      <c r="H766" s="102">
        <f ca="1">VLOOKUP($B764,INDIRECT(VLOOKUP($E$7,$M$2:$N$20,2,FALSE)),6,FALSE)</f>
        <v>0</v>
      </c>
      <c r="I766" s="97"/>
      <c r="J766" s="103" t="s">
        <v>30</v>
      </c>
      <c r="K766" s="101">
        <f ca="1">VLOOKUP($B764,INDIRECT(VLOOKUP($E$7,$M$2:$N$20,2,FALSE)),31,FALSE)</f>
        <v>0</v>
      </c>
      <c r="L766" s="1"/>
      <c r="M766" s="86"/>
      <c r="N766" s="88"/>
    </row>
    <row r="767" spans="1:14" s="2" customFormat="1" x14ac:dyDescent="0.3">
      <c r="A767" s="123" t="s">
        <v>69</v>
      </c>
      <c r="B767" s="124" t="str">
        <f ca="1">VLOOKUP($B764,Salary_Master_2,6,FALSE)</f>
        <v>Koparkhairne Factory</v>
      </c>
      <c r="C767" s="124"/>
      <c r="D767" s="104"/>
      <c r="E767" s="105"/>
      <c r="F767" s="105"/>
      <c r="G767" s="97" t="s">
        <v>23</v>
      </c>
      <c r="H767" s="102">
        <f ca="1">VLOOKUP($B764,INDIRECT(VLOOKUP($E$7,$M$2:$N$20,2,FALSE)),8,FALSE)</f>
        <v>0</v>
      </c>
      <c r="I767" s="97"/>
      <c r="J767" s="125"/>
      <c r="K767" s="101"/>
      <c r="L767" s="1"/>
      <c r="M767" s="86"/>
      <c r="N767" s="88"/>
    </row>
    <row r="768" spans="1:14" s="2" customFormat="1" x14ac:dyDescent="0.3">
      <c r="A768" s="123" t="s">
        <v>32</v>
      </c>
      <c r="B768" s="106">
        <f ca="1">VLOOKUP($B764,Salary_Master_2,7,FALSE)</f>
        <v>45215</v>
      </c>
      <c r="C768" s="106"/>
      <c r="D768" s="104"/>
      <c r="E768" s="105"/>
      <c r="F768" s="105"/>
      <c r="G768" s="97" t="s">
        <v>31</v>
      </c>
      <c r="H768" s="102">
        <f ca="1">VLOOKUP($B764,INDIRECT(VLOOKUP($E$7,$M$2:$N$20,2,FALSE)),9,FALSE)</f>
        <v>4</v>
      </c>
      <c r="I768" s="107"/>
      <c r="J768" s="107"/>
      <c r="K768" s="101"/>
      <c r="L768" s="1"/>
      <c r="M768" s="86"/>
      <c r="N768" s="88"/>
    </row>
    <row r="769" spans="1:14" s="2" customFormat="1" ht="3" customHeight="1" x14ac:dyDescent="0.3">
      <c r="A769" s="108"/>
      <c r="B769" s="109"/>
      <c r="C769" s="109"/>
      <c r="D769" s="109"/>
      <c r="E769" s="110"/>
      <c r="F769" s="110"/>
      <c r="G769" s="109"/>
      <c r="H769" s="109"/>
      <c r="I769" s="111"/>
      <c r="J769" s="111"/>
      <c r="K769" s="112"/>
      <c r="L769" s="1"/>
      <c r="M769" s="88"/>
      <c r="N769" s="88"/>
    </row>
    <row r="770" spans="1:14" s="2" customFormat="1" ht="3" customHeight="1" x14ac:dyDescent="0.3">
      <c r="A770" s="123"/>
      <c r="B770" s="113"/>
      <c r="C770" s="113"/>
      <c r="D770" s="113"/>
      <c r="E770" s="124"/>
      <c r="F770" s="124"/>
      <c r="G770" s="113"/>
      <c r="H770" s="113"/>
      <c r="I770" s="114"/>
      <c r="J770" s="114"/>
      <c r="K770" s="115"/>
      <c r="L770" s="1"/>
      <c r="M770" s="88"/>
      <c r="N770" s="88"/>
    </row>
    <row r="771" spans="1:14" s="1" customFormat="1" ht="3" customHeight="1" x14ac:dyDescent="0.3">
      <c r="A771" s="116"/>
      <c r="B771" s="117"/>
      <c r="C771" s="117"/>
      <c r="D771" s="115"/>
      <c r="E771" s="118"/>
      <c r="F771" s="118"/>
      <c r="G771" s="117"/>
      <c r="H771" s="117"/>
      <c r="I771" s="119"/>
      <c r="J771" s="119"/>
      <c r="K771" s="115"/>
      <c r="M771" s="88"/>
      <c r="N771" s="88"/>
    </row>
    <row r="772" spans="1:14" s="1" customFormat="1" ht="12" customHeight="1" x14ac:dyDescent="0.3">
      <c r="A772" s="120" t="s">
        <v>4</v>
      </c>
      <c r="B772" s="113"/>
      <c r="C772" s="113"/>
      <c r="D772" s="121" t="s">
        <v>5</v>
      </c>
      <c r="E772" s="122" t="s">
        <v>6</v>
      </c>
      <c r="F772" s="122"/>
      <c r="G772" s="113"/>
      <c r="H772" s="113"/>
      <c r="I772" s="113"/>
      <c r="J772" s="113"/>
      <c r="K772" s="121" t="s">
        <v>5</v>
      </c>
      <c r="M772" s="86"/>
      <c r="N772" s="88"/>
    </row>
    <row r="773" spans="1:14" s="1" customFormat="1" ht="3" customHeight="1" x14ac:dyDescent="0.3">
      <c r="A773" s="108"/>
      <c r="B773" s="109"/>
      <c r="C773" s="109"/>
      <c r="D773" s="112"/>
      <c r="E773" s="110"/>
      <c r="F773" s="110"/>
      <c r="G773" s="109"/>
      <c r="H773" s="109"/>
      <c r="I773" s="111"/>
      <c r="J773" s="111"/>
      <c r="K773" s="112"/>
      <c r="M773" s="88"/>
      <c r="N773" s="88"/>
    </row>
    <row r="774" spans="1:14" s="1" customFormat="1" ht="3" customHeight="1" x14ac:dyDescent="0.3">
      <c r="A774" s="123"/>
      <c r="B774" s="113"/>
      <c r="C774" s="113"/>
      <c r="D774" s="101"/>
      <c r="E774" s="124"/>
      <c r="F774" s="124"/>
      <c r="G774" s="113"/>
      <c r="H774" s="113"/>
      <c r="I774" s="114"/>
      <c r="J774" s="114"/>
      <c r="K774" s="101"/>
      <c r="M774" s="88"/>
      <c r="N774" s="88"/>
    </row>
    <row r="775" spans="1:14" s="1" customFormat="1" ht="12" customHeight="1" x14ac:dyDescent="0.3">
      <c r="A775" s="324" t="s">
        <v>7</v>
      </c>
      <c r="B775" s="325"/>
      <c r="C775" s="326">
        <f ca="1">VLOOKUP($B764,INDIRECT(VLOOKUP($E763,$M$2:$N$20,2,FALSE)),13,FALSE)</f>
        <v>11500</v>
      </c>
      <c r="D775" s="327"/>
      <c r="E775" s="324" t="s">
        <v>8</v>
      </c>
      <c r="F775" s="325"/>
      <c r="G775" s="325"/>
      <c r="H775" s="325"/>
      <c r="I775" s="325"/>
      <c r="J775" s="326">
        <f ca="1">VLOOKUP($B764,INDIRECT(VLOOKUP($E763,$M$2:$N$20,2,FALSE)),22,FALSE)</f>
        <v>1800</v>
      </c>
      <c r="K775" s="327"/>
      <c r="M775" s="86"/>
      <c r="N775" s="88"/>
    </row>
    <row r="776" spans="1:14" s="1" customFormat="1" ht="12" customHeight="1" x14ac:dyDescent="0.3">
      <c r="A776" s="324" t="s">
        <v>9</v>
      </c>
      <c r="B776" s="325"/>
      <c r="C776" s="326">
        <f ca="1">VLOOKUP($B764,INDIRECT(VLOOKUP($E763,$M$2:$N$20,2,FALSE)),14,FALSE)</f>
        <v>4600</v>
      </c>
      <c r="D776" s="327"/>
      <c r="E776" s="324" t="s">
        <v>94</v>
      </c>
      <c r="F776" s="325"/>
      <c r="G776" s="325"/>
      <c r="H776" s="325"/>
      <c r="I776" s="325"/>
      <c r="J776" s="326">
        <f ca="1">VLOOKUP($B764,INDIRECT(VLOOKUP($E763,$M$2:$N$20,2,FALSE)),23,FALSE)</f>
        <v>1800</v>
      </c>
      <c r="K776" s="327"/>
      <c r="M776" s="86"/>
      <c r="N776" s="88"/>
    </row>
    <row r="777" spans="1:14" s="1" customFormat="1" ht="12" customHeight="1" x14ac:dyDescent="0.3">
      <c r="A777" s="324" t="s">
        <v>11</v>
      </c>
      <c r="B777" s="325"/>
      <c r="C777" s="326">
        <f ca="1">VLOOKUP($B764,INDIRECT(VLOOKUP($E763,$M$2:$N$20,2,FALSE)),15,FALSE)</f>
        <v>1600</v>
      </c>
      <c r="D777" s="327"/>
      <c r="E777" s="324" t="s">
        <v>10</v>
      </c>
      <c r="F777" s="325"/>
      <c r="G777" s="325"/>
      <c r="H777" s="325"/>
      <c r="I777" s="325"/>
      <c r="J777" s="326">
        <f ca="1">VLOOKUP($B764,INDIRECT(VLOOKUP($E763,$M$2:$N$20,2,FALSE)),24,FALSE)</f>
        <v>0</v>
      </c>
      <c r="K777" s="327"/>
      <c r="M777" s="87"/>
      <c r="N777" s="86"/>
    </row>
    <row r="778" spans="1:14" s="1" customFormat="1" ht="12" customHeight="1" x14ac:dyDescent="0.3">
      <c r="A778" s="324" t="s">
        <v>3</v>
      </c>
      <c r="B778" s="325"/>
      <c r="C778" s="326">
        <f ca="1">VLOOKUP($B764,INDIRECT(VLOOKUP($E763,$M$2:$N$20,2,FALSE)),16,FALSE)</f>
        <v>958</v>
      </c>
      <c r="D778" s="327"/>
      <c r="E778" s="324" t="s">
        <v>93</v>
      </c>
      <c r="F778" s="325"/>
      <c r="G778" s="325"/>
      <c r="H778" s="325"/>
      <c r="I778" s="325"/>
      <c r="J778" s="326">
        <f ca="1">VLOOKUP($B764,INDIRECT(VLOOKUP($E763,$M$2:$N$20,2,FALSE)),25,FALSE)</f>
        <v>0</v>
      </c>
      <c r="K778" s="327"/>
      <c r="M778" s="87"/>
      <c r="N778" s="89"/>
    </row>
    <row r="779" spans="1:14" s="1" customFormat="1" ht="12" customHeight="1" x14ac:dyDescent="0.3">
      <c r="A779" s="324" t="s">
        <v>13</v>
      </c>
      <c r="B779" s="325"/>
      <c r="C779" s="326">
        <f ca="1">VLOOKUP($B764,INDIRECT(VLOOKUP($E763,$M$2:$N$20,2,FALSE)),17,FALSE)</f>
        <v>12042</v>
      </c>
      <c r="D779" s="327"/>
      <c r="E779" s="324" t="s">
        <v>12</v>
      </c>
      <c r="F779" s="325"/>
      <c r="G779" s="325"/>
      <c r="H779" s="325"/>
      <c r="I779" s="325"/>
      <c r="J779" s="326">
        <f ca="1">VLOOKUP($B764,INDIRECT(VLOOKUP($E763,$M$2:$N$20,2,FALSE)),26,FALSE)</f>
        <v>200</v>
      </c>
      <c r="K779" s="327"/>
      <c r="M779" s="88" t="s">
        <v>73</v>
      </c>
      <c r="N779" s="88" t="str">
        <f ca="1">IF(VLOOKUP($B764,INDIRECT(VLOOKUP($E763,$M$2:$N$20,2,FALSE)),38,FALSE)&gt;0,"Yes","No")</f>
        <v>No</v>
      </c>
    </row>
    <row r="780" spans="1:14" s="1" customFormat="1" ht="12" customHeight="1" x14ac:dyDescent="0.3">
      <c r="A780" s="324" t="str">
        <f ca="1">IF($J776&gt;0,"Other Allowance",IF(VLOOKUP($B764,INDIRECT(VLOOKUP($E763,$M$2:$N$20,2,FALSE)),44,FALSE)=0,"",IF($E763=DATE(2025,6,1),"Arrears of Apr &amp; May-2025","")))</f>
        <v>Other Allowance</v>
      </c>
      <c r="B780" s="325"/>
      <c r="C780" s="326" cm="1">
        <f t="array" aca="1" ref="C780" ca="1">_xlfn.IFS($A780="","",$A780="Other Allowance",VLOOKUP($B764,INDIRECT(VLOOKUP($E763,$M$2:$N$20,2,FALSE)),18,FALSE),$A780="Arrears of Apr &amp; May-2025",VLOOKUP($B764,INDIRECT(VLOOKUP($E763,$M$2:$N$20,2,FALSE)),44,FALSE))</f>
        <v>1800</v>
      </c>
      <c r="D780" s="327"/>
      <c r="E780" s="324" t="str" cm="1">
        <f t="array" aca="1" ref="E780" ca="1">_xlfn.IFS(N779="Yes",M779,N780="Yes",M780,TRUE,"")</f>
        <v/>
      </c>
      <c r="F780" s="325"/>
      <c r="G780" s="325"/>
      <c r="H780" s="325"/>
      <c r="I780" s="325"/>
      <c r="J780" s="335" t="str" cm="1">
        <f t="array" aca="1" ref="J780" ca="1">IF(E780="","",_xlfn.IFS(N779="Yes",VLOOKUP($B764,INDIRECT(VLOOKUP($E763,$M$2:$N$20,2,FALSE)),27,FALSE),N780="Yes",VLOOKUP($B764,INDIRECT(VLOOKUP($E763,$M$2:$N$20,2,FALSE)),28,FALSE)))</f>
        <v/>
      </c>
      <c r="K780" s="336"/>
      <c r="M780" s="88" t="s">
        <v>14</v>
      </c>
      <c r="N780" s="88" t="str">
        <f ca="1">IF(VLOOKUP($B764,INDIRECT(VLOOKUP($E$7,$M$2:$N$20,2,FALSE)),39,FALSE)&gt;0,"Yes","No")</f>
        <v>No</v>
      </c>
    </row>
    <row r="781" spans="1:14" s="1" customFormat="1" ht="12" customHeight="1" x14ac:dyDescent="0.3">
      <c r="A781" s="324" t="str" cm="1">
        <f t="array" aca="1" ref="A781" ca="1">_xlfn.IFS($A780="","",$A780="Other Allowance","EPF",$A780="Arrears of Apr &amp; May-2025","",VLOOKUP($B764,INDIRECT(VLOOKUP($E763,$M$2:$N$20,2,FALSE)),44,FALSE)=0,"",$E763=DATE(2025,6,1),"Arrears of Apr &amp; May-2025")</f>
        <v>EPF</v>
      </c>
      <c r="B781" s="325"/>
      <c r="C781" s="326" cm="1">
        <f t="array" aca="1" ref="C781" ca="1">_xlfn.IFS($A781="","",$A781="EPF",VLOOKUP($B764,INDIRECT(VLOOKUP($E763,$M$2:$N$20,2,FALSE)),19,FALSE),$A781="Arrears of Apr &amp; May-2025",VLOOKUP($B764,INDIRECT(VLOOKUP($E763,$M$2:$N$20,2,FALSE)),44,FALSE))</f>
        <v>1800</v>
      </c>
      <c r="D781" s="327"/>
      <c r="E781" s="324" t="str" cm="1">
        <f t="array" aca="1" ref="E781" ca="1">_xlfn.IFS(N780="No","",N779="Yes",M780,TRUE,"")</f>
        <v/>
      </c>
      <c r="F781" s="325"/>
      <c r="G781" s="325"/>
      <c r="H781" s="325"/>
      <c r="I781" s="325"/>
      <c r="J781" s="335" t="str">
        <f ca="1">IF(E781="","",VLOOKUP($B764,INDIRECT(VLOOKUP($E763,$M$2:$N$20,2,FALSE)),28,FALSE))</f>
        <v/>
      </c>
      <c r="K781" s="336"/>
      <c r="M781" s="130"/>
      <c r="N781" s="88"/>
    </row>
    <row r="782" spans="1:14" s="1" customFormat="1" ht="12" customHeight="1" x14ac:dyDescent="0.3">
      <c r="A782" s="324" t="str">
        <f ca="1">IF($J778&gt;0,"ESIC (Employer)",IF($A781="","",IF(VLOOKUP($B764,INDIRECT(VLOOKUP($E763,$M$2:$N$20,2,FALSE)),44,FALSE)="","",IF($E763=DATE(2025,6,1),"Arrears of Apr &amp; May-2025",""))))</f>
        <v>Arrears of Apr &amp; May-2025</v>
      </c>
      <c r="B782" s="325"/>
      <c r="C782" s="326" cm="1">
        <f t="array" aca="1" ref="C782" ca="1">_xlfn.IFS($A782="","",$A782="ESIC (Employer)",VLOOKUP($B764,INDIRECT(VLOOKUP($E763,$M$2:$N$20,2,FALSE)),20,FALSE),$A782="Arrears of Apr &amp; May-2025",VLOOKUP($B764,INDIRECT(VLOOKUP($E763,$M$2:$N$20,2,FALSE)),44,FALSE))</f>
        <v>5000</v>
      </c>
      <c r="D782" s="327"/>
      <c r="E782" s="324"/>
      <c r="F782" s="325"/>
      <c r="G782" s="325"/>
      <c r="H782" s="325"/>
      <c r="I782" s="325"/>
      <c r="J782" s="335"/>
      <c r="K782" s="336"/>
      <c r="M782" s="88"/>
      <c r="N782" s="88"/>
    </row>
    <row r="783" spans="1:14" s="1" customFormat="1" ht="12" customHeight="1" x14ac:dyDescent="0.3">
      <c r="A783" s="324" t="str">
        <f ca="1">IF($A782="","",IF(VLOOKUP($B764,INDIRECT(VLOOKUP($E763,$M$2:$N$20,2,FALSE)),44,FALSE)=0,"",IF($A782="Arrears of Apr &amp; May-2025","",IF($E763=DATE(2025,6,1),"Arrears of Apr &amp; May-2025",""))))</f>
        <v/>
      </c>
      <c r="B783" s="325"/>
      <c r="C783" s="326" t="str" cm="1">
        <f t="array" aca="1" ref="C783" ca="1">_xlfn.IFS($A783="","",$A783="Arrears of Apr &amp; May-2025",VLOOKUP($B764,INDIRECT(VLOOKUP($E763,$M$2:$N$20,2,FALSE)),44,FALSE))</f>
        <v/>
      </c>
      <c r="D783" s="327"/>
      <c r="E783" s="324"/>
      <c r="F783" s="325"/>
      <c r="G783" s="325"/>
      <c r="H783" s="325"/>
      <c r="I783" s="325"/>
      <c r="J783" s="335"/>
      <c r="K783" s="336"/>
      <c r="M783" s="88"/>
      <c r="N783" s="88"/>
    </row>
    <row r="784" spans="1:14" s="1" customFormat="1" ht="12" customHeight="1" x14ac:dyDescent="0.3">
      <c r="A784" s="324"/>
      <c r="B784" s="325"/>
      <c r="C784" s="326"/>
      <c r="D784" s="327"/>
      <c r="E784" s="124"/>
      <c r="F784" s="124"/>
      <c r="G784" s="124"/>
      <c r="H784" s="124"/>
      <c r="I784" s="124"/>
      <c r="J784" s="335"/>
      <c r="K784" s="336"/>
      <c r="M784" s="88"/>
      <c r="N784" s="88"/>
    </row>
    <row r="785" spans="1:14" s="1" customFormat="1" ht="3" customHeight="1" x14ac:dyDescent="0.3">
      <c r="A785" s="108"/>
      <c r="B785" s="109"/>
      <c r="C785" s="109"/>
      <c r="D785" s="112"/>
      <c r="E785" s="110"/>
      <c r="F785" s="110"/>
      <c r="G785" s="109"/>
      <c r="H785" s="109"/>
      <c r="I785" s="111"/>
      <c r="J785" s="111"/>
      <c r="K785" s="112"/>
      <c r="M785" s="88"/>
      <c r="N785" s="88"/>
    </row>
    <row r="786" spans="1:14" s="1" customFormat="1" ht="3" customHeight="1" x14ac:dyDescent="0.3">
      <c r="A786" s="123"/>
      <c r="B786" s="113"/>
      <c r="C786" s="113"/>
      <c r="D786" s="101"/>
      <c r="E786" s="124"/>
      <c r="F786" s="124"/>
      <c r="G786" s="113"/>
      <c r="H786" s="113"/>
      <c r="I786" s="114"/>
      <c r="J786" s="114"/>
      <c r="K786" s="101"/>
      <c r="M786" s="88"/>
      <c r="N786" s="88"/>
    </row>
    <row r="787" spans="1:14" s="4" customFormat="1" ht="19.95" customHeight="1" x14ac:dyDescent="0.3">
      <c r="A787" s="328" t="s">
        <v>15</v>
      </c>
      <c r="B787" s="329"/>
      <c r="C787" s="330">
        <f ca="1">SUM(C775:D786)</f>
        <v>39300</v>
      </c>
      <c r="D787" s="331"/>
      <c r="E787" s="328" t="s">
        <v>16</v>
      </c>
      <c r="F787" s="329"/>
      <c r="G787" s="329"/>
      <c r="H787" s="329"/>
      <c r="I787" s="329"/>
      <c r="J787" s="330">
        <f ca="1">SUM(J775:K783)</f>
        <v>3800</v>
      </c>
      <c r="K787" s="331"/>
      <c r="M787" s="129"/>
      <c r="N787" s="90"/>
    </row>
    <row r="788" spans="1:14" s="1" customFormat="1" ht="3" customHeight="1" x14ac:dyDescent="0.3">
      <c r="A788" s="108"/>
      <c r="B788" s="109"/>
      <c r="C788" s="109"/>
      <c r="D788" s="112"/>
      <c r="E788" s="110"/>
      <c r="F788" s="110"/>
      <c r="G788" s="109"/>
      <c r="H788" s="109"/>
      <c r="I788" s="111"/>
      <c r="J788" s="111"/>
      <c r="K788" s="112"/>
      <c r="M788" s="88"/>
      <c r="N788" s="88"/>
    </row>
    <row r="789" spans="1:14" s="1" customFormat="1" ht="3" customHeight="1" x14ac:dyDescent="0.3">
      <c r="A789" s="123"/>
      <c r="B789" s="113"/>
      <c r="C789" s="113"/>
      <c r="D789" s="117"/>
      <c r="E789" s="118"/>
      <c r="F789" s="124"/>
      <c r="G789" s="113"/>
      <c r="H789" s="126"/>
      <c r="I789" s="119"/>
      <c r="J789" s="119"/>
      <c r="K789" s="115"/>
      <c r="M789" s="88"/>
      <c r="N789" s="88"/>
    </row>
    <row r="790" spans="1:14" s="5" customFormat="1" ht="19.95" customHeight="1" x14ac:dyDescent="0.3">
      <c r="A790" s="328" t="str" cm="1">
        <f t="array" aca="1" ref="A790" ca="1">mgm(J790)</f>
        <v>Rupees Thirty Five Thousand Five Hundred Only</v>
      </c>
      <c r="B790" s="329"/>
      <c r="C790" s="329"/>
      <c r="D790" s="329"/>
      <c r="E790" s="329"/>
      <c r="F790" s="329"/>
      <c r="G790" s="332"/>
      <c r="H790" s="333" t="s">
        <v>17</v>
      </c>
      <c r="I790" s="334"/>
      <c r="J790" s="330">
        <f ca="1">C787-J787</f>
        <v>35500</v>
      </c>
      <c r="K790" s="331"/>
      <c r="L790" s="205"/>
      <c r="M790" s="90"/>
      <c r="N790" s="90"/>
    </row>
    <row r="791" spans="1:14" s="1" customFormat="1" ht="3" customHeight="1" x14ac:dyDescent="0.3">
      <c r="A791" s="108"/>
      <c r="B791" s="109"/>
      <c r="C791" s="109"/>
      <c r="D791" s="109"/>
      <c r="E791" s="110"/>
      <c r="F791" s="110"/>
      <c r="G791" s="109"/>
      <c r="H791" s="127"/>
      <c r="I791" s="111"/>
      <c r="J791" s="111"/>
      <c r="K791" s="112"/>
      <c r="M791" s="88"/>
      <c r="N791" s="88"/>
    </row>
    <row r="792" spans="1:14" s="1" customFormat="1" ht="19.95" customHeight="1" x14ac:dyDescent="0.3">
      <c r="A792" s="323" t="s">
        <v>18</v>
      </c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M792" s="88"/>
      <c r="N792" s="88"/>
    </row>
    <row r="793" spans="1:14" s="132" customFormat="1" ht="60" customHeight="1" x14ac:dyDescent="0.3">
      <c r="A793" s="181"/>
      <c r="E793" s="181"/>
      <c r="F793" s="181"/>
    </row>
    <row r="794" spans="1:14" s="2" customFormat="1" ht="19.95" customHeight="1" x14ac:dyDescent="0.3">
      <c r="A794" s="338" t="s">
        <v>107</v>
      </c>
      <c r="B794" s="339"/>
      <c r="C794" s="339"/>
      <c r="D794" s="339"/>
      <c r="E794" s="339"/>
      <c r="F794" s="339"/>
      <c r="G794" s="339"/>
      <c r="H794" s="339"/>
      <c r="I794" s="339"/>
      <c r="J794" s="339"/>
      <c r="K794" s="340"/>
      <c r="L794" s="1"/>
      <c r="M794" s="86"/>
      <c r="N794" s="87"/>
    </row>
    <row r="795" spans="1:14" s="2" customFormat="1" ht="15" customHeight="1" x14ac:dyDescent="0.3">
      <c r="A795" s="341" t="s">
        <v>180</v>
      </c>
      <c r="B795" s="342"/>
      <c r="C795" s="342"/>
      <c r="D795" s="342"/>
      <c r="E795" s="342"/>
      <c r="F795" s="342"/>
      <c r="G795" s="342"/>
      <c r="H795" s="342"/>
      <c r="I795" s="342"/>
      <c r="J795" s="342"/>
      <c r="K795" s="343"/>
      <c r="L795" s="1"/>
      <c r="M795" s="86"/>
      <c r="N795" s="88"/>
    </row>
    <row r="796" spans="1:14" s="2" customFormat="1" ht="15" customHeight="1" x14ac:dyDescent="0.3">
      <c r="A796" s="344" t="s">
        <v>72</v>
      </c>
      <c r="B796" s="345"/>
      <c r="C796" s="345"/>
      <c r="D796" s="345"/>
      <c r="E796" s="345"/>
      <c r="F796" s="345"/>
      <c r="G796" s="345"/>
      <c r="H796" s="345"/>
      <c r="I796" s="345"/>
      <c r="J796" s="345"/>
      <c r="K796" s="346"/>
      <c r="L796" s="1"/>
      <c r="M796" s="86"/>
      <c r="N796" s="88"/>
    </row>
    <row r="797" spans="1:14" s="2" customFormat="1" ht="4.95" customHeight="1" x14ac:dyDescent="0.3">
      <c r="A797" s="92"/>
      <c r="B797" s="347"/>
      <c r="C797" s="347"/>
      <c r="D797" s="347"/>
      <c r="E797" s="347"/>
      <c r="F797" s="347"/>
      <c r="G797" s="347"/>
      <c r="H797" s="347"/>
      <c r="I797" s="347"/>
      <c r="J797" s="347"/>
      <c r="K797" s="348"/>
      <c r="L797" s="1"/>
      <c r="M797" s="88"/>
      <c r="N797" s="88"/>
    </row>
    <row r="798" spans="1:14" s="2" customFormat="1" ht="3" customHeight="1" x14ac:dyDescent="0.3">
      <c r="A798" s="93"/>
      <c r="B798" s="94"/>
      <c r="C798" s="94"/>
      <c r="D798" s="94"/>
      <c r="E798" s="95"/>
      <c r="F798" s="95"/>
      <c r="G798" s="94"/>
      <c r="H798" s="94"/>
      <c r="I798" s="94"/>
      <c r="J798" s="94"/>
      <c r="K798" s="96"/>
      <c r="L798" s="1"/>
      <c r="M798" s="88"/>
      <c r="N798" s="88"/>
    </row>
    <row r="799" spans="1:14" s="2" customFormat="1" x14ac:dyDescent="0.3">
      <c r="A799" s="123" t="s">
        <v>68</v>
      </c>
      <c r="B799" s="124" t="str">
        <f ca="1">VLOOKUP($B800,Salary_Master_2,3,FALSE)</f>
        <v>EW 064</v>
      </c>
      <c r="C799" s="349" t="s">
        <v>21</v>
      </c>
      <c r="D799" s="349"/>
      <c r="E799" s="350">
        <f>IF($E$1="","",$E$1)</f>
        <v>45809</v>
      </c>
      <c r="F799" s="350"/>
      <c r="G799" s="97" t="s">
        <v>22</v>
      </c>
      <c r="H799" s="98">
        <f ca="1">VLOOKUP($B800,INDIRECT(VLOOKUP($E$7,$M$2:$N$20,2,FALSE)),3,FALSE)</f>
        <v>25.5</v>
      </c>
      <c r="I799" s="99"/>
      <c r="J799" s="100" t="s">
        <v>27</v>
      </c>
      <c r="K799" s="101"/>
      <c r="L799" s="1"/>
      <c r="M799" s="86"/>
      <c r="N799" s="88"/>
    </row>
    <row r="800" spans="1:14" s="2" customFormat="1" x14ac:dyDescent="0.3">
      <c r="A800" s="123" t="s">
        <v>19</v>
      </c>
      <c r="B800" s="124" t="str">
        <f ca="1">IF(Salary_Master_2!$B$27="","",VLOOKUP(Salary_Master_2!$B$27,INDIRECT(VLOOKUP($E799,$M$2:$N$20,2,FALSE)),1,FALSE))</f>
        <v>Jatin Bhosale</v>
      </c>
      <c r="C800" s="351" t="s">
        <v>1</v>
      </c>
      <c r="D800" s="351"/>
      <c r="E800" s="352">
        <f ca="1">SUM($H799:$H802)</f>
        <v>31</v>
      </c>
      <c r="F800" s="352"/>
      <c r="G800" s="97" t="s">
        <v>24</v>
      </c>
      <c r="H800" s="102">
        <f ca="1">VLOOKUP($B800,INDIRECT(VLOOKUP($E$7,$M$2:$N$20,2,FALSE)),4,FALSE)</f>
        <v>3.5</v>
      </c>
      <c r="I800" s="100"/>
      <c r="J800" s="103" t="s">
        <v>28</v>
      </c>
      <c r="K800" s="101">
        <f ca="1">VLOOKUP($B800,INDIRECT(VLOOKUP($E$7,$M$2:$N$20,2,FALSE)),29,FALSE)</f>
        <v>78700</v>
      </c>
      <c r="L800" s="1"/>
      <c r="M800" s="86"/>
      <c r="N800" s="88"/>
    </row>
    <row r="801" spans="1:14" s="2" customFormat="1" x14ac:dyDescent="0.3">
      <c r="A801" s="123" t="s">
        <v>0</v>
      </c>
      <c r="B801" s="124" t="str">
        <f ca="1">VLOOKUP($B800,Salary_Master_2,4,FALSE)</f>
        <v xml:space="preserve">Embedded Engineer </v>
      </c>
      <c r="C801" s="124"/>
      <c r="D801" s="103" t="s">
        <v>70</v>
      </c>
      <c r="E801" s="337">
        <f ca="1">VLOOKUP($B800,Salary_Master_2,9,FALSE)</f>
        <v>102032578055</v>
      </c>
      <c r="F801" s="337"/>
      <c r="G801" s="97" t="s">
        <v>25</v>
      </c>
      <c r="H801" s="102">
        <f ca="1">VLOOKUP($B800,INDIRECT(VLOOKUP($E$7,$M$2:$N$20,2,FALSE)),5,FALSE)</f>
        <v>2</v>
      </c>
      <c r="I801" s="97"/>
      <c r="J801" s="103" t="s">
        <v>29</v>
      </c>
      <c r="K801" s="101" t="str">
        <f ca="1">VLOOKUP($B800,INDIRECT(VLOOKUP($E$7,$M$2:$N$20,2,FALSE)),30,FALSE)</f>
        <v>Male</v>
      </c>
      <c r="L801" s="1"/>
      <c r="M801" s="86"/>
      <c r="N801" s="88"/>
    </row>
    <row r="802" spans="1:14" s="2" customFormat="1" x14ac:dyDescent="0.3">
      <c r="A802" s="123" t="s">
        <v>20</v>
      </c>
      <c r="B802" s="124" t="str">
        <f ca="1">VLOOKUP($B800,Salary_Master_2,5,FALSE)</f>
        <v>R&amp;D</v>
      </c>
      <c r="C802" s="124"/>
      <c r="D802" s="103" t="s">
        <v>71</v>
      </c>
      <c r="E802" s="337" t="str">
        <f ca="1">VLOOKUP($B800,Salary_Master_2,10,FALSE)</f>
        <v>NA</v>
      </c>
      <c r="F802" s="337"/>
      <c r="G802" s="97" t="s">
        <v>26</v>
      </c>
      <c r="H802" s="102">
        <f ca="1">VLOOKUP($B800,INDIRECT(VLOOKUP($E$7,$M$2:$N$20,2,FALSE)),6,FALSE)</f>
        <v>0</v>
      </c>
      <c r="I802" s="97"/>
      <c r="J802" s="103" t="s">
        <v>30</v>
      </c>
      <c r="K802" s="101">
        <f ca="1">VLOOKUP($B800,INDIRECT(VLOOKUP($E$7,$M$2:$N$20,2,FALSE)),31,FALSE)</f>
        <v>0</v>
      </c>
      <c r="L802" s="1"/>
      <c r="M802" s="86"/>
      <c r="N802" s="88"/>
    </row>
    <row r="803" spans="1:14" s="2" customFormat="1" x14ac:dyDescent="0.3">
      <c r="A803" s="123" t="s">
        <v>69</v>
      </c>
      <c r="B803" s="124" t="str">
        <f ca="1">VLOOKUP($B800,Salary_Master_2,6,FALSE)</f>
        <v>HO</v>
      </c>
      <c r="C803" s="124"/>
      <c r="D803" s="104"/>
      <c r="E803" s="105"/>
      <c r="F803" s="105"/>
      <c r="G803" s="97" t="s">
        <v>23</v>
      </c>
      <c r="H803" s="102">
        <f ca="1">VLOOKUP($B800,INDIRECT(VLOOKUP($E$7,$M$2:$N$20,2,FALSE)),8,FALSE)</f>
        <v>0</v>
      </c>
      <c r="I803" s="97"/>
      <c r="J803" s="125"/>
      <c r="K803" s="101"/>
      <c r="L803" s="1"/>
      <c r="M803" s="86"/>
      <c r="N803" s="88"/>
    </row>
    <row r="804" spans="1:14" s="2" customFormat="1" x14ac:dyDescent="0.3">
      <c r="A804" s="123" t="s">
        <v>32</v>
      </c>
      <c r="B804" s="106">
        <f ca="1">VLOOKUP($B800,Salary_Master_2,7,FALSE)</f>
        <v>45271</v>
      </c>
      <c r="C804" s="106"/>
      <c r="D804" s="104"/>
      <c r="E804" s="105"/>
      <c r="F804" s="105"/>
      <c r="G804" s="97" t="s">
        <v>31</v>
      </c>
      <c r="H804" s="102">
        <f ca="1">VLOOKUP($B800,INDIRECT(VLOOKUP($E$7,$M$2:$N$20,2,FALSE)),9,FALSE)</f>
        <v>10</v>
      </c>
      <c r="I804" s="107"/>
      <c r="J804" s="107"/>
      <c r="K804" s="101"/>
      <c r="L804" s="1"/>
      <c r="M804" s="86"/>
      <c r="N804" s="88"/>
    </row>
    <row r="805" spans="1:14" s="2" customFormat="1" ht="3" customHeight="1" x14ac:dyDescent="0.3">
      <c r="A805" s="108"/>
      <c r="B805" s="109"/>
      <c r="C805" s="109"/>
      <c r="D805" s="109"/>
      <c r="E805" s="110"/>
      <c r="F805" s="110"/>
      <c r="G805" s="109"/>
      <c r="H805" s="109"/>
      <c r="I805" s="111"/>
      <c r="J805" s="111"/>
      <c r="K805" s="112"/>
      <c r="L805" s="1"/>
      <c r="M805" s="88"/>
      <c r="N805" s="88"/>
    </row>
    <row r="806" spans="1:14" s="2" customFormat="1" ht="3" customHeight="1" x14ac:dyDescent="0.3">
      <c r="A806" s="123"/>
      <c r="B806" s="113"/>
      <c r="C806" s="113"/>
      <c r="D806" s="113"/>
      <c r="E806" s="124"/>
      <c r="F806" s="124"/>
      <c r="G806" s="113"/>
      <c r="H806" s="113"/>
      <c r="I806" s="114"/>
      <c r="J806" s="114"/>
      <c r="K806" s="115"/>
      <c r="L806" s="1"/>
      <c r="M806" s="88"/>
      <c r="N806" s="88"/>
    </row>
    <row r="807" spans="1:14" s="1" customFormat="1" ht="3" customHeight="1" x14ac:dyDescent="0.3">
      <c r="A807" s="116"/>
      <c r="B807" s="117"/>
      <c r="C807" s="117"/>
      <c r="D807" s="115"/>
      <c r="E807" s="118"/>
      <c r="F807" s="118"/>
      <c r="G807" s="117"/>
      <c r="H807" s="117"/>
      <c r="I807" s="119"/>
      <c r="J807" s="119"/>
      <c r="K807" s="115"/>
      <c r="M807" s="88"/>
      <c r="N807" s="88"/>
    </row>
    <row r="808" spans="1:14" s="1" customFormat="1" ht="12" customHeight="1" x14ac:dyDescent="0.3">
      <c r="A808" s="120" t="s">
        <v>4</v>
      </c>
      <c r="B808" s="113"/>
      <c r="C808" s="113"/>
      <c r="D808" s="121" t="s">
        <v>5</v>
      </c>
      <c r="E808" s="122" t="s">
        <v>6</v>
      </c>
      <c r="F808" s="122"/>
      <c r="G808" s="113"/>
      <c r="H808" s="113"/>
      <c r="I808" s="113"/>
      <c r="J808" s="113"/>
      <c r="K808" s="121" t="s">
        <v>5</v>
      </c>
      <c r="M808" s="86"/>
      <c r="N808" s="88"/>
    </row>
    <row r="809" spans="1:14" s="1" customFormat="1" ht="3" customHeight="1" x14ac:dyDescent="0.3">
      <c r="A809" s="108"/>
      <c r="B809" s="109"/>
      <c r="C809" s="109"/>
      <c r="D809" s="112"/>
      <c r="E809" s="110"/>
      <c r="F809" s="110"/>
      <c r="G809" s="109"/>
      <c r="H809" s="109"/>
      <c r="I809" s="111"/>
      <c r="J809" s="111"/>
      <c r="K809" s="112"/>
      <c r="M809" s="88"/>
      <c r="N809" s="88"/>
    </row>
    <row r="810" spans="1:14" s="1" customFormat="1" ht="3" customHeight="1" x14ac:dyDescent="0.3">
      <c r="A810" s="123"/>
      <c r="B810" s="113"/>
      <c r="C810" s="113"/>
      <c r="D810" s="101"/>
      <c r="E810" s="124"/>
      <c r="F810" s="124"/>
      <c r="G810" s="113"/>
      <c r="H810" s="113"/>
      <c r="I810" s="114"/>
      <c r="J810" s="114"/>
      <c r="K810" s="101"/>
      <c r="M810" s="88"/>
      <c r="N810" s="88"/>
    </row>
    <row r="811" spans="1:14" s="1" customFormat="1" ht="12" customHeight="1" x14ac:dyDescent="0.3">
      <c r="A811" s="324" t="s">
        <v>7</v>
      </c>
      <c r="B811" s="325"/>
      <c r="C811" s="326">
        <f ca="1">VLOOKUP($B800,INDIRECT(VLOOKUP($E799,$M$2:$N$20,2,FALSE)),13,FALSE)</f>
        <v>15000</v>
      </c>
      <c r="D811" s="327"/>
      <c r="E811" s="324" t="s">
        <v>8</v>
      </c>
      <c r="F811" s="325"/>
      <c r="G811" s="325"/>
      <c r="H811" s="325"/>
      <c r="I811" s="325"/>
      <c r="J811" s="326">
        <f ca="1">VLOOKUP($B800,INDIRECT(VLOOKUP($E799,$M$2:$N$20,2,FALSE)),22,FALSE)</f>
        <v>1800</v>
      </c>
      <c r="K811" s="327"/>
      <c r="M811" s="86"/>
      <c r="N811" s="88"/>
    </row>
    <row r="812" spans="1:14" s="1" customFormat="1" ht="12" customHeight="1" x14ac:dyDescent="0.3">
      <c r="A812" s="324" t="s">
        <v>9</v>
      </c>
      <c r="B812" s="325"/>
      <c r="C812" s="326">
        <f ca="1">VLOOKUP($B800,INDIRECT(VLOOKUP($E799,$M$2:$N$20,2,FALSE)),14,FALSE)</f>
        <v>6000</v>
      </c>
      <c r="D812" s="327"/>
      <c r="E812" s="324" t="s">
        <v>94</v>
      </c>
      <c r="F812" s="325"/>
      <c r="G812" s="325"/>
      <c r="H812" s="325"/>
      <c r="I812" s="325"/>
      <c r="J812" s="326">
        <f ca="1">VLOOKUP($B800,INDIRECT(VLOOKUP($E799,$M$2:$N$20,2,FALSE)),23,FALSE)</f>
        <v>1800</v>
      </c>
      <c r="K812" s="327"/>
      <c r="M812" s="86"/>
      <c r="N812" s="88"/>
    </row>
    <row r="813" spans="1:14" s="1" customFormat="1" ht="12" customHeight="1" x14ac:dyDescent="0.3">
      <c r="A813" s="324" t="s">
        <v>11</v>
      </c>
      <c r="B813" s="325"/>
      <c r="C813" s="326">
        <f ca="1">VLOOKUP($B800,INDIRECT(VLOOKUP($E799,$M$2:$N$20,2,FALSE)),15,FALSE)</f>
        <v>1600</v>
      </c>
      <c r="D813" s="327"/>
      <c r="E813" s="324" t="s">
        <v>10</v>
      </c>
      <c r="F813" s="325"/>
      <c r="G813" s="325"/>
      <c r="H813" s="325"/>
      <c r="I813" s="325"/>
      <c r="J813" s="326">
        <f ca="1">VLOOKUP($B800,INDIRECT(VLOOKUP($E799,$M$2:$N$20,2,FALSE)),24,FALSE)</f>
        <v>0</v>
      </c>
      <c r="K813" s="327"/>
      <c r="M813" s="87"/>
      <c r="N813" s="86"/>
    </row>
    <row r="814" spans="1:14" s="1" customFormat="1" ht="12" customHeight="1" x14ac:dyDescent="0.3">
      <c r="A814" s="324" t="s">
        <v>3</v>
      </c>
      <c r="B814" s="325"/>
      <c r="C814" s="326">
        <f ca="1">VLOOKUP($B800,INDIRECT(VLOOKUP($E799,$M$2:$N$20,2,FALSE)),16,FALSE)</f>
        <v>1250</v>
      </c>
      <c r="D814" s="327"/>
      <c r="E814" s="324" t="s">
        <v>93</v>
      </c>
      <c r="F814" s="325"/>
      <c r="G814" s="325"/>
      <c r="H814" s="325"/>
      <c r="I814" s="325"/>
      <c r="J814" s="326">
        <f ca="1">VLOOKUP($B800,INDIRECT(VLOOKUP($E799,$M$2:$N$20,2,FALSE)),25,FALSE)</f>
        <v>0</v>
      </c>
      <c r="K814" s="327"/>
      <c r="M814" s="87"/>
      <c r="N814" s="89"/>
    </row>
    <row r="815" spans="1:14" s="1" customFormat="1" ht="12" customHeight="1" x14ac:dyDescent="0.3">
      <c r="A815" s="324" t="s">
        <v>13</v>
      </c>
      <c r="B815" s="325"/>
      <c r="C815" s="326">
        <f ca="1">VLOOKUP($B800,INDIRECT(VLOOKUP($E799,$M$2:$N$20,2,FALSE)),17,FALSE)</f>
        <v>55050</v>
      </c>
      <c r="D815" s="327"/>
      <c r="E815" s="324" t="s">
        <v>12</v>
      </c>
      <c r="F815" s="325"/>
      <c r="G815" s="325"/>
      <c r="H815" s="325"/>
      <c r="I815" s="325"/>
      <c r="J815" s="326">
        <f ca="1">VLOOKUP($B800,INDIRECT(VLOOKUP($E799,$M$2:$N$20,2,FALSE)),26,FALSE)</f>
        <v>200</v>
      </c>
      <c r="K815" s="327"/>
      <c r="M815" s="88" t="s">
        <v>73</v>
      </c>
      <c r="N815" s="88" t="str">
        <f ca="1">IF(VLOOKUP($B800,INDIRECT(VLOOKUP($E799,$M$2:$N$20,2,FALSE)),38,FALSE)&gt;0,"Yes","No")</f>
        <v>No</v>
      </c>
    </row>
    <row r="816" spans="1:14" s="1" customFormat="1" ht="12" customHeight="1" x14ac:dyDescent="0.3">
      <c r="A816" s="324" t="str">
        <f ca="1">IF($J812&gt;0,"Other Allowance",IF(VLOOKUP($B800,INDIRECT(VLOOKUP($E799,$M$2:$N$20,2,FALSE)),44,FALSE)=0,"",IF($E799=DATE(2025,6,1),"Arrears of Apr &amp; May-2025","")))</f>
        <v>Other Allowance</v>
      </c>
      <c r="B816" s="325"/>
      <c r="C816" s="326" cm="1">
        <f t="array" aca="1" ref="C816" ca="1">_xlfn.IFS($A816="","",$A816="Other Allowance",VLOOKUP($B800,INDIRECT(VLOOKUP($E799,$M$2:$N$20,2,FALSE)),18,FALSE),$A816="Arrears of Apr &amp; May-2025",VLOOKUP($B800,INDIRECT(VLOOKUP($E799,$M$2:$N$20,2,FALSE)),44,FALSE))</f>
        <v>1800</v>
      </c>
      <c r="D816" s="327"/>
      <c r="E816" s="324" t="str" cm="1">
        <f t="array" aca="1" ref="E816" ca="1">_xlfn.IFS(N815="Yes",M815,N816="Yes",M816,TRUE,"")</f>
        <v/>
      </c>
      <c r="F816" s="325"/>
      <c r="G816" s="325"/>
      <c r="H816" s="325"/>
      <c r="I816" s="325"/>
      <c r="J816" s="335" t="str" cm="1">
        <f t="array" aca="1" ref="J816" ca="1">IF(E816="","",_xlfn.IFS(N815="Yes",VLOOKUP($B800,INDIRECT(VLOOKUP($E799,$M$2:$N$20,2,FALSE)),27,FALSE),N816="Yes",VLOOKUP($B800,INDIRECT(VLOOKUP($E799,$M$2:$N$20,2,FALSE)),28,FALSE)))</f>
        <v/>
      </c>
      <c r="K816" s="336"/>
      <c r="M816" s="88" t="s">
        <v>14</v>
      </c>
      <c r="N816" s="88" t="str">
        <f ca="1">IF(VLOOKUP($B800,INDIRECT(VLOOKUP($E$7,$M$2:$N$20,2,FALSE)),39,FALSE)&gt;0,"Yes","No")</f>
        <v>No</v>
      </c>
    </row>
    <row r="817" spans="1:14" s="1" customFormat="1" ht="12" customHeight="1" x14ac:dyDescent="0.3">
      <c r="A817" s="324" t="str" cm="1">
        <f t="array" aca="1" ref="A817" ca="1">_xlfn.IFS($A816="","",$A816="Other Allowance","EPF",$A816="Arrears of Apr &amp; May-2025","",VLOOKUP($B800,INDIRECT(VLOOKUP($E799,$M$2:$N$20,2,FALSE)),44,FALSE)=0,"",$E799=DATE(2025,6,1),"Arrears of Apr &amp; May-2025")</f>
        <v>EPF</v>
      </c>
      <c r="B817" s="325"/>
      <c r="C817" s="326" cm="1">
        <f t="array" aca="1" ref="C817" ca="1">_xlfn.IFS($A817="","",$A817="EPF",VLOOKUP($B800,INDIRECT(VLOOKUP($E799,$M$2:$N$20,2,FALSE)),19,FALSE),$A817="Arrears of Apr &amp; May-2025",VLOOKUP($B800,INDIRECT(VLOOKUP($E799,$M$2:$N$20,2,FALSE)),44,FALSE))</f>
        <v>1800</v>
      </c>
      <c r="D817" s="327"/>
      <c r="E817" s="324" t="str" cm="1">
        <f t="array" aca="1" ref="E817" ca="1">_xlfn.IFS(N816="No","",N815="Yes",M816,TRUE,"")</f>
        <v/>
      </c>
      <c r="F817" s="325"/>
      <c r="G817" s="325"/>
      <c r="H817" s="325"/>
      <c r="I817" s="325"/>
      <c r="J817" s="335" t="str">
        <f ca="1">IF(E817="","",VLOOKUP($B800,INDIRECT(VLOOKUP($E799,$M$2:$N$20,2,FALSE)),28,FALSE))</f>
        <v/>
      </c>
      <c r="K817" s="336"/>
      <c r="M817" s="130"/>
      <c r="N817" s="88"/>
    </row>
    <row r="818" spans="1:14" s="1" customFormat="1" ht="12" customHeight="1" x14ac:dyDescent="0.3">
      <c r="A818" s="324" t="str">
        <f ca="1">IF($J814&gt;0,"ESIC (Employer)",IF($A817="","",IF(VLOOKUP($B800,INDIRECT(VLOOKUP($E799,$M$2:$N$20,2,FALSE)),44,FALSE)="","",IF($E799=DATE(2025,6,1),"Arrears of Apr &amp; May-2025",""))))</f>
        <v>Arrears of Apr &amp; May-2025</v>
      </c>
      <c r="B818" s="325"/>
      <c r="C818" s="326" cm="1">
        <f t="array" aca="1" ref="C818" ca="1">_xlfn.IFS($A818="","",$A818="ESIC (Employer)",VLOOKUP($B800,INDIRECT(VLOOKUP($E799,$M$2:$N$20,2,FALSE)),20,FALSE),$A818="Arrears of Apr &amp; May-2025",VLOOKUP($B800,INDIRECT(VLOOKUP($E799,$M$2:$N$20,2,FALSE)),44,FALSE))</f>
        <v>15000</v>
      </c>
      <c r="D818" s="327"/>
      <c r="E818" s="324"/>
      <c r="F818" s="325"/>
      <c r="G818" s="325"/>
      <c r="H818" s="325"/>
      <c r="I818" s="325"/>
      <c r="J818" s="335"/>
      <c r="K818" s="336"/>
      <c r="M818" s="88"/>
      <c r="N818" s="88"/>
    </row>
    <row r="819" spans="1:14" s="1" customFormat="1" ht="12" customHeight="1" x14ac:dyDescent="0.3">
      <c r="A819" s="324" t="str">
        <f ca="1">IF($A818="","",IF(VLOOKUP($B800,INDIRECT(VLOOKUP($E799,$M$2:$N$20,2,FALSE)),44,FALSE)=0,"",IF($A818="Arrears of Apr &amp; May-2025","",IF($E799=DATE(2025,6,1),"Arrears of Apr &amp; May-2025",""))))</f>
        <v/>
      </c>
      <c r="B819" s="325"/>
      <c r="C819" s="326" t="str" cm="1">
        <f t="array" aca="1" ref="C819" ca="1">_xlfn.IFS($A819="","",$A819="Arrears of Apr &amp; May-2025",VLOOKUP($B800,INDIRECT(VLOOKUP($E799,$M$2:$N$20,2,FALSE)),44,FALSE))</f>
        <v/>
      </c>
      <c r="D819" s="327"/>
      <c r="E819" s="324"/>
      <c r="F819" s="325"/>
      <c r="G819" s="325"/>
      <c r="H819" s="325"/>
      <c r="I819" s="325"/>
      <c r="J819" s="335"/>
      <c r="K819" s="336"/>
      <c r="M819" s="88"/>
      <c r="N819" s="88"/>
    </row>
    <row r="820" spans="1:14" s="1" customFormat="1" ht="12" customHeight="1" x14ac:dyDescent="0.3">
      <c r="A820" s="324"/>
      <c r="B820" s="325"/>
      <c r="C820" s="326"/>
      <c r="D820" s="327"/>
      <c r="E820" s="124"/>
      <c r="F820" s="124"/>
      <c r="G820" s="124"/>
      <c r="H820" s="124"/>
      <c r="I820" s="124"/>
      <c r="J820" s="335"/>
      <c r="K820" s="336"/>
      <c r="M820" s="88"/>
      <c r="N820" s="88"/>
    </row>
    <row r="821" spans="1:14" s="1" customFormat="1" ht="3" customHeight="1" x14ac:dyDescent="0.3">
      <c r="A821" s="108"/>
      <c r="B821" s="109"/>
      <c r="C821" s="109"/>
      <c r="D821" s="112"/>
      <c r="E821" s="110"/>
      <c r="F821" s="110"/>
      <c r="G821" s="109"/>
      <c r="H821" s="109"/>
      <c r="I821" s="111"/>
      <c r="J821" s="111"/>
      <c r="K821" s="112"/>
      <c r="M821" s="88"/>
      <c r="N821" s="88"/>
    </row>
    <row r="822" spans="1:14" s="1" customFormat="1" ht="3" customHeight="1" x14ac:dyDescent="0.3">
      <c r="A822" s="123"/>
      <c r="B822" s="113"/>
      <c r="C822" s="113"/>
      <c r="D822" s="101"/>
      <c r="E822" s="124"/>
      <c r="F822" s="124"/>
      <c r="G822" s="113"/>
      <c r="H822" s="113"/>
      <c r="I822" s="114"/>
      <c r="J822" s="114"/>
      <c r="K822" s="101"/>
      <c r="M822" s="88"/>
      <c r="N822" s="88"/>
    </row>
    <row r="823" spans="1:14" s="4" customFormat="1" ht="19.95" customHeight="1" x14ac:dyDescent="0.3">
      <c r="A823" s="328" t="s">
        <v>15</v>
      </c>
      <c r="B823" s="329"/>
      <c r="C823" s="330">
        <f ca="1">SUM(C811:D822)</f>
        <v>97500</v>
      </c>
      <c r="D823" s="331"/>
      <c r="E823" s="328" t="s">
        <v>16</v>
      </c>
      <c r="F823" s="329"/>
      <c r="G823" s="329"/>
      <c r="H823" s="329"/>
      <c r="I823" s="329"/>
      <c r="J823" s="330">
        <f ca="1">SUM(J811:K819)</f>
        <v>3800</v>
      </c>
      <c r="K823" s="331"/>
      <c r="M823" s="129"/>
      <c r="N823" s="90"/>
    </row>
    <row r="824" spans="1:14" s="1" customFormat="1" ht="3" customHeight="1" x14ac:dyDescent="0.3">
      <c r="A824" s="108"/>
      <c r="B824" s="109"/>
      <c r="C824" s="109"/>
      <c r="D824" s="112"/>
      <c r="E824" s="110"/>
      <c r="F824" s="110"/>
      <c r="G824" s="109"/>
      <c r="H824" s="109"/>
      <c r="I824" s="111"/>
      <c r="J824" s="111"/>
      <c r="K824" s="112"/>
      <c r="M824" s="88"/>
      <c r="N824" s="88"/>
    </row>
    <row r="825" spans="1:14" s="1" customFormat="1" ht="3" customHeight="1" x14ac:dyDescent="0.3">
      <c r="A825" s="123"/>
      <c r="B825" s="113"/>
      <c r="C825" s="113"/>
      <c r="D825" s="117"/>
      <c r="E825" s="118"/>
      <c r="F825" s="124"/>
      <c r="G825" s="113"/>
      <c r="H825" s="126"/>
      <c r="I825" s="119"/>
      <c r="J825" s="119"/>
      <c r="K825" s="115"/>
      <c r="M825" s="88"/>
      <c r="N825" s="88"/>
    </row>
    <row r="826" spans="1:14" s="5" customFormat="1" ht="19.95" customHeight="1" x14ac:dyDescent="0.3">
      <c r="A826" s="328" t="str" cm="1">
        <f t="array" aca="1" ref="A826" ca="1">mgm(J826)</f>
        <v>Rupees Ninety Three Thousand Seven Hundred Only</v>
      </c>
      <c r="B826" s="329"/>
      <c r="C826" s="329"/>
      <c r="D826" s="329"/>
      <c r="E826" s="329"/>
      <c r="F826" s="329"/>
      <c r="G826" s="332"/>
      <c r="H826" s="333" t="s">
        <v>17</v>
      </c>
      <c r="I826" s="334"/>
      <c r="J826" s="330">
        <f ca="1">C823-J823</f>
        <v>93700</v>
      </c>
      <c r="K826" s="331"/>
      <c r="L826" s="205"/>
      <c r="M826" s="90"/>
      <c r="N826" s="90"/>
    </row>
    <row r="827" spans="1:14" s="1" customFormat="1" ht="3" customHeight="1" x14ac:dyDescent="0.3">
      <c r="A827" s="108"/>
      <c r="B827" s="109"/>
      <c r="C827" s="109"/>
      <c r="D827" s="109"/>
      <c r="E827" s="110"/>
      <c r="F827" s="110"/>
      <c r="G827" s="109"/>
      <c r="H827" s="127"/>
      <c r="I827" s="111"/>
      <c r="J827" s="111"/>
      <c r="K827" s="112"/>
      <c r="M827" s="88"/>
      <c r="N827" s="88"/>
    </row>
    <row r="828" spans="1:14" s="1" customFormat="1" ht="19.95" customHeight="1" x14ac:dyDescent="0.3">
      <c r="A828" s="323" t="s">
        <v>18</v>
      </c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M828" s="88"/>
      <c r="N828" s="88"/>
    </row>
    <row r="829" spans="1:14" s="132" customFormat="1" ht="60" customHeight="1" x14ac:dyDescent="0.3">
      <c r="A829" s="181"/>
      <c r="E829" s="181"/>
      <c r="F829" s="181"/>
    </row>
    <row r="830" spans="1:14" s="2" customFormat="1" ht="19.95" customHeight="1" x14ac:dyDescent="0.3">
      <c r="A830" s="338" t="s">
        <v>107</v>
      </c>
      <c r="B830" s="339"/>
      <c r="C830" s="339"/>
      <c r="D830" s="339"/>
      <c r="E830" s="339"/>
      <c r="F830" s="339"/>
      <c r="G830" s="339"/>
      <c r="H830" s="339"/>
      <c r="I830" s="339"/>
      <c r="J830" s="339"/>
      <c r="K830" s="340"/>
      <c r="L830" s="1"/>
      <c r="M830" s="86"/>
      <c r="N830" s="87"/>
    </row>
    <row r="831" spans="1:14" s="2" customFormat="1" ht="15" customHeight="1" x14ac:dyDescent="0.3">
      <c r="A831" s="341" t="s">
        <v>180</v>
      </c>
      <c r="B831" s="342"/>
      <c r="C831" s="342"/>
      <c r="D831" s="342"/>
      <c r="E831" s="342"/>
      <c r="F831" s="342"/>
      <c r="G831" s="342"/>
      <c r="H831" s="342"/>
      <c r="I831" s="342"/>
      <c r="J831" s="342"/>
      <c r="K831" s="343"/>
      <c r="L831" s="1"/>
      <c r="M831" s="86"/>
      <c r="N831" s="88"/>
    </row>
    <row r="832" spans="1:14" s="2" customFormat="1" ht="15" customHeight="1" x14ac:dyDescent="0.3">
      <c r="A832" s="344" t="s">
        <v>72</v>
      </c>
      <c r="B832" s="345"/>
      <c r="C832" s="345"/>
      <c r="D832" s="345"/>
      <c r="E832" s="345"/>
      <c r="F832" s="345"/>
      <c r="G832" s="345"/>
      <c r="H832" s="345"/>
      <c r="I832" s="345"/>
      <c r="J832" s="345"/>
      <c r="K832" s="346"/>
      <c r="L832" s="1"/>
      <c r="M832" s="86"/>
      <c r="N832" s="88"/>
    </row>
    <row r="833" spans="1:14" s="2" customFormat="1" ht="4.95" customHeight="1" x14ac:dyDescent="0.3">
      <c r="A833" s="92"/>
      <c r="B833" s="347"/>
      <c r="C833" s="347"/>
      <c r="D833" s="347"/>
      <c r="E833" s="347"/>
      <c r="F833" s="347"/>
      <c r="G833" s="347"/>
      <c r="H833" s="347"/>
      <c r="I833" s="347"/>
      <c r="J833" s="347"/>
      <c r="K833" s="348"/>
      <c r="L833" s="1"/>
      <c r="M833" s="88"/>
      <c r="N833" s="88"/>
    </row>
    <row r="834" spans="1:14" s="2" customFormat="1" ht="3" customHeight="1" x14ac:dyDescent="0.3">
      <c r="A834" s="93"/>
      <c r="B834" s="94"/>
      <c r="C834" s="94"/>
      <c r="D834" s="94"/>
      <c r="E834" s="95"/>
      <c r="F834" s="95"/>
      <c r="G834" s="94"/>
      <c r="H834" s="94"/>
      <c r="I834" s="94"/>
      <c r="J834" s="94"/>
      <c r="K834" s="96"/>
      <c r="L834" s="1"/>
      <c r="M834" s="88"/>
      <c r="N834" s="88"/>
    </row>
    <row r="835" spans="1:14" s="2" customFormat="1" x14ac:dyDescent="0.3">
      <c r="A835" s="123" t="s">
        <v>68</v>
      </c>
      <c r="B835" s="124" t="str">
        <f ca="1">VLOOKUP($B836,Salary_Master_2,3,FALSE)</f>
        <v>EW 065</v>
      </c>
      <c r="C835" s="349" t="s">
        <v>21</v>
      </c>
      <c r="D835" s="349"/>
      <c r="E835" s="350">
        <f>IF($E$1="","",$E$1)</f>
        <v>45809</v>
      </c>
      <c r="F835" s="350"/>
      <c r="G835" s="97" t="s">
        <v>22</v>
      </c>
      <c r="H835" s="98">
        <f ca="1">VLOOKUP($B836,INDIRECT(VLOOKUP($E$7,$M$2:$N$20,2,FALSE)),3,FALSE)</f>
        <v>29</v>
      </c>
      <c r="I835" s="99"/>
      <c r="J835" s="100" t="s">
        <v>27</v>
      </c>
      <c r="K835" s="101"/>
      <c r="L835" s="1"/>
      <c r="M835" s="86"/>
      <c r="N835" s="88"/>
    </row>
    <row r="836" spans="1:14" s="2" customFormat="1" x14ac:dyDescent="0.3">
      <c r="A836" s="123" t="s">
        <v>19</v>
      </c>
      <c r="B836" s="124" t="str">
        <f ca="1">IF(Salary_Master_2!$B$28="","",VLOOKUP(Salary_Master_2!$B$28,INDIRECT(VLOOKUP($E835,$M$2:$N$20,2,FALSE)),1,FALSE))</f>
        <v>Pratik Lotankar</v>
      </c>
      <c r="C836" s="351" t="s">
        <v>1</v>
      </c>
      <c r="D836" s="351"/>
      <c r="E836" s="352">
        <f ca="1">SUM($H835:$H838)</f>
        <v>31</v>
      </c>
      <c r="F836" s="352"/>
      <c r="G836" s="97" t="s">
        <v>24</v>
      </c>
      <c r="H836" s="102">
        <f ca="1">VLOOKUP($B836,INDIRECT(VLOOKUP($E$7,$M$2:$N$20,2,FALSE)),4,FALSE)</f>
        <v>0</v>
      </c>
      <c r="I836" s="100"/>
      <c r="J836" s="103" t="s">
        <v>28</v>
      </c>
      <c r="K836" s="101">
        <f ca="1">VLOOKUP($B836,INDIRECT(VLOOKUP($E$7,$M$2:$N$20,2,FALSE)),29,FALSE)</f>
        <v>74700</v>
      </c>
      <c r="L836" s="1"/>
      <c r="M836" s="86"/>
      <c r="N836" s="88"/>
    </row>
    <row r="837" spans="1:14" s="2" customFormat="1" x14ac:dyDescent="0.3">
      <c r="A837" s="123" t="s">
        <v>0</v>
      </c>
      <c r="B837" s="124" t="str">
        <f ca="1">VLOOKUP($B836,Salary_Master_2,4,FALSE)</f>
        <v xml:space="preserve">Embedded Engineer </v>
      </c>
      <c r="C837" s="124"/>
      <c r="D837" s="103" t="s">
        <v>70</v>
      </c>
      <c r="E837" s="337">
        <f ca="1">VLOOKUP($B836,Salary_Master_2,9,FALSE)</f>
        <v>101906330962</v>
      </c>
      <c r="F837" s="337"/>
      <c r="G837" s="97" t="s">
        <v>25</v>
      </c>
      <c r="H837" s="102">
        <f ca="1">VLOOKUP($B836,INDIRECT(VLOOKUP($E$7,$M$2:$N$20,2,FALSE)),5,FALSE)</f>
        <v>2</v>
      </c>
      <c r="I837" s="97"/>
      <c r="J837" s="103" t="s">
        <v>29</v>
      </c>
      <c r="K837" s="101" t="str">
        <f ca="1">VLOOKUP($B836,INDIRECT(VLOOKUP($E$7,$M$2:$N$20,2,FALSE)),30,FALSE)</f>
        <v>Male</v>
      </c>
      <c r="L837" s="1"/>
      <c r="M837" s="86"/>
      <c r="N837" s="88"/>
    </row>
    <row r="838" spans="1:14" s="2" customFormat="1" x14ac:dyDescent="0.3">
      <c r="A838" s="123" t="s">
        <v>20</v>
      </c>
      <c r="B838" s="124" t="str">
        <f ca="1">VLOOKUP($B836,Salary_Master_2,5,FALSE)</f>
        <v>R&amp;D</v>
      </c>
      <c r="C838" s="124"/>
      <c r="D838" s="103" t="s">
        <v>71</v>
      </c>
      <c r="E838" s="337" t="str">
        <f ca="1">VLOOKUP($B836,Salary_Master_2,10,FALSE)</f>
        <v>NA</v>
      </c>
      <c r="F838" s="337"/>
      <c r="G838" s="97" t="s">
        <v>26</v>
      </c>
      <c r="H838" s="102">
        <f ca="1">VLOOKUP($B836,INDIRECT(VLOOKUP($E$7,$M$2:$N$20,2,FALSE)),6,FALSE)</f>
        <v>0</v>
      </c>
      <c r="I838" s="97"/>
      <c r="J838" s="103" t="s">
        <v>30</v>
      </c>
      <c r="K838" s="101">
        <f ca="1">VLOOKUP($B836,INDIRECT(VLOOKUP($E$7,$M$2:$N$20,2,FALSE)),31,FALSE)</f>
        <v>1.5</v>
      </c>
      <c r="L838" s="1"/>
      <c r="M838" s="86"/>
      <c r="N838" s="88"/>
    </row>
    <row r="839" spans="1:14" s="2" customFormat="1" x14ac:dyDescent="0.3">
      <c r="A839" s="123" t="s">
        <v>69</v>
      </c>
      <c r="B839" s="124" t="str">
        <f ca="1">VLOOKUP($B836,Salary_Master_2,6,FALSE)</f>
        <v>HO</v>
      </c>
      <c r="C839" s="124"/>
      <c r="D839" s="104"/>
      <c r="E839" s="105"/>
      <c r="F839" s="105"/>
      <c r="G839" s="97" t="s">
        <v>23</v>
      </c>
      <c r="H839" s="102">
        <f ca="1">VLOOKUP($B836,INDIRECT(VLOOKUP($E$7,$M$2:$N$20,2,FALSE)),8,FALSE)</f>
        <v>0</v>
      </c>
      <c r="I839" s="97"/>
      <c r="J839" s="125"/>
      <c r="K839" s="101"/>
      <c r="L839" s="1"/>
      <c r="M839" s="86"/>
      <c r="N839" s="88"/>
    </row>
    <row r="840" spans="1:14" s="2" customFormat="1" x14ac:dyDescent="0.3">
      <c r="A840" s="123" t="s">
        <v>32</v>
      </c>
      <c r="B840" s="106">
        <f ca="1">VLOOKUP($B836,Salary_Master_2,7,FALSE)</f>
        <v>45271</v>
      </c>
      <c r="C840" s="106"/>
      <c r="D840" s="104"/>
      <c r="E840" s="105"/>
      <c r="F840" s="105"/>
      <c r="G840" s="97" t="s">
        <v>31</v>
      </c>
      <c r="H840" s="102">
        <f ca="1">VLOOKUP($B836,INDIRECT(VLOOKUP($E$7,$M$2:$N$20,2,FALSE)),9,FALSE)</f>
        <v>3</v>
      </c>
      <c r="I840" s="107"/>
      <c r="J840" s="107"/>
      <c r="K840" s="101"/>
      <c r="L840" s="1"/>
      <c r="M840" s="86"/>
      <c r="N840" s="88"/>
    </row>
    <row r="841" spans="1:14" s="2" customFormat="1" ht="3" customHeight="1" x14ac:dyDescent="0.3">
      <c r="A841" s="108"/>
      <c r="B841" s="109"/>
      <c r="C841" s="109"/>
      <c r="D841" s="109"/>
      <c r="E841" s="110"/>
      <c r="F841" s="110"/>
      <c r="G841" s="109"/>
      <c r="H841" s="109"/>
      <c r="I841" s="111"/>
      <c r="J841" s="111"/>
      <c r="K841" s="112"/>
      <c r="L841" s="1"/>
      <c r="M841" s="88"/>
      <c r="N841" s="88"/>
    </row>
    <row r="842" spans="1:14" s="2" customFormat="1" ht="3" customHeight="1" x14ac:dyDescent="0.3">
      <c r="A842" s="123"/>
      <c r="B842" s="113"/>
      <c r="C842" s="113"/>
      <c r="D842" s="113"/>
      <c r="E842" s="124"/>
      <c r="F842" s="124"/>
      <c r="G842" s="113"/>
      <c r="H842" s="113"/>
      <c r="I842" s="114"/>
      <c r="J842" s="114"/>
      <c r="K842" s="115"/>
      <c r="L842" s="1"/>
      <c r="M842" s="88"/>
      <c r="N842" s="88"/>
    </row>
    <row r="843" spans="1:14" s="1" customFormat="1" ht="3" customHeight="1" x14ac:dyDescent="0.3">
      <c r="A843" s="116"/>
      <c r="B843" s="117"/>
      <c r="C843" s="117"/>
      <c r="D843" s="115"/>
      <c r="E843" s="118"/>
      <c r="F843" s="118"/>
      <c r="G843" s="117"/>
      <c r="H843" s="117"/>
      <c r="I843" s="119"/>
      <c r="J843" s="119"/>
      <c r="K843" s="115"/>
      <c r="M843" s="88"/>
      <c r="N843" s="88"/>
    </row>
    <row r="844" spans="1:14" s="1" customFormat="1" ht="12" customHeight="1" x14ac:dyDescent="0.3">
      <c r="A844" s="120" t="s">
        <v>4</v>
      </c>
      <c r="B844" s="113"/>
      <c r="C844" s="113"/>
      <c r="D844" s="121" t="s">
        <v>5</v>
      </c>
      <c r="E844" s="122" t="s">
        <v>6</v>
      </c>
      <c r="F844" s="122"/>
      <c r="G844" s="113"/>
      <c r="H844" s="113"/>
      <c r="I844" s="113"/>
      <c r="J844" s="113"/>
      <c r="K844" s="121" t="s">
        <v>5</v>
      </c>
      <c r="M844" s="86"/>
      <c r="N844" s="88"/>
    </row>
    <row r="845" spans="1:14" s="1" customFormat="1" ht="3" customHeight="1" x14ac:dyDescent="0.3">
      <c r="A845" s="108"/>
      <c r="B845" s="109"/>
      <c r="C845" s="109"/>
      <c r="D845" s="112"/>
      <c r="E845" s="110"/>
      <c r="F845" s="110"/>
      <c r="G845" s="109"/>
      <c r="H845" s="109"/>
      <c r="I845" s="111"/>
      <c r="J845" s="111"/>
      <c r="K845" s="112"/>
      <c r="M845" s="88"/>
      <c r="N845" s="88"/>
    </row>
    <row r="846" spans="1:14" s="1" customFormat="1" ht="3" customHeight="1" x14ac:dyDescent="0.3">
      <c r="A846" s="123"/>
      <c r="B846" s="113"/>
      <c r="C846" s="113"/>
      <c r="D846" s="101"/>
      <c r="E846" s="124"/>
      <c r="F846" s="124"/>
      <c r="G846" s="113"/>
      <c r="H846" s="113"/>
      <c r="I846" s="114"/>
      <c r="J846" s="114"/>
      <c r="K846" s="101"/>
      <c r="M846" s="88"/>
      <c r="N846" s="88"/>
    </row>
    <row r="847" spans="1:14" s="1" customFormat="1" ht="12" customHeight="1" x14ac:dyDescent="0.3">
      <c r="A847" s="324" t="s">
        <v>7</v>
      </c>
      <c r="B847" s="325"/>
      <c r="C847" s="326">
        <f ca="1">VLOOKUP($B836,INDIRECT(VLOOKUP($E835,$M$2:$N$20,2,FALSE)),13,FALSE)</f>
        <v>15000</v>
      </c>
      <c r="D847" s="327"/>
      <c r="E847" s="324" t="s">
        <v>8</v>
      </c>
      <c r="F847" s="325"/>
      <c r="G847" s="325"/>
      <c r="H847" s="325"/>
      <c r="I847" s="325"/>
      <c r="J847" s="326">
        <f ca="1">VLOOKUP($B836,INDIRECT(VLOOKUP($E835,$M$2:$N$20,2,FALSE)),22,FALSE)</f>
        <v>1800</v>
      </c>
      <c r="K847" s="327"/>
      <c r="M847" s="86"/>
      <c r="N847" s="88"/>
    </row>
    <row r="848" spans="1:14" s="1" customFormat="1" ht="12" customHeight="1" x14ac:dyDescent="0.3">
      <c r="A848" s="324" t="s">
        <v>9</v>
      </c>
      <c r="B848" s="325"/>
      <c r="C848" s="326">
        <f ca="1">VLOOKUP($B836,INDIRECT(VLOOKUP($E835,$M$2:$N$20,2,FALSE)),14,FALSE)</f>
        <v>6000</v>
      </c>
      <c r="D848" s="327"/>
      <c r="E848" s="324" t="s">
        <v>94</v>
      </c>
      <c r="F848" s="325"/>
      <c r="G848" s="325"/>
      <c r="H848" s="325"/>
      <c r="I848" s="325"/>
      <c r="J848" s="326">
        <f ca="1">VLOOKUP($B836,INDIRECT(VLOOKUP($E835,$M$2:$N$20,2,FALSE)),23,FALSE)</f>
        <v>1800</v>
      </c>
      <c r="K848" s="327"/>
      <c r="M848" s="86"/>
      <c r="N848" s="88"/>
    </row>
    <row r="849" spans="1:14" s="1" customFormat="1" ht="12" customHeight="1" x14ac:dyDescent="0.3">
      <c r="A849" s="324" t="s">
        <v>11</v>
      </c>
      <c r="B849" s="325"/>
      <c r="C849" s="326">
        <f ca="1">VLOOKUP($B836,INDIRECT(VLOOKUP($E835,$M$2:$N$20,2,FALSE)),15,FALSE)</f>
        <v>1600</v>
      </c>
      <c r="D849" s="327"/>
      <c r="E849" s="324" t="s">
        <v>10</v>
      </c>
      <c r="F849" s="325"/>
      <c r="G849" s="325"/>
      <c r="H849" s="325"/>
      <c r="I849" s="325"/>
      <c r="J849" s="326">
        <f ca="1">VLOOKUP($B836,INDIRECT(VLOOKUP($E835,$M$2:$N$20,2,FALSE)),24,FALSE)</f>
        <v>0</v>
      </c>
      <c r="K849" s="327"/>
      <c r="M849" s="87"/>
      <c r="N849" s="86"/>
    </row>
    <row r="850" spans="1:14" s="1" customFormat="1" ht="12" customHeight="1" x14ac:dyDescent="0.3">
      <c r="A850" s="324" t="s">
        <v>3</v>
      </c>
      <c r="B850" s="325"/>
      <c r="C850" s="326">
        <f ca="1">VLOOKUP($B836,INDIRECT(VLOOKUP($E835,$M$2:$N$20,2,FALSE)),16,FALSE)</f>
        <v>1250</v>
      </c>
      <c r="D850" s="327"/>
      <c r="E850" s="324" t="s">
        <v>93</v>
      </c>
      <c r="F850" s="325"/>
      <c r="G850" s="325"/>
      <c r="H850" s="325"/>
      <c r="I850" s="325"/>
      <c r="J850" s="326">
        <f ca="1">VLOOKUP($B836,INDIRECT(VLOOKUP($E835,$M$2:$N$20,2,FALSE)),25,FALSE)</f>
        <v>0</v>
      </c>
      <c r="K850" s="327"/>
      <c r="M850" s="87"/>
      <c r="N850" s="89"/>
    </row>
    <row r="851" spans="1:14" s="1" customFormat="1" ht="12" customHeight="1" x14ac:dyDescent="0.3">
      <c r="A851" s="324" t="s">
        <v>13</v>
      </c>
      <c r="B851" s="325"/>
      <c r="C851" s="326">
        <f ca="1">VLOOKUP($B836,INDIRECT(VLOOKUP($E835,$M$2:$N$20,2,FALSE)),17,FALSE)</f>
        <v>51050</v>
      </c>
      <c r="D851" s="327"/>
      <c r="E851" s="324" t="s">
        <v>12</v>
      </c>
      <c r="F851" s="325"/>
      <c r="G851" s="325"/>
      <c r="H851" s="325"/>
      <c r="I851" s="325"/>
      <c r="J851" s="326">
        <f ca="1">VLOOKUP($B836,INDIRECT(VLOOKUP($E835,$M$2:$N$20,2,FALSE)),26,FALSE)</f>
        <v>200</v>
      </c>
      <c r="K851" s="327"/>
      <c r="M851" s="88" t="s">
        <v>73</v>
      </c>
      <c r="N851" s="88" t="str">
        <f ca="1">IF(VLOOKUP($B836,INDIRECT(VLOOKUP($E835,$M$2:$N$20,2,FALSE)),38,FALSE)&gt;0,"Yes","No")</f>
        <v>No</v>
      </c>
    </row>
    <row r="852" spans="1:14" s="1" customFormat="1" ht="12" customHeight="1" x14ac:dyDescent="0.3">
      <c r="A852" s="324" t="str">
        <f ca="1">IF($J848&gt;0,"Other Allowance",IF(VLOOKUP($B836,INDIRECT(VLOOKUP($E835,$M$2:$N$20,2,FALSE)),44,FALSE)=0,"",IF($E835=DATE(2025,6,1),"Arrears of Apr &amp; May-2025","")))</f>
        <v>Other Allowance</v>
      </c>
      <c r="B852" s="325"/>
      <c r="C852" s="326" cm="1">
        <f t="array" aca="1" ref="C852" ca="1">_xlfn.IFS($A852="","",$A852="Other Allowance",VLOOKUP($B836,INDIRECT(VLOOKUP($E835,$M$2:$N$20,2,FALSE)),18,FALSE),$A852="Arrears of Apr &amp; May-2025",VLOOKUP($B836,INDIRECT(VLOOKUP($E835,$M$2:$N$20,2,FALSE)),44,FALSE))</f>
        <v>1800</v>
      </c>
      <c r="D852" s="327"/>
      <c r="E852" s="324" t="str" cm="1">
        <f t="array" aca="1" ref="E852" ca="1">_xlfn.IFS(N851="Yes",M851,N852="Yes",M852,TRUE,"")</f>
        <v/>
      </c>
      <c r="F852" s="325"/>
      <c r="G852" s="325"/>
      <c r="H852" s="325"/>
      <c r="I852" s="325"/>
      <c r="J852" s="335" t="str" cm="1">
        <f t="array" aca="1" ref="J852" ca="1">IF(E852="","",_xlfn.IFS(N851="Yes",VLOOKUP($B836,INDIRECT(VLOOKUP($E835,$M$2:$N$20,2,FALSE)),27,FALSE),N852="Yes",VLOOKUP($B836,INDIRECT(VLOOKUP($E835,$M$2:$N$20,2,FALSE)),28,FALSE)))</f>
        <v/>
      </c>
      <c r="K852" s="336"/>
      <c r="M852" s="88" t="s">
        <v>14</v>
      </c>
      <c r="N852" s="88" t="str">
        <f ca="1">IF(VLOOKUP($B836,INDIRECT(VLOOKUP($E$7,$M$2:$N$20,2,FALSE)),39,FALSE)&gt;0,"Yes","No")</f>
        <v>No</v>
      </c>
    </row>
    <row r="853" spans="1:14" s="1" customFormat="1" ht="12" customHeight="1" x14ac:dyDescent="0.3">
      <c r="A853" s="324" t="str" cm="1">
        <f t="array" aca="1" ref="A853" ca="1">_xlfn.IFS($A852="","",$A852="Other Allowance","EPF",$A852="Arrears of Apr &amp; May-2025","",VLOOKUP($B836,INDIRECT(VLOOKUP($E835,$M$2:$N$20,2,FALSE)),44,FALSE)=0,"",$E835=DATE(2025,6,1),"Arrears of Apr &amp; May-2025")</f>
        <v>EPF</v>
      </c>
      <c r="B853" s="325"/>
      <c r="C853" s="326" cm="1">
        <f t="array" aca="1" ref="C853" ca="1">_xlfn.IFS($A853="","",$A853="EPF",VLOOKUP($B836,INDIRECT(VLOOKUP($E835,$M$2:$N$20,2,FALSE)),19,FALSE),$A853="Arrears of Apr &amp; May-2025",VLOOKUP($B836,INDIRECT(VLOOKUP($E835,$M$2:$N$20,2,FALSE)),44,FALSE))</f>
        <v>1800</v>
      </c>
      <c r="D853" s="327"/>
      <c r="E853" s="324" t="str" cm="1">
        <f t="array" aca="1" ref="E853" ca="1">_xlfn.IFS(N852="No","",N851="Yes",M852,TRUE,"")</f>
        <v/>
      </c>
      <c r="F853" s="325"/>
      <c r="G853" s="325"/>
      <c r="H853" s="325"/>
      <c r="I853" s="325"/>
      <c r="J853" s="335" t="str">
        <f ca="1">IF(E853="","",VLOOKUP($B836,INDIRECT(VLOOKUP($E835,$M$2:$N$20,2,FALSE)),28,FALSE))</f>
        <v/>
      </c>
      <c r="K853" s="336"/>
      <c r="M853" s="130"/>
      <c r="N853" s="88"/>
    </row>
    <row r="854" spans="1:14" s="1" customFormat="1" ht="12" customHeight="1" x14ac:dyDescent="0.3">
      <c r="A854" s="324" t="str">
        <f ca="1">IF($J850&gt;0,"ESIC (Employer)",IF($A853="","",IF(VLOOKUP($B836,INDIRECT(VLOOKUP($E835,$M$2:$N$20,2,FALSE)),44,FALSE)="","",IF($E835=DATE(2025,6,1),"Arrears of Apr &amp; May-2025",""))))</f>
        <v>Arrears of Apr &amp; May-2025</v>
      </c>
      <c r="B854" s="325"/>
      <c r="C854" s="326" cm="1">
        <f t="array" aca="1" ref="C854" ca="1">_xlfn.IFS($A854="","",$A854="ESIC (Employer)",VLOOKUP($B836,INDIRECT(VLOOKUP($E835,$M$2:$N$20,2,FALSE)),20,FALSE),$A854="Arrears of Apr &amp; May-2025",VLOOKUP($B836,INDIRECT(VLOOKUP($E835,$M$2:$N$20,2,FALSE)),44,FALSE))</f>
        <v>15000</v>
      </c>
      <c r="D854" s="327"/>
      <c r="E854" s="324"/>
      <c r="F854" s="325"/>
      <c r="G854" s="325"/>
      <c r="H854" s="325"/>
      <c r="I854" s="325"/>
      <c r="J854" s="335"/>
      <c r="K854" s="336"/>
      <c r="M854" s="88"/>
      <c r="N854" s="88"/>
    </row>
    <row r="855" spans="1:14" s="1" customFormat="1" ht="12" customHeight="1" x14ac:dyDescent="0.3">
      <c r="A855" s="324" t="str">
        <f ca="1">IF($A854="","",IF(VLOOKUP($B836,INDIRECT(VLOOKUP($E835,$M$2:$N$20,2,FALSE)),44,FALSE)=0,"",IF($A854="Arrears of Apr &amp; May-2025","",IF($E835=DATE(2025,6,1),"Arrears of Apr &amp; May-2025",""))))</f>
        <v/>
      </c>
      <c r="B855" s="325"/>
      <c r="C855" s="326" t="str" cm="1">
        <f t="array" aca="1" ref="C855" ca="1">_xlfn.IFS($A855="","",$A855="Arrears of Apr &amp; May-2025",VLOOKUP($B836,INDIRECT(VLOOKUP($E835,$M$2:$N$20,2,FALSE)),44,FALSE))</f>
        <v/>
      </c>
      <c r="D855" s="327"/>
      <c r="E855" s="324"/>
      <c r="F855" s="325"/>
      <c r="G855" s="325"/>
      <c r="H855" s="325"/>
      <c r="I855" s="325"/>
      <c r="J855" s="335"/>
      <c r="K855" s="336"/>
      <c r="M855" s="88"/>
      <c r="N855" s="88"/>
    </row>
    <row r="856" spans="1:14" s="1" customFormat="1" ht="12" customHeight="1" x14ac:dyDescent="0.3">
      <c r="A856" s="324"/>
      <c r="B856" s="325"/>
      <c r="C856" s="326"/>
      <c r="D856" s="327"/>
      <c r="E856" s="124"/>
      <c r="F856" s="124"/>
      <c r="G856" s="124"/>
      <c r="H856" s="124"/>
      <c r="I856" s="124"/>
      <c r="J856" s="335"/>
      <c r="K856" s="336"/>
      <c r="M856" s="88"/>
      <c r="N856" s="88"/>
    </row>
    <row r="857" spans="1:14" s="1" customFormat="1" ht="3" customHeight="1" x14ac:dyDescent="0.3">
      <c r="A857" s="108"/>
      <c r="B857" s="109"/>
      <c r="C857" s="109"/>
      <c r="D857" s="112"/>
      <c r="E857" s="110"/>
      <c r="F857" s="110"/>
      <c r="G857" s="109"/>
      <c r="H857" s="109"/>
      <c r="I857" s="111"/>
      <c r="J857" s="111"/>
      <c r="K857" s="112"/>
      <c r="M857" s="88"/>
      <c r="N857" s="88"/>
    </row>
    <row r="858" spans="1:14" s="1" customFormat="1" ht="3" customHeight="1" x14ac:dyDescent="0.3">
      <c r="A858" s="123"/>
      <c r="B858" s="113"/>
      <c r="C858" s="113"/>
      <c r="D858" s="101"/>
      <c r="E858" s="124"/>
      <c r="F858" s="124"/>
      <c r="G858" s="113"/>
      <c r="H858" s="113"/>
      <c r="I858" s="114"/>
      <c r="J858" s="114"/>
      <c r="K858" s="101"/>
      <c r="M858" s="88"/>
      <c r="N858" s="88"/>
    </row>
    <row r="859" spans="1:14" s="4" customFormat="1" ht="19.95" customHeight="1" x14ac:dyDescent="0.3">
      <c r="A859" s="328" t="s">
        <v>15</v>
      </c>
      <c r="B859" s="329"/>
      <c r="C859" s="330">
        <f ca="1">SUM(C847:D858)</f>
        <v>93500</v>
      </c>
      <c r="D859" s="331"/>
      <c r="E859" s="328" t="s">
        <v>16</v>
      </c>
      <c r="F859" s="329"/>
      <c r="G859" s="329"/>
      <c r="H859" s="329"/>
      <c r="I859" s="329"/>
      <c r="J859" s="330">
        <f ca="1">SUM(J847:K855)</f>
        <v>3800</v>
      </c>
      <c r="K859" s="331"/>
      <c r="M859" s="129"/>
      <c r="N859" s="90"/>
    </row>
    <row r="860" spans="1:14" s="1" customFormat="1" ht="3" customHeight="1" x14ac:dyDescent="0.3">
      <c r="A860" s="108"/>
      <c r="B860" s="109"/>
      <c r="C860" s="109"/>
      <c r="D860" s="112"/>
      <c r="E860" s="110"/>
      <c r="F860" s="110"/>
      <c r="G860" s="109"/>
      <c r="H860" s="109"/>
      <c r="I860" s="111"/>
      <c r="J860" s="111"/>
      <c r="K860" s="112"/>
      <c r="M860" s="88"/>
      <c r="N860" s="88"/>
    </row>
    <row r="861" spans="1:14" s="1" customFormat="1" ht="3" customHeight="1" x14ac:dyDescent="0.3">
      <c r="A861" s="123"/>
      <c r="B861" s="113"/>
      <c r="C861" s="113"/>
      <c r="D861" s="117"/>
      <c r="E861" s="118"/>
      <c r="F861" s="124"/>
      <c r="G861" s="113"/>
      <c r="H861" s="126"/>
      <c r="I861" s="119"/>
      <c r="J861" s="119"/>
      <c r="K861" s="115"/>
      <c r="M861" s="88"/>
      <c r="N861" s="88"/>
    </row>
    <row r="862" spans="1:14" s="5" customFormat="1" ht="19.95" customHeight="1" x14ac:dyDescent="0.3">
      <c r="A862" s="328" t="str" cm="1">
        <f t="array" aca="1" ref="A862" ca="1">mgm(J862)</f>
        <v>Rupees Eighty Nine Thousand Seven Hundred Only</v>
      </c>
      <c r="B862" s="329"/>
      <c r="C862" s="329"/>
      <c r="D862" s="329"/>
      <c r="E862" s="329"/>
      <c r="F862" s="329"/>
      <c r="G862" s="332"/>
      <c r="H862" s="333" t="s">
        <v>17</v>
      </c>
      <c r="I862" s="334"/>
      <c r="J862" s="330">
        <f ca="1">C859-J859</f>
        <v>89700</v>
      </c>
      <c r="K862" s="331"/>
      <c r="L862" s="205"/>
      <c r="M862" s="90"/>
      <c r="N862" s="90"/>
    </row>
    <row r="863" spans="1:14" s="1" customFormat="1" ht="3" customHeight="1" x14ac:dyDescent="0.3">
      <c r="A863" s="108"/>
      <c r="B863" s="109"/>
      <c r="C863" s="109"/>
      <c r="D863" s="109"/>
      <c r="E863" s="110"/>
      <c r="F863" s="110"/>
      <c r="G863" s="109"/>
      <c r="H863" s="127"/>
      <c r="I863" s="111"/>
      <c r="J863" s="111"/>
      <c r="K863" s="112"/>
      <c r="M863" s="88"/>
      <c r="N863" s="88"/>
    </row>
    <row r="864" spans="1:14" s="1" customFormat="1" ht="19.95" customHeight="1" x14ac:dyDescent="0.3">
      <c r="A864" s="323" t="s">
        <v>18</v>
      </c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M864" s="88"/>
      <c r="N864" s="88"/>
    </row>
    <row r="865" spans="1:14" s="132" customFormat="1" ht="60" customHeight="1" x14ac:dyDescent="0.3">
      <c r="A865" s="181"/>
      <c r="E865" s="181"/>
      <c r="F865" s="181"/>
    </row>
    <row r="866" spans="1:14" s="2" customFormat="1" ht="19.95" customHeight="1" x14ac:dyDescent="0.3">
      <c r="A866" s="338" t="s">
        <v>107</v>
      </c>
      <c r="B866" s="339"/>
      <c r="C866" s="339"/>
      <c r="D866" s="339"/>
      <c r="E866" s="339"/>
      <c r="F866" s="339"/>
      <c r="G866" s="339"/>
      <c r="H866" s="339"/>
      <c r="I866" s="339"/>
      <c r="J866" s="339"/>
      <c r="K866" s="340"/>
      <c r="L866" s="1"/>
      <c r="M866" s="86"/>
      <c r="N866" s="87"/>
    </row>
    <row r="867" spans="1:14" s="2" customFormat="1" ht="15" customHeight="1" x14ac:dyDescent="0.3">
      <c r="A867" s="341" t="s">
        <v>180</v>
      </c>
      <c r="B867" s="342"/>
      <c r="C867" s="342"/>
      <c r="D867" s="342"/>
      <c r="E867" s="342"/>
      <c r="F867" s="342"/>
      <c r="G867" s="342"/>
      <c r="H867" s="342"/>
      <c r="I867" s="342"/>
      <c r="J867" s="342"/>
      <c r="K867" s="343"/>
      <c r="L867" s="1"/>
      <c r="M867" s="86"/>
      <c r="N867" s="88"/>
    </row>
    <row r="868" spans="1:14" s="2" customFormat="1" ht="15" customHeight="1" x14ac:dyDescent="0.3">
      <c r="A868" s="344" t="s">
        <v>72</v>
      </c>
      <c r="B868" s="345"/>
      <c r="C868" s="345"/>
      <c r="D868" s="345"/>
      <c r="E868" s="345"/>
      <c r="F868" s="345"/>
      <c r="G868" s="345"/>
      <c r="H868" s="345"/>
      <c r="I868" s="345"/>
      <c r="J868" s="345"/>
      <c r="K868" s="346"/>
      <c r="L868" s="1"/>
      <c r="M868" s="86"/>
      <c r="N868" s="88"/>
    </row>
    <row r="869" spans="1:14" s="2" customFormat="1" ht="4.95" customHeight="1" x14ac:dyDescent="0.3">
      <c r="A869" s="92"/>
      <c r="B869" s="347"/>
      <c r="C869" s="347"/>
      <c r="D869" s="347"/>
      <c r="E869" s="347"/>
      <c r="F869" s="347"/>
      <c r="G869" s="347"/>
      <c r="H869" s="347"/>
      <c r="I869" s="347"/>
      <c r="J869" s="347"/>
      <c r="K869" s="348"/>
      <c r="L869" s="1"/>
      <c r="M869" s="88"/>
      <c r="N869" s="88"/>
    </row>
    <row r="870" spans="1:14" s="2" customFormat="1" ht="3" customHeight="1" x14ac:dyDescent="0.3">
      <c r="A870" s="93"/>
      <c r="B870" s="94"/>
      <c r="C870" s="94"/>
      <c r="D870" s="94"/>
      <c r="E870" s="95"/>
      <c r="F870" s="95"/>
      <c r="G870" s="94"/>
      <c r="H870" s="94"/>
      <c r="I870" s="94"/>
      <c r="J870" s="94"/>
      <c r="K870" s="96"/>
      <c r="L870" s="1"/>
      <c r="M870" s="88"/>
      <c r="N870" s="88"/>
    </row>
    <row r="871" spans="1:14" s="2" customFormat="1" x14ac:dyDescent="0.3">
      <c r="A871" s="123" t="s">
        <v>68</v>
      </c>
      <c r="B871" s="124" t="str">
        <f ca="1">VLOOKUP($B872,Salary_Master_2,3,FALSE)</f>
        <v>EW</v>
      </c>
      <c r="C871" s="349" t="s">
        <v>21</v>
      </c>
      <c r="D871" s="349"/>
      <c r="E871" s="350">
        <f>IF($E$1="","",$E$1)</f>
        <v>45809</v>
      </c>
      <c r="F871" s="350"/>
      <c r="G871" s="97" t="s">
        <v>22</v>
      </c>
      <c r="H871" s="98">
        <f ca="1">VLOOKUP($B872,INDIRECT(VLOOKUP($E$7,$M$2:$N$20,2,FALSE)),3,FALSE)</f>
        <v>28.5</v>
      </c>
      <c r="I871" s="99"/>
      <c r="J871" s="100" t="s">
        <v>27</v>
      </c>
      <c r="K871" s="101"/>
      <c r="L871" s="1"/>
      <c r="M871" s="86"/>
      <c r="N871" s="88"/>
    </row>
    <row r="872" spans="1:14" s="2" customFormat="1" x14ac:dyDescent="0.3">
      <c r="A872" s="123" t="s">
        <v>19</v>
      </c>
      <c r="B872" s="124" t="str">
        <f ca="1">IF(Salary_Master_2!$B$29="","",VLOOKUP(Salary_Master_2!$B$29,INDIRECT(VLOOKUP($E871,$M$2:$N$20,2,FALSE)),1,FALSE))</f>
        <v>Jyoti Sawant</v>
      </c>
      <c r="C872" s="351" t="s">
        <v>1</v>
      </c>
      <c r="D872" s="351"/>
      <c r="E872" s="352">
        <f ca="1">SUM($H871:$H874)</f>
        <v>31</v>
      </c>
      <c r="F872" s="352"/>
      <c r="G872" s="97" t="s">
        <v>24</v>
      </c>
      <c r="H872" s="102">
        <f ca="1">VLOOKUP($B872,INDIRECT(VLOOKUP($E$7,$M$2:$N$20,2,FALSE)),4,FALSE)</f>
        <v>1</v>
      </c>
      <c r="I872" s="100"/>
      <c r="J872" s="103" t="s">
        <v>28</v>
      </c>
      <c r="K872" s="101">
        <f ca="1">VLOOKUP($B872,INDIRECT(VLOOKUP($E$7,$M$2:$N$20,2,FALSE)),29,FALSE)</f>
        <v>28700</v>
      </c>
      <c r="L872" s="1"/>
      <c r="M872" s="86"/>
      <c r="N872" s="88"/>
    </row>
    <row r="873" spans="1:14" s="2" customFormat="1" x14ac:dyDescent="0.3">
      <c r="A873" s="123" t="s">
        <v>0</v>
      </c>
      <c r="B873" s="124" t="str">
        <f ca="1">VLOOKUP($B872,Salary_Master_2,4,FALSE)</f>
        <v>Quality Incharge</v>
      </c>
      <c r="C873" s="124"/>
      <c r="D873" s="103" t="s">
        <v>70</v>
      </c>
      <c r="E873" s="337">
        <f ca="1">VLOOKUP($B872,Salary_Master_2,9,FALSE)</f>
        <v>100179202231</v>
      </c>
      <c r="F873" s="337"/>
      <c r="G873" s="97" t="s">
        <v>25</v>
      </c>
      <c r="H873" s="102">
        <f ca="1">VLOOKUP($B872,INDIRECT(VLOOKUP($E$7,$M$2:$N$20,2,FALSE)),5,FALSE)</f>
        <v>1.5</v>
      </c>
      <c r="I873" s="97"/>
      <c r="J873" s="103" t="s">
        <v>29</v>
      </c>
      <c r="K873" s="101" t="str">
        <f ca="1">VLOOKUP($B872,INDIRECT(VLOOKUP($E$7,$M$2:$N$20,2,FALSE)),30,FALSE)</f>
        <v>Female</v>
      </c>
      <c r="L873" s="1"/>
      <c r="M873" s="86"/>
      <c r="N873" s="88"/>
    </row>
    <row r="874" spans="1:14" s="2" customFormat="1" x14ac:dyDescent="0.3">
      <c r="A874" s="123" t="s">
        <v>20</v>
      </c>
      <c r="B874" s="124" t="str">
        <f ca="1">VLOOKUP($B872,Salary_Master_2,5,FALSE)</f>
        <v>Quality</v>
      </c>
      <c r="C874" s="124"/>
      <c r="D874" s="103" t="s">
        <v>71</v>
      </c>
      <c r="E874" s="337" t="str">
        <f ca="1">VLOOKUP($B872,Salary_Master_2,10,FALSE)</f>
        <v xml:space="preserve">NA </v>
      </c>
      <c r="F874" s="337"/>
      <c r="G874" s="97" t="s">
        <v>26</v>
      </c>
      <c r="H874" s="102">
        <f ca="1">VLOOKUP($B872,INDIRECT(VLOOKUP($E$7,$M$2:$N$20,2,FALSE)),6,FALSE)</f>
        <v>0</v>
      </c>
      <c r="I874" s="97"/>
      <c r="J874" s="103" t="s">
        <v>30</v>
      </c>
      <c r="K874" s="101">
        <f ca="1">VLOOKUP($B872,INDIRECT(VLOOKUP($E$7,$M$2:$N$20,2,FALSE)),31,FALSE)</f>
        <v>0</v>
      </c>
      <c r="L874" s="1"/>
      <c r="M874" s="86"/>
      <c r="N874" s="88"/>
    </row>
    <row r="875" spans="1:14" s="2" customFormat="1" x14ac:dyDescent="0.3">
      <c r="A875" s="123" t="s">
        <v>69</v>
      </c>
      <c r="B875" s="124" t="str">
        <f ca="1">VLOOKUP($B872,Salary_Master_2,6,FALSE)</f>
        <v>Ansa Factory</v>
      </c>
      <c r="C875" s="124"/>
      <c r="D875" s="104"/>
      <c r="E875" s="105"/>
      <c r="F875" s="105"/>
      <c r="G875" s="97" t="s">
        <v>23</v>
      </c>
      <c r="H875" s="102">
        <f ca="1">VLOOKUP($B872,INDIRECT(VLOOKUP($E$7,$M$2:$N$20,2,FALSE)),8,FALSE)</f>
        <v>0</v>
      </c>
      <c r="I875" s="97"/>
      <c r="J875" s="125"/>
      <c r="K875" s="101"/>
      <c r="L875" s="1"/>
      <c r="M875" s="86"/>
      <c r="N875" s="88"/>
    </row>
    <row r="876" spans="1:14" s="2" customFormat="1" x14ac:dyDescent="0.3">
      <c r="A876" s="123" t="s">
        <v>32</v>
      </c>
      <c r="B876" s="106">
        <f ca="1">VLOOKUP($B872,Salary_Master_2,7,FALSE)</f>
        <v>45293</v>
      </c>
      <c r="C876" s="106"/>
      <c r="D876" s="104"/>
      <c r="E876" s="105"/>
      <c r="F876" s="105"/>
      <c r="G876" s="97" t="s">
        <v>31</v>
      </c>
      <c r="H876" s="102">
        <f ca="1">VLOOKUP($B872,INDIRECT(VLOOKUP($E$7,$M$2:$N$20,2,FALSE)),9,FALSE)</f>
        <v>1</v>
      </c>
      <c r="I876" s="107"/>
      <c r="J876" s="107"/>
      <c r="K876" s="101"/>
      <c r="L876" s="1"/>
      <c r="M876" s="86"/>
      <c r="N876" s="88"/>
    </row>
    <row r="877" spans="1:14" s="2" customFormat="1" ht="3" customHeight="1" x14ac:dyDescent="0.3">
      <c r="A877" s="108"/>
      <c r="B877" s="109"/>
      <c r="C877" s="109"/>
      <c r="D877" s="109"/>
      <c r="E877" s="110"/>
      <c r="F877" s="110"/>
      <c r="G877" s="109"/>
      <c r="H877" s="109"/>
      <c r="I877" s="111"/>
      <c r="J877" s="111"/>
      <c r="K877" s="112"/>
      <c r="L877" s="1"/>
      <c r="M877" s="88"/>
      <c r="N877" s="88"/>
    </row>
    <row r="878" spans="1:14" s="2" customFormat="1" ht="3" customHeight="1" x14ac:dyDescent="0.3">
      <c r="A878" s="123"/>
      <c r="B878" s="113"/>
      <c r="C878" s="113"/>
      <c r="D878" s="113"/>
      <c r="E878" s="124"/>
      <c r="F878" s="124"/>
      <c r="G878" s="113"/>
      <c r="H878" s="113"/>
      <c r="I878" s="114"/>
      <c r="J878" s="114"/>
      <c r="K878" s="115"/>
      <c r="L878" s="1"/>
      <c r="M878" s="88"/>
      <c r="N878" s="88"/>
    </row>
    <row r="879" spans="1:14" s="1" customFormat="1" ht="3" customHeight="1" x14ac:dyDescent="0.3">
      <c r="A879" s="116"/>
      <c r="B879" s="117"/>
      <c r="C879" s="117"/>
      <c r="D879" s="115"/>
      <c r="E879" s="118"/>
      <c r="F879" s="118"/>
      <c r="G879" s="117"/>
      <c r="H879" s="117"/>
      <c r="I879" s="119"/>
      <c r="J879" s="119"/>
      <c r="K879" s="115"/>
      <c r="M879" s="88"/>
      <c r="N879" s="88"/>
    </row>
    <row r="880" spans="1:14" s="1" customFormat="1" ht="12" customHeight="1" x14ac:dyDescent="0.3">
      <c r="A880" s="120" t="s">
        <v>4</v>
      </c>
      <c r="B880" s="113"/>
      <c r="C880" s="113"/>
      <c r="D880" s="121" t="s">
        <v>5</v>
      </c>
      <c r="E880" s="122" t="s">
        <v>6</v>
      </c>
      <c r="F880" s="122"/>
      <c r="G880" s="113"/>
      <c r="H880" s="113"/>
      <c r="I880" s="113"/>
      <c r="J880" s="113"/>
      <c r="K880" s="121" t="s">
        <v>5</v>
      </c>
      <c r="M880" s="86"/>
      <c r="N880" s="88"/>
    </row>
    <row r="881" spans="1:14" s="1" customFormat="1" ht="3" customHeight="1" x14ac:dyDescent="0.3">
      <c r="A881" s="108"/>
      <c r="B881" s="109"/>
      <c r="C881" s="109"/>
      <c r="D881" s="112"/>
      <c r="E881" s="110"/>
      <c r="F881" s="110"/>
      <c r="G881" s="109"/>
      <c r="H881" s="109"/>
      <c r="I881" s="111"/>
      <c r="J881" s="111"/>
      <c r="K881" s="112"/>
      <c r="M881" s="88"/>
      <c r="N881" s="88"/>
    </row>
    <row r="882" spans="1:14" s="1" customFormat="1" ht="3" customHeight="1" x14ac:dyDescent="0.3">
      <c r="A882" s="123"/>
      <c r="B882" s="113"/>
      <c r="C882" s="113"/>
      <c r="D882" s="101"/>
      <c r="E882" s="124"/>
      <c r="F882" s="124"/>
      <c r="G882" s="113"/>
      <c r="H882" s="113"/>
      <c r="I882" s="114"/>
      <c r="J882" s="114"/>
      <c r="K882" s="101"/>
      <c r="M882" s="88"/>
      <c r="N882" s="88"/>
    </row>
    <row r="883" spans="1:14" s="1" customFormat="1" ht="12" customHeight="1" x14ac:dyDescent="0.3">
      <c r="A883" s="324" t="s">
        <v>7</v>
      </c>
      <c r="B883" s="325"/>
      <c r="C883" s="326">
        <f ca="1">VLOOKUP($B872,INDIRECT(VLOOKUP($E871,$M$2:$N$20,2,FALSE)),13,FALSE)</f>
        <v>10000</v>
      </c>
      <c r="D883" s="327"/>
      <c r="E883" s="324" t="s">
        <v>8</v>
      </c>
      <c r="F883" s="325"/>
      <c r="G883" s="325"/>
      <c r="H883" s="325"/>
      <c r="I883" s="325"/>
      <c r="J883" s="326">
        <f ca="1">VLOOKUP($B872,INDIRECT(VLOOKUP($E871,$M$2:$N$20,2,FALSE)),22,FALSE)</f>
        <v>1800</v>
      </c>
      <c r="K883" s="327"/>
      <c r="M883" s="86"/>
      <c r="N883" s="88"/>
    </row>
    <row r="884" spans="1:14" s="1" customFormat="1" ht="12" customHeight="1" x14ac:dyDescent="0.3">
      <c r="A884" s="324" t="s">
        <v>9</v>
      </c>
      <c r="B884" s="325"/>
      <c r="C884" s="326">
        <f ca="1">VLOOKUP($B872,INDIRECT(VLOOKUP($E871,$M$2:$N$20,2,FALSE)),14,FALSE)</f>
        <v>2000</v>
      </c>
      <c r="D884" s="327"/>
      <c r="E884" s="324" t="s">
        <v>94</v>
      </c>
      <c r="F884" s="325"/>
      <c r="G884" s="325"/>
      <c r="H884" s="325"/>
      <c r="I884" s="325"/>
      <c r="J884" s="326">
        <f ca="1">VLOOKUP($B872,INDIRECT(VLOOKUP($E871,$M$2:$N$20,2,FALSE)),23,FALSE)</f>
        <v>1800</v>
      </c>
      <c r="K884" s="327"/>
      <c r="M884" s="86"/>
      <c r="N884" s="88"/>
    </row>
    <row r="885" spans="1:14" s="1" customFormat="1" ht="12" customHeight="1" x14ac:dyDescent="0.3">
      <c r="A885" s="324" t="s">
        <v>11</v>
      </c>
      <c r="B885" s="325"/>
      <c r="C885" s="326">
        <f ca="1">VLOOKUP($B872,INDIRECT(VLOOKUP($E871,$M$2:$N$20,2,FALSE)),15,FALSE)</f>
        <v>1600</v>
      </c>
      <c r="D885" s="327"/>
      <c r="E885" s="324" t="s">
        <v>10</v>
      </c>
      <c r="F885" s="325"/>
      <c r="G885" s="325"/>
      <c r="H885" s="325"/>
      <c r="I885" s="325"/>
      <c r="J885" s="326">
        <f ca="1">VLOOKUP($B872,INDIRECT(VLOOKUP($E871,$M$2:$N$20,2,FALSE)),24,FALSE)</f>
        <v>0</v>
      </c>
      <c r="K885" s="327"/>
      <c r="M885" s="87"/>
      <c r="N885" s="86"/>
    </row>
    <row r="886" spans="1:14" s="1" customFormat="1" ht="12" customHeight="1" x14ac:dyDescent="0.3">
      <c r="A886" s="324" t="s">
        <v>3</v>
      </c>
      <c r="B886" s="325"/>
      <c r="C886" s="326">
        <f ca="1">VLOOKUP($B872,INDIRECT(VLOOKUP($E871,$M$2:$N$20,2,FALSE)),16,FALSE)</f>
        <v>833</v>
      </c>
      <c r="D886" s="327"/>
      <c r="E886" s="324" t="s">
        <v>93</v>
      </c>
      <c r="F886" s="325"/>
      <c r="G886" s="325"/>
      <c r="H886" s="325"/>
      <c r="I886" s="325"/>
      <c r="J886" s="326">
        <f ca="1">VLOOKUP($B872,INDIRECT(VLOOKUP($E871,$M$2:$N$20,2,FALSE)),25,FALSE)</f>
        <v>0</v>
      </c>
      <c r="K886" s="327"/>
      <c r="M886" s="87"/>
      <c r="N886" s="89"/>
    </row>
    <row r="887" spans="1:14" s="1" customFormat="1" ht="12" customHeight="1" x14ac:dyDescent="0.3">
      <c r="A887" s="324" t="s">
        <v>13</v>
      </c>
      <c r="B887" s="325"/>
      <c r="C887" s="326">
        <f ca="1">VLOOKUP($B872,INDIRECT(VLOOKUP($E871,$M$2:$N$20,2,FALSE)),17,FALSE)</f>
        <v>14467</v>
      </c>
      <c r="D887" s="327"/>
      <c r="E887" s="324" t="s">
        <v>12</v>
      </c>
      <c r="F887" s="325"/>
      <c r="G887" s="325"/>
      <c r="H887" s="325"/>
      <c r="I887" s="325"/>
      <c r="J887" s="326">
        <f ca="1">VLOOKUP($B872,INDIRECT(VLOOKUP($E871,$M$2:$N$20,2,FALSE)),26,FALSE)</f>
        <v>200</v>
      </c>
      <c r="K887" s="327"/>
      <c r="M887" s="88" t="s">
        <v>73</v>
      </c>
      <c r="N887" s="88" t="str">
        <f ca="1">IF(VLOOKUP($B872,INDIRECT(VLOOKUP($E871,$M$2:$N$20,2,FALSE)),38,FALSE)&gt;0,"Yes","No")</f>
        <v>No</v>
      </c>
    </row>
    <row r="888" spans="1:14" s="1" customFormat="1" ht="12" customHeight="1" x14ac:dyDescent="0.3">
      <c r="A888" s="324" t="str">
        <f ca="1">IF($J884&gt;0,"Other Allowance",IF(VLOOKUP($B872,INDIRECT(VLOOKUP($E871,$M$2:$N$20,2,FALSE)),44,FALSE)=0,"",IF($E871=DATE(2025,6,1),"Arrears of Apr &amp; May-2025","")))</f>
        <v>Other Allowance</v>
      </c>
      <c r="B888" s="325"/>
      <c r="C888" s="326" cm="1">
        <f t="array" aca="1" ref="C888" ca="1">_xlfn.IFS($A888="","",$A888="Other Allowance",VLOOKUP($B872,INDIRECT(VLOOKUP($E871,$M$2:$N$20,2,FALSE)),18,FALSE),$A888="Arrears of Apr &amp; May-2025",VLOOKUP($B872,INDIRECT(VLOOKUP($E871,$M$2:$N$20,2,FALSE)),44,FALSE))</f>
        <v>1800</v>
      </c>
      <c r="D888" s="327"/>
      <c r="E888" s="324" t="str" cm="1">
        <f t="array" aca="1" ref="E888" ca="1">_xlfn.IFS(N887="Yes",M887,N888="Yes",M888,TRUE,"")</f>
        <v/>
      </c>
      <c r="F888" s="325"/>
      <c r="G888" s="325"/>
      <c r="H888" s="325"/>
      <c r="I888" s="325"/>
      <c r="J888" s="335" t="str" cm="1">
        <f t="array" aca="1" ref="J888" ca="1">IF(E888="","",_xlfn.IFS(N887="Yes",VLOOKUP($B872,INDIRECT(VLOOKUP($E871,$M$2:$N$20,2,FALSE)),27,FALSE),N888="Yes",VLOOKUP($B872,INDIRECT(VLOOKUP($E871,$M$2:$N$20,2,FALSE)),28,FALSE)))</f>
        <v/>
      </c>
      <c r="K888" s="336"/>
      <c r="M888" s="88" t="s">
        <v>14</v>
      </c>
      <c r="N888" s="88" t="str">
        <f ca="1">IF(VLOOKUP($B872,INDIRECT(VLOOKUP($E$7,$M$2:$N$20,2,FALSE)),39,FALSE)&gt;0,"Yes","No")</f>
        <v>No</v>
      </c>
    </row>
    <row r="889" spans="1:14" s="1" customFormat="1" ht="12" customHeight="1" x14ac:dyDescent="0.3">
      <c r="A889" s="324" t="str" cm="1">
        <f t="array" aca="1" ref="A889" ca="1">_xlfn.IFS($A888="","",$A888="Other Allowance","EPF",$A888="Arrears of Apr &amp; May-2025","",VLOOKUP($B872,INDIRECT(VLOOKUP($E871,$M$2:$N$20,2,FALSE)),44,FALSE)=0,"",$E871=DATE(2025,6,1),"Arrears of Apr &amp; May-2025")</f>
        <v>EPF</v>
      </c>
      <c r="B889" s="325"/>
      <c r="C889" s="326" cm="1">
        <f t="array" aca="1" ref="C889" ca="1">_xlfn.IFS($A889="","",$A889="EPF",VLOOKUP($B872,INDIRECT(VLOOKUP($E871,$M$2:$N$20,2,FALSE)),19,FALSE),$A889="Arrears of Apr &amp; May-2025",VLOOKUP($B872,INDIRECT(VLOOKUP($E871,$M$2:$N$20,2,FALSE)),44,FALSE))</f>
        <v>1800</v>
      </c>
      <c r="D889" s="327"/>
      <c r="E889" s="324" t="str" cm="1">
        <f t="array" aca="1" ref="E889" ca="1">_xlfn.IFS(N888="No","",N887="Yes",M888,TRUE,"")</f>
        <v/>
      </c>
      <c r="F889" s="325"/>
      <c r="G889" s="325"/>
      <c r="H889" s="325"/>
      <c r="I889" s="325"/>
      <c r="J889" s="335" t="str">
        <f ca="1">IF(E889="","",VLOOKUP($B872,INDIRECT(VLOOKUP($E871,$M$2:$N$20,2,FALSE)),28,FALSE))</f>
        <v/>
      </c>
      <c r="K889" s="336"/>
      <c r="M889" s="130"/>
      <c r="N889" s="88"/>
    </row>
    <row r="890" spans="1:14" s="1" customFormat="1" ht="12" customHeight="1" x14ac:dyDescent="0.3">
      <c r="A890" s="324" t="str">
        <f ca="1">IF($J886&gt;0,"ESIC (Employer)",IF($A889="","",IF(VLOOKUP($B872,INDIRECT(VLOOKUP($E871,$M$2:$N$20,2,FALSE)),44,FALSE)="","",IF($E871=DATE(2025,6,1),"Arrears of Apr &amp; May-2025",""))))</f>
        <v>Arrears of Apr &amp; May-2025</v>
      </c>
      <c r="B890" s="325"/>
      <c r="C890" s="326" cm="1">
        <f t="array" aca="1" ref="C890" ca="1">_xlfn.IFS($A890="","",$A890="ESIC (Employer)",VLOOKUP($B872,INDIRECT(VLOOKUP($E871,$M$2:$N$20,2,FALSE)),20,FALSE),$A890="Arrears of Apr &amp; May-2025",VLOOKUP($B872,INDIRECT(VLOOKUP($E871,$M$2:$N$20,2,FALSE)),44,FALSE))</f>
        <v>3000</v>
      </c>
      <c r="D890" s="327"/>
      <c r="E890" s="324"/>
      <c r="F890" s="325"/>
      <c r="G890" s="325"/>
      <c r="H890" s="325"/>
      <c r="I890" s="325"/>
      <c r="J890" s="335"/>
      <c r="K890" s="336"/>
      <c r="M890" s="88"/>
      <c r="N890" s="88"/>
    </row>
    <row r="891" spans="1:14" s="1" customFormat="1" ht="12" customHeight="1" x14ac:dyDescent="0.3">
      <c r="A891" s="324" t="str">
        <f ca="1">IF($A890="","",IF(VLOOKUP($B872,INDIRECT(VLOOKUP($E871,$M$2:$N$20,2,FALSE)),44,FALSE)=0,"",IF($A890="Arrears of Apr &amp; May-2025","",IF($E871=DATE(2025,6,1),"Arrears of Apr &amp; May-2025",""))))</f>
        <v/>
      </c>
      <c r="B891" s="325"/>
      <c r="C891" s="326" t="str" cm="1">
        <f t="array" aca="1" ref="C891" ca="1">_xlfn.IFS($A891="","",$A891="Arrears of Apr &amp; May-2025",VLOOKUP($B872,INDIRECT(VLOOKUP($E871,$M$2:$N$20,2,FALSE)),44,FALSE))</f>
        <v/>
      </c>
      <c r="D891" s="327"/>
      <c r="E891" s="324"/>
      <c r="F891" s="325"/>
      <c r="G891" s="325"/>
      <c r="H891" s="325"/>
      <c r="I891" s="325"/>
      <c r="J891" s="335"/>
      <c r="K891" s="336"/>
      <c r="M891" s="88"/>
      <c r="N891" s="88"/>
    </row>
    <row r="892" spans="1:14" s="1" customFormat="1" ht="12" customHeight="1" x14ac:dyDescent="0.3">
      <c r="A892" s="324"/>
      <c r="B892" s="325"/>
      <c r="C892" s="326"/>
      <c r="D892" s="327"/>
      <c r="E892" s="124"/>
      <c r="F892" s="124"/>
      <c r="G892" s="124"/>
      <c r="H892" s="124"/>
      <c r="I892" s="124"/>
      <c r="J892" s="335"/>
      <c r="K892" s="336"/>
      <c r="M892" s="88"/>
      <c r="N892" s="88"/>
    </row>
    <row r="893" spans="1:14" s="1" customFormat="1" ht="3" customHeight="1" x14ac:dyDescent="0.3">
      <c r="A893" s="108"/>
      <c r="B893" s="109"/>
      <c r="C893" s="109"/>
      <c r="D893" s="112"/>
      <c r="E893" s="110"/>
      <c r="F893" s="110"/>
      <c r="G893" s="109"/>
      <c r="H893" s="109"/>
      <c r="I893" s="111"/>
      <c r="J893" s="111"/>
      <c r="K893" s="112"/>
      <c r="M893" s="88"/>
      <c r="N893" s="88"/>
    </row>
    <row r="894" spans="1:14" s="1" customFormat="1" ht="3" customHeight="1" x14ac:dyDescent="0.3">
      <c r="A894" s="123"/>
      <c r="B894" s="113"/>
      <c r="C894" s="113"/>
      <c r="D894" s="101"/>
      <c r="E894" s="124"/>
      <c r="F894" s="124"/>
      <c r="G894" s="113"/>
      <c r="H894" s="113"/>
      <c r="I894" s="114"/>
      <c r="J894" s="114"/>
      <c r="K894" s="101"/>
      <c r="M894" s="88"/>
      <c r="N894" s="88"/>
    </row>
    <row r="895" spans="1:14" s="4" customFormat="1" ht="19.95" customHeight="1" x14ac:dyDescent="0.3">
      <c r="A895" s="328" t="s">
        <v>15</v>
      </c>
      <c r="B895" s="329"/>
      <c r="C895" s="330">
        <f ca="1">SUM(C883:D894)</f>
        <v>35500</v>
      </c>
      <c r="D895" s="331"/>
      <c r="E895" s="328" t="s">
        <v>16</v>
      </c>
      <c r="F895" s="329"/>
      <c r="G895" s="329"/>
      <c r="H895" s="329"/>
      <c r="I895" s="329"/>
      <c r="J895" s="330">
        <f ca="1">SUM(J883:K891)</f>
        <v>3800</v>
      </c>
      <c r="K895" s="331"/>
      <c r="M895" s="129"/>
      <c r="N895" s="90"/>
    </row>
    <row r="896" spans="1:14" s="1" customFormat="1" ht="3" customHeight="1" x14ac:dyDescent="0.3">
      <c r="A896" s="108"/>
      <c r="B896" s="109"/>
      <c r="C896" s="109"/>
      <c r="D896" s="112"/>
      <c r="E896" s="110"/>
      <c r="F896" s="110"/>
      <c r="G896" s="109"/>
      <c r="H896" s="109"/>
      <c r="I896" s="111"/>
      <c r="J896" s="111"/>
      <c r="K896" s="112"/>
      <c r="M896" s="88"/>
      <c r="N896" s="88"/>
    </row>
    <row r="897" spans="1:14" s="1" customFormat="1" ht="3" customHeight="1" x14ac:dyDescent="0.3">
      <c r="A897" s="123"/>
      <c r="B897" s="113"/>
      <c r="C897" s="113"/>
      <c r="D897" s="117"/>
      <c r="E897" s="118"/>
      <c r="F897" s="124"/>
      <c r="G897" s="113"/>
      <c r="H897" s="126"/>
      <c r="I897" s="119"/>
      <c r="J897" s="119"/>
      <c r="K897" s="115"/>
      <c r="M897" s="88"/>
      <c r="N897" s="88"/>
    </row>
    <row r="898" spans="1:14" s="5" customFormat="1" ht="19.95" customHeight="1" x14ac:dyDescent="0.3">
      <c r="A898" s="328" t="str" cm="1">
        <f t="array" aca="1" ref="A898" ca="1">mgm(J898)</f>
        <v>Rupees Thirty One Thousand Seven Hundred Only</v>
      </c>
      <c r="B898" s="329"/>
      <c r="C898" s="329"/>
      <c r="D898" s="329"/>
      <c r="E898" s="329"/>
      <c r="F898" s="329"/>
      <c r="G898" s="332"/>
      <c r="H898" s="333" t="s">
        <v>17</v>
      </c>
      <c r="I898" s="334"/>
      <c r="J898" s="330">
        <f ca="1">C895-J895</f>
        <v>31700</v>
      </c>
      <c r="K898" s="331"/>
      <c r="L898" s="205"/>
      <c r="M898" s="90"/>
      <c r="N898" s="90"/>
    </row>
    <row r="899" spans="1:14" s="1" customFormat="1" ht="3" customHeight="1" x14ac:dyDescent="0.3">
      <c r="A899" s="108"/>
      <c r="B899" s="109"/>
      <c r="C899" s="109"/>
      <c r="D899" s="109"/>
      <c r="E899" s="110"/>
      <c r="F899" s="110"/>
      <c r="G899" s="109"/>
      <c r="H899" s="127"/>
      <c r="I899" s="111"/>
      <c r="J899" s="111"/>
      <c r="K899" s="112"/>
      <c r="M899" s="88"/>
      <c r="N899" s="88"/>
    </row>
    <row r="900" spans="1:14" s="1" customFormat="1" ht="19.95" customHeight="1" x14ac:dyDescent="0.3">
      <c r="A900" s="323" t="s">
        <v>18</v>
      </c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M900" s="88"/>
      <c r="N900" s="88"/>
    </row>
    <row r="901" spans="1:14" s="132" customFormat="1" ht="60" customHeight="1" x14ac:dyDescent="0.3">
      <c r="A901" s="181"/>
      <c r="E901" s="181"/>
      <c r="F901" s="181"/>
    </row>
    <row r="902" spans="1:14" s="2" customFormat="1" ht="19.95" customHeight="1" x14ac:dyDescent="0.3">
      <c r="A902" s="338" t="s">
        <v>107</v>
      </c>
      <c r="B902" s="339"/>
      <c r="C902" s="339"/>
      <c r="D902" s="339"/>
      <c r="E902" s="339"/>
      <c r="F902" s="339"/>
      <c r="G902" s="339"/>
      <c r="H902" s="339"/>
      <c r="I902" s="339"/>
      <c r="J902" s="339"/>
      <c r="K902" s="340"/>
      <c r="L902" s="1"/>
      <c r="M902" s="86"/>
      <c r="N902" s="87"/>
    </row>
    <row r="903" spans="1:14" s="2" customFormat="1" ht="15" customHeight="1" x14ac:dyDescent="0.3">
      <c r="A903" s="341" t="s">
        <v>180</v>
      </c>
      <c r="B903" s="342"/>
      <c r="C903" s="342"/>
      <c r="D903" s="342"/>
      <c r="E903" s="342"/>
      <c r="F903" s="342"/>
      <c r="G903" s="342"/>
      <c r="H903" s="342"/>
      <c r="I903" s="342"/>
      <c r="J903" s="342"/>
      <c r="K903" s="343"/>
      <c r="L903" s="1"/>
      <c r="M903" s="86"/>
      <c r="N903" s="88"/>
    </row>
    <row r="904" spans="1:14" s="2" customFormat="1" ht="15" customHeight="1" x14ac:dyDescent="0.3">
      <c r="A904" s="344" t="s">
        <v>72</v>
      </c>
      <c r="B904" s="345"/>
      <c r="C904" s="345"/>
      <c r="D904" s="345"/>
      <c r="E904" s="345"/>
      <c r="F904" s="345"/>
      <c r="G904" s="345"/>
      <c r="H904" s="345"/>
      <c r="I904" s="345"/>
      <c r="J904" s="345"/>
      <c r="K904" s="346"/>
      <c r="L904" s="1"/>
      <c r="M904" s="86"/>
      <c r="N904" s="88"/>
    </row>
    <row r="905" spans="1:14" s="2" customFormat="1" ht="4.95" customHeight="1" x14ac:dyDescent="0.3">
      <c r="A905" s="92"/>
      <c r="B905" s="347"/>
      <c r="C905" s="347"/>
      <c r="D905" s="347"/>
      <c r="E905" s="347"/>
      <c r="F905" s="347"/>
      <c r="G905" s="347"/>
      <c r="H905" s="347"/>
      <c r="I905" s="347"/>
      <c r="J905" s="347"/>
      <c r="K905" s="348"/>
      <c r="L905" s="1"/>
      <c r="M905" s="88"/>
      <c r="N905" s="88"/>
    </row>
    <row r="906" spans="1:14" s="2" customFormat="1" ht="3" customHeight="1" x14ac:dyDescent="0.3">
      <c r="A906" s="93"/>
      <c r="B906" s="94"/>
      <c r="C906" s="94"/>
      <c r="D906" s="94"/>
      <c r="E906" s="95"/>
      <c r="F906" s="95"/>
      <c r="G906" s="94"/>
      <c r="H906" s="94"/>
      <c r="I906" s="94"/>
      <c r="J906" s="94"/>
      <c r="K906" s="96"/>
      <c r="L906" s="1"/>
      <c r="M906" s="88"/>
      <c r="N906" s="88"/>
    </row>
    <row r="907" spans="1:14" s="2" customFormat="1" x14ac:dyDescent="0.3">
      <c r="A907" s="123" t="s">
        <v>68</v>
      </c>
      <c r="B907" s="124" t="str">
        <f ca="1">VLOOKUP($B908,Salary_Master_2,3,FALSE)</f>
        <v>HO067</v>
      </c>
      <c r="C907" s="349" t="s">
        <v>21</v>
      </c>
      <c r="D907" s="349"/>
      <c r="E907" s="350">
        <f>IF($E$1="","",$E$1)</f>
        <v>45809</v>
      </c>
      <c r="F907" s="350"/>
      <c r="G907" s="97" t="s">
        <v>22</v>
      </c>
      <c r="H907" s="98">
        <f ca="1">VLOOKUP($B908,INDIRECT(VLOOKUP($E$7,$M$2:$N$20,2,FALSE)),3,FALSE)</f>
        <v>31</v>
      </c>
      <c r="I907" s="99"/>
      <c r="J907" s="100" t="s">
        <v>27</v>
      </c>
      <c r="K907" s="101"/>
      <c r="L907" s="1"/>
      <c r="M907" s="86"/>
      <c r="N907" s="88"/>
    </row>
    <row r="908" spans="1:14" s="2" customFormat="1" x14ac:dyDescent="0.3">
      <c r="A908" s="123" t="s">
        <v>19</v>
      </c>
      <c r="B908" s="124" t="str">
        <f ca="1">IF(Salary_Master_2!$B$30="","",VLOOKUP(Salary_Master_2!$B$30,INDIRECT(VLOOKUP($E907,$M$2:$N$20,2,FALSE)),1,FALSE))</f>
        <v>Deepu Raj</v>
      </c>
      <c r="C908" s="351" t="s">
        <v>1</v>
      </c>
      <c r="D908" s="351"/>
      <c r="E908" s="352">
        <f ca="1">SUM($H907:$H910)</f>
        <v>31</v>
      </c>
      <c r="F908" s="352"/>
      <c r="G908" s="97" t="s">
        <v>24</v>
      </c>
      <c r="H908" s="102">
        <f ca="1">VLOOKUP($B908,INDIRECT(VLOOKUP($E$7,$M$2:$N$20,2,FALSE)),4,FALSE)</f>
        <v>0</v>
      </c>
      <c r="I908" s="100"/>
      <c r="J908" s="103" t="s">
        <v>28</v>
      </c>
      <c r="K908" s="101">
        <f ca="1">VLOOKUP($B908,INDIRECT(VLOOKUP($E$7,$M$2:$N$20,2,FALSE)),29,FALSE)</f>
        <v>36800</v>
      </c>
      <c r="L908" s="1"/>
      <c r="M908" s="86"/>
      <c r="N908" s="88"/>
    </row>
    <row r="909" spans="1:14" s="2" customFormat="1" x14ac:dyDescent="0.3">
      <c r="A909" s="123" t="s">
        <v>0</v>
      </c>
      <c r="B909" s="124" t="str">
        <f ca="1">VLOOKUP($B908,Salary_Master_2,4,FALSE)</f>
        <v>Sales Engineer</v>
      </c>
      <c r="C909" s="124"/>
      <c r="D909" s="103" t="s">
        <v>70</v>
      </c>
      <c r="E909" s="337" t="str">
        <f ca="1">VLOOKUP($B908,Salary_Master_2,9,FALSE)</f>
        <v>FVFPD2398P</v>
      </c>
      <c r="F909" s="337"/>
      <c r="G909" s="97" t="s">
        <v>25</v>
      </c>
      <c r="H909" s="102">
        <f ca="1">VLOOKUP($B908,INDIRECT(VLOOKUP($E$7,$M$2:$N$20,2,FALSE)),5,FALSE)</f>
        <v>0</v>
      </c>
      <c r="I909" s="97"/>
      <c r="J909" s="103" t="s">
        <v>29</v>
      </c>
      <c r="K909" s="101" t="str">
        <f ca="1">VLOOKUP($B908,INDIRECT(VLOOKUP($E$7,$M$2:$N$20,2,FALSE)),30,FALSE)</f>
        <v>Male</v>
      </c>
      <c r="L909" s="1"/>
      <c r="M909" s="86"/>
      <c r="N909" s="88"/>
    </row>
    <row r="910" spans="1:14" s="2" customFormat="1" x14ac:dyDescent="0.3">
      <c r="A910" s="123" t="s">
        <v>20</v>
      </c>
      <c r="B910" s="124" t="str">
        <f ca="1">VLOOKUP($B908,Salary_Master_2,5,FALSE)</f>
        <v>Sales</v>
      </c>
      <c r="C910" s="124"/>
      <c r="D910" s="103" t="s">
        <v>71</v>
      </c>
      <c r="E910" s="337" t="str">
        <f ca="1">VLOOKUP($B908,Salary_Master_2,10,FALSE)</f>
        <v>NA</v>
      </c>
      <c r="F910" s="337"/>
      <c r="G910" s="97" t="s">
        <v>26</v>
      </c>
      <c r="H910" s="102">
        <f ca="1">VLOOKUP($B908,INDIRECT(VLOOKUP($E$7,$M$2:$N$20,2,FALSE)),6,FALSE)</f>
        <v>0</v>
      </c>
      <c r="I910" s="97"/>
      <c r="J910" s="103" t="s">
        <v>30</v>
      </c>
      <c r="K910" s="101">
        <f ca="1">VLOOKUP($B908,INDIRECT(VLOOKUP($E$7,$M$2:$N$20,2,FALSE)),31,FALSE)</f>
        <v>7</v>
      </c>
      <c r="L910" s="1"/>
      <c r="M910" s="86"/>
      <c r="N910" s="88"/>
    </row>
    <row r="911" spans="1:14" s="2" customFormat="1" x14ac:dyDescent="0.3">
      <c r="A911" s="123" t="s">
        <v>69</v>
      </c>
      <c r="B911" s="124" t="str">
        <f ca="1">VLOOKUP($B908,Salary_Master_2,6,FALSE)</f>
        <v>South</v>
      </c>
      <c r="C911" s="124"/>
      <c r="D911" s="104"/>
      <c r="E911" s="105"/>
      <c r="F911" s="105"/>
      <c r="G911" s="97" t="s">
        <v>23</v>
      </c>
      <c r="H911" s="102">
        <f ca="1">VLOOKUP($B908,INDIRECT(VLOOKUP($E$7,$M$2:$N$20,2,FALSE)),8,FALSE)</f>
        <v>0</v>
      </c>
      <c r="I911" s="97"/>
      <c r="J911" s="125"/>
      <c r="K911" s="101"/>
      <c r="L911" s="1"/>
      <c r="M911" s="86"/>
      <c r="N911" s="88"/>
    </row>
    <row r="912" spans="1:14" s="2" customFormat="1" x14ac:dyDescent="0.3">
      <c r="A912" s="123" t="s">
        <v>32</v>
      </c>
      <c r="B912" s="106">
        <f ca="1">VLOOKUP($B908,Salary_Master_2,7,FALSE)</f>
        <v>45384</v>
      </c>
      <c r="C912" s="106"/>
      <c r="D912" s="104"/>
      <c r="E912" s="105"/>
      <c r="F912" s="105"/>
      <c r="G912" s="97" t="s">
        <v>31</v>
      </c>
      <c r="H912" s="102">
        <f ca="1">VLOOKUP($B908,INDIRECT(VLOOKUP($E$7,$M$2:$N$20,2,FALSE)),9,FALSE)</f>
        <v>0</v>
      </c>
      <c r="I912" s="107"/>
      <c r="J912" s="107"/>
      <c r="K912" s="101"/>
      <c r="L912" s="1"/>
      <c r="M912" s="86"/>
      <c r="N912" s="88"/>
    </row>
    <row r="913" spans="1:14" s="2" customFormat="1" ht="3" customHeight="1" x14ac:dyDescent="0.3">
      <c r="A913" s="108"/>
      <c r="B913" s="109"/>
      <c r="C913" s="109"/>
      <c r="D913" s="109"/>
      <c r="E913" s="110"/>
      <c r="F913" s="110"/>
      <c r="G913" s="109"/>
      <c r="H913" s="109"/>
      <c r="I913" s="111"/>
      <c r="J913" s="111"/>
      <c r="K913" s="112"/>
      <c r="L913" s="1"/>
      <c r="M913" s="88"/>
      <c r="N913" s="88"/>
    </row>
    <row r="914" spans="1:14" s="2" customFormat="1" ht="3" customHeight="1" x14ac:dyDescent="0.3">
      <c r="A914" s="123"/>
      <c r="B914" s="113"/>
      <c r="C914" s="113"/>
      <c r="D914" s="113"/>
      <c r="E914" s="124"/>
      <c r="F914" s="124"/>
      <c r="G914" s="113"/>
      <c r="H914" s="113"/>
      <c r="I914" s="114"/>
      <c r="J914" s="114"/>
      <c r="K914" s="115"/>
      <c r="L914" s="1"/>
      <c r="M914" s="88"/>
      <c r="N914" s="88"/>
    </row>
    <row r="915" spans="1:14" s="1" customFormat="1" ht="3" customHeight="1" x14ac:dyDescent="0.3">
      <c r="A915" s="116"/>
      <c r="B915" s="117"/>
      <c r="C915" s="117"/>
      <c r="D915" s="115"/>
      <c r="E915" s="118"/>
      <c r="F915" s="118"/>
      <c r="G915" s="117"/>
      <c r="H915" s="117"/>
      <c r="I915" s="119"/>
      <c r="J915" s="119"/>
      <c r="K915" s="115"/>
      <c r="M915" s="88"/>
      <c r="N915" s="88"/>
    </row>
    <row r="916" spans="1:14" s="1" customFormat="1" ht="12" customHeight="1" x14ac:dyDescent="0.3">
      <c r="A916" s="120" t="s">
        <v>4</v>
      </c>
      <c r="B916" s="113"/>
      <c r="C916" s="113"/>
      <c r="D916" s="121" t="s">
        <v>5</v>
      </c>
      <c r="E916" s="122" t="s">
        <v>6</v>
      </c>
      <c r="F916" s="122"/>
      <c r="G916" s="113"/>
      <c r="H916" s="113"/>
      <c r="I916" s="113"/>
      <c r="J916" s="113"/>
      <c r="K916" s="121" t="s">
        <v>5</v>
      </c>
      <c r="M916" s="86"/>
      <c r="N916" s="88"/>
    </row>
    <row r="917" spans="1:14" s="1" customFormat="1" ht="3" customHeight="1" x14ac:dyDescent="0.3">
      <c r="A917" s="108"/>
      <c r="B917" s="109"/>
      <c r="C917" s="109"/>
      <c r="D917" s="112"/>
      <c r="E917" s="110"/>
      <c r="F917" s="110"/>
      <c r="G917" s="109"/>
      <c r="H917" s="109"/>
      <c r="I917" s="111"/>
      <c r="J917" s="111"/>
      <c r="K917" s="112"/>
      <c r="M917" s="88"/>
      <c r="N917" s="88"/>
    </row>
    <row r="918" spans="1:14" s="1" customFormat="1" ht="3" customHeight="1" x14ac:dyDescent="0.3">
      <c r="A918" s="123"/>
      <c r="B918" s="113"/>
      <c r="C918" s="113"/>
      <c r="D918" s="101"/>
      <c r="E918" s="124"/>
      <c r="F918" s="124"/>
      <c r="G918" s="113"/>
      <c r="H918" s="113"/>
      <c r="I918" s="114"/>
      <c r="J918" s="114"/>
      <c r="K918" s="101"/>
      <c r="M918" s="88"/>
      <c r="N918" s="88"/>
    </row>
    <row r="919" spans="1:14" s="1" customFormat="1" ht="12" customHeight="1" x14ac:dyDescent="0.3">
      <c r="A919" s="324" t="s">
        <v>7</v>
      </c>
      <c r="B919" s="325"/>
      <c r="C919" s="326">
        <f ca="1">VLOOKUP($B908,INDIRECT(VLOOKUP($E907,$M$2:$N$20,2,FALSE)),13,FALSE)</f>
        <v>15000</v>
      </c>
      <c r="D919" s="327"/>
      <c r="E919" s="324" t="s">
        <v>8</v>
      </c>
      <c r="F919" s="325"/>
      <c r="G919" s="325"/>
      <c r="H919" s="325"/>
      <c r="I919" s="325"/>
      <c r="J919" s="326">
        <f ca="1">VLOOKUP($B908,INDIRECT(VLOOKUP($E907,$M$2:$N$20,2,FALSE)),22,FALSE)</f>
        <v>0</v>
      </c>
      <c r="K919" s="327"/>
      <c r="M919" s="86"/>
      <c r="N919" s="88"/>
    </row>
    <row r="920" spans="1:14" s="1" customFormat="1" ht="12" customHeight="1" x14ac:dyDescent="0.3">
      <c r="A920" s="324" t="s">
        <v>9</v>
      </c>
      <c r="B920" s="325"/>
      <c r="C920" s="326">
        <f ca="1">VLOOKUP($B908,INDIRECT(VLOOKUP($E907,$M$2:$N$20,2,FALSE)),14,FALSE)</f>
        <v>6000</v>
      </c>
      <c r="D920" s="327"/>
      <c r="E920" s="324" t="s">
        <v>94</v>
      </c>
      <c r="F920" s="325"/>
      <c r="G920" s="325"/>
      <c r="H920" s="325"/>
      <c r="I920" s="325"/>
      <c r="J920" s="326">
        <f ca="1">VLOOKUP($B908,INDIRECT(VLOOKUP($E907,$M$2:$N$20,2,FALSE)),23,FALSE)</f>
        <v>0</v>
      </c>
      <c r="K920" s="327"/>
      <c r="M920" s="86"/>
      <c r="N920" s="88"/>
    </row>
    <row r="921" spans="1:14" s="1" customFormat="1" ht="12" customHeight="1" x14ac:dyDescent="0.3">
      <c r="A921" s="324" t="s">
        <v>11</v>
      </c>
      <c r="B921" s="325"/>
      <c r="C921" s="326">
        <f ca="1">VLOOKUP($B908,INDIRECT(VLOOKUP($E907,$M$2:$N$20,2,FALSE)),15,FALSE)</f>
        <v>1600</v>
      </c>
      <c r="D921" s="327"/>
      <c r="E921" s="324" t="s">
        <v>10</v>
      </c>
      <c r="F921" s="325"/>
      <c r="G921" s="325"/>
      <c r="H921" s="325"/>
      <c r="I921" s="325"/>
      <c r="J921" s="326">
        <f ca="1">VLOOKUP($B908,INDIRECT(VLOOKUP($E907,$M$2:$N$20,2,FALSE)),24,FALSE)</f>
        <v>0</v>
      </c>
      <c r="K921" s="327"/>
      <c r="M921" s="87"/>
      <c r="N921" s="86"/>
    </row>
    <row r="922" spans="1:14" s="1" customFormat="1" ht="12" customHeight="1" x14ac:dyDescent="0.3">
      <c r="A922" s="324" t="s">
        <v>3</v>
      </c>
      <c r="B922" s="325"/>
      <c r="C922" s="326">
        <f ca="1">VLOOKUP($B908,INDIRECT(VLOOKUP($E907,$M$2:$N$20,2,FALSE)),16,FALSE)</f>
        <v>1250</v>
      </c>
      <c r="D922" s="327"/>
      <c r="E922" s="324" t="s">
        <v>93</v>
      </c>
      <c r="F922" s="325"/>
      <c r="G922" s="325"/>
      <c r="H922" s="325"/>
      <c r="I922" s="325"/>
      <c r="J922" s="326">
        <f ca="1">VLOOKUP($B908,INDIRECT(VLOOKUP($E907,$M$2:$N$20,2,FALSE)),25,FALSE)</f>
        <v>0</v>
      </c>
      <c r="K922" s="327"/>
      <c r="M922" s="87"/>
      <c r="N922" s="89"/>
    </row>
    <row r="923" spans="1:14" s="1" customFormat="1" ht="12" customHeight="1" x14ac:dyDescent="0.3">
      <c r="A923" s="324" t="s">
        <v>13</v>
      </c>
      <c r="B923" s="325"/>
      <c r="C923" s="326">
        <f ca="1">VLOOKUP($B908,INDIRECT(VLOOKUP($E907,$M$2:$N$20,2,FALSE)),17,FALSE)</f>
        <v>13150</v>
      </c>
      <c r="D923" s="327"/>
      <c r="E923" s="324" t="s">
        <v>12</v>
      </c>
      <c r="F923" s="325"/>
      <c r="G923" s="325"/>
      <c r="H923" s="325"/>
      <c r="I923" s="325"/>
      <c r="J923" s="326">
        <f ca="1">VLOOKUP($B908,INDIRECT(VLOOKUP($E907,$M$2:$N$20,2,FALSE)),26,FALSE)</f>
        <v>200</v>
      </c>
      <c r="K923" s="327"/>
      <c r="M923" s="88" t="s">
        <v>73</v>
      </c>
      <c r="N923" s="88" t="str">
        <f ca="1">IF(VLOOKUP($B908,INDIRECT(VLOOKUP($E907,$M$2:$N$20,2,FALSE)),38,FALSE)&gt;0,"Yes","No")</f>
        <v>No</v>
      </c>
    </row>
    <row r="924" spans="1:14" s="1" customFormat="1" ht="12" customHeight="1" x14ac:dyDescent="0.3">
      <c r="A924" s="324" t="str">
        <f ca="1">IF($J920&gt;0,"Other Allowance",IF(VLOOKUP($B908,INDIRECT(VLOOKUP($E907,$M$2:$N$20,2,FALSE)),44,FALSE)=0,"",IF($E907=DATE(2025,6,1),"Arrears of Apr &amp; May-2025","")))</f>
        <v>Arrears of Apr &amp; May-2025</v>
      </c>
      <c r="B924" s="325"/>
      <c r="C924" s="326" cm="1">
        <f t="array" aca="1" ref="C924" ca="1">_xlfn.IFS($A924="","",$A924="Other Allowance",VLOOKUP($B908,INDIRECT(VLOOKUP($E907,$M$2:$N$20,2,FALSE)),18,FALSE),$A924="Arrears of Apr &amp; May-2025",VLOOKUP($B908,INDIRECT(VLOOKUP($E907,$M$2:$N$20,2,FALSE)),44,FALSE))</f>
        <v>4000</v>
      </c>
      <c r="D924" s="327"/>
      <c r="E924" s="324" t="str" cm="1">
        <f t="array" aca="1" ref="E924" ca="1">_xlfn.IFS(N923="Yes",M923,N924="Yes",M924,TRUE,"")</f>
        <v/>
      </c>
      <c r="F924" s="325"/>
      <c r="G924" s="325"/>
      <c r="H924" s="325"/>
      <c r="I924" s="325"/>
      <c r="J924" s="335" t="str" cm="1">
        <f t="array" aca="1" ref="J924" ca="1">IF(E924="","",_xlfn.IFS(N923="Yes",VLOOKUP($B908,INDIRECT(VLOOKUP($E907,$M$2:$N$20,2,FALSE)),27,FALSE),N924="Yes",VLOOKUP($B908,INDIRECT(VLOOKUP($E907,$M$2:$N$20,2,FALSE)),28,FALSE)))</f>
        <v/>
      </c>
      <c r="K924" s="336"/>
      <c r="M924" s="88" t="s">
        <v>14</v>
      </c>
      <c r="N924" s="88" t="str">
        <f ca="1">IF(VLOOKUP($B908,INDIRECT(VLOOKUP($E$7,$M$2:$N$20,2,FALSE)),39,FALSE)&gt;0,"Yes","No")</f>
        <v>No</v>
      </c>
    </row>
    <row r="925" spans="1:14" s="1" customFormat="1" ht="12" customHeight="1" x14ac:dyDescent="0.3">
      <c r="A925" s="324" t="str" cm="1">
        <f t="array" aca="1" ref="A925" ca="1">_xlfn.IFS($A924="","",$A924="Other Allowance","EPF",$A924="Arrears of Apr &amp; May-2025","",VLOOKUP($B908,INDIRECT(VLOOKUP($E907,$M$2:$N$20,2,FALSE)),44,FALSE)=0,"",$E907=DATE(2025,6,1),"Arrears of Apr &amp; May-2025")</f>
        <v/>
      </c>
      <c r="B925" s="325"/>
      <c r="C925" s="326" t="str" cm="1">
        <f t="array" aca="1" ref="C925" ca="1">_xlfn.IFS($A925="","",$A925="EPF",VLOOKUP($B908,INDIRECT(VLOOKUP($E907,$M$2:$N$20,2,FALSE)),19,FALSE),$A925="Arrears of Apr &amp; May-2025",VLOOKUP($B908,INDIRECT(VLOOKUP($E907,$M$2:$N$20,2,FALSE)),44,FALSE))</f>
        <v/>
      </c>
      <c r="D925" s="327"/>
      <c r="E925" s="324" t="str" cm="1">
        <f t="array" aca="1" ref="E925" ca="1">_xlfn.IFS(N924="No","",N923="Yes",M924,TRUE,"")</f>
        <v/>
      </c>
      <c r="F925" s="325"/>
      <c r="G925" s="325"/>
      <c r="H925" s="325"/>
      <c r="I925" s="325"/>
      <c r="J925" s="335" t="str">
        <f ca="1">IF(E925="","",VLOOKUP($B908,INDIRECT(VLOOKUP($E907,$M$2:$N$20,2,FALSE)),28,FALSE))</f>
        <v/>
      </c>
      <c r="K925" s="336"/>
      <c r="M925" s="130"/>
      <c r="N925" s="88"/>
    </row>
    <row r="926" spans="1:14" s="1" customFormat="1" ht="12" customHeight="1" x14ac:dyDescent="0.3">
      <c r="A926" s="324" t="str">
        <f ca="1">IF($J922&gt;0,"ESIC (Employer)",IF($A925="","",IF(VLOOKUP($B908,INDIRECT(VLOOKUP($E907,$M$2:$N$20,2,FALSE)),44,FALSE)="","",IF($E907=DATE(2025,6,1),"Arrears of Apr &amp; May-2025",""))))</f>
        <v/>
      </c>
      <c r="B926" s="325"/>
      <c r="C926" s="326" t="str" cm="1">
        <f t="array" aca="1" ref="C926" ca="1">_xlfn.IFS($A926="","",$A926="ESIC (Employer)",VLOOKUP($B908,INDIRECT(VLOOKUP($E907,$M$2:$N$20,2,FALSE)),20,FALSE),$A926="Arrears of Apr &amp; May-2025",VLOOKUP($B908,INDIRECT(VLOOKUP($E907,$M$2:$N$20,2,FALSE)),44,FALSE))</f>
        <v/>
      </c>
      <c r="D926" s="327"/>
      <c r="E926" s="324"/>
      <c r="F926" s="325"/>
      <c r="G926" s="325"/>
      <c r="H926" s="325"/>
      <c r="I926" s="325"/>
      <c r="J926" s="335"/>
      <c r="K926" s="336"/>
      <c r="M926" s="88"/>
      <c r="N926" s="88"/>
    </row>
    <row r="927" spans="1:14" s="1" customFormat="1" ht="12" customHeight="1" x14ac:dyDescent="0.3">
      <c r="A927" s="324" t="str">
        <f ca="1">IF($A926="","",IF(VLOOKUP($B908,INDIRECT(VLOOKUP($E907,$M$2:$N$20,2,FALSE)),44,FALSE)=0,"",IF($A926="Arrears of Apr &amp; May-2025","",IF($E907=DATE(2025,6,1),"Arrears of Apr &amp; May-2025",""))))</f>
        <v/>
      </c>
      <c r="B927" s="325"/>
      <c r="C927" s="326" t="str" cm="1">
        <f t="array" aca="1" ref="C927" ca="1">_xlfn.IFS($A927="","",$A927="Arrears of Apr &amp; May-2025",VLOOKUP($B908,INDIRECT(VLOOKUP($E907,$M$2:$N$20,2,FALSE)),44,FALSE))</f>
        <v/>
      </c>
      <c r="D927" s="327"/>
      <c r="E927" s="324"/>
      <c r="F927" s="325"/>
      <c r="G927" s="325"/>
      <c r="H927" s="325"/>
      <c r="I927" s="325"/>
      <c r="J927" s="335"/>
      <c r="K927" s="336"/>
      <c r="M927" s="88"/>
      <c r="N927" s="88"/>
    </row>
    <row r="928" spans="1:14" s="1" customFormat="1" ht="12" customHeight="1" x14ac:dyDescent="0.3">
      <c r="A928" s="324"/>
      <c r="B928" s="325"/>
      <c r="C928" s="326"/>
      <c r="D928" s="327"/>
      <c r="E928" s="124"/>
      <c r="F928" s="124"/>
      <c r="G928" s="124"/>
      <c r="H928" s="124"/>
      <c r="I928" s="124"/>
      <c r="J928" s="335"/>
      <c r="K928" s="336"/>
      <c r="M928" s="88"/>
      <c r="N928" s="88"/>
    </row>
    <row r="929" spans="1:14" s="1" customFormat="1" ht="3" customHeight="1" x14ac:dyDescent="0.3">
      <c r="A929" s="108"/>
      <c r="B929" s="109"/>
      <c r="C929" s="109"/>
      <c r="D929" s="112"/>
      <c r="E929" s="110"/>
      <c r="F929" s="110"/>
      <c r="G929" s="109"/>
      <c r="H929" s="109"/>
      <c r="I929" s="111"/>
      <c r="J929" s="111"/>
      <c r="K929" s="112"/>
      <c r="M929" s="88"/>
      <c r="N929" s="88"/>
    </row>
    <row r="930" spans="1:14" s="1" customFormat="1" ht="3" customHeight="1" x14ac:dyDescent="0.3">
      <c r="A930" s="123"/>
      <c r="B930" s="113"/>
      <c r="C930" s="113"/>
      <c r="D930" s="101"/>
      <c r="E930" s="124"/>
      <c r="F930" s="124"/>
      <c r="G930" s="113"/>
      <c r="H930" s="113"/>
      <c r="I930" s="114"/>
      <c r="J930" s="114"/>
      <c r="K930" s="101"/>
      <c r="M930" s="88"/>
      <c r="N930" s="88"/>
    </row>
    <row r="931" spans="1:14" s="4" customFormat="1" ht="19.95" customHeight="1" x14ac:dyDescent="0.3">
      <c r="A931" s="328" t="s">
        <v>15</v>
      </c>
      <c r="B931" s="329"/>
      <c r="C931" s="330">
        <f ca="1">SUM(C919:D930)</f>
        <v>41000</v>
      </c>
      <c r="D931" s="331"/>
      <c r="E931" s="328" t="s">
        <v>16</v>
      </c>
      <c r="F931" s="329"/>
      <c r="G931" s="329"/>
      <c r="H931" s="329"/>
      <c r="I931" s="329"/>
      <c r="J931" s="330">
        <f ca="1">SUM(J919:K927)</f>
        <v>200</v>
      </c>
      <c r="K931" s="331"/>
      <c r="M931" s="129"/>
      <c r="N931" s="90"/>
    </row>
    <row r="932" spans="1:14" s="1" customFormat="1" ht="3" customHeight="1" x14ac:dyDescent="0.3">
      <c r="A932" s="108"/>
      <c r="B932" s="109"/>
      <c r="C932" s="109"/>
      <c r="D932" s="112"/>
      <c r="E932" s="110"/>
      <c r="F932" s="110"/>
      <c r="G932" s="109"/>
      <c r="H932" s="109"/>
      <c r="I932" s="111"/>
      <c r="J932" s="111"/>
      <c r="K932" s="112"/>
      <c r="M932" s="88"/>
      <c r="N932" s="88"/>
    </row>
    <row r="933" spans="1:14" s="1" customFormat="1" ht="3" customHeight="1" x14ac:dyDescent="0.3">
      <c r="A933" s="123"/>
      <c r="B933" s="113"/>
      <c r="C933" s="113"/>
      <c r="D933" s="117"/>
      <c r="E933" s="118"/>
      <c r="F933" s="124"/>
      <c r="G933" s="113"/>
      <c r="H933" s="126"/>
      <c r="I933" s="119"/>
      <c r="J933" s="119"/>
      <c r="K933" s="115"/>
      <c r="M933" s="88"/>
      <c r="N933" s="88"/>
    </row>
    <row r="934" spans="1:14" s="5" customFormat="1" ht="19.95" customHeight="1" x14ac:dyDescent="0.3">
      <c r="A934" s="328" t="str" cm="1">
        <f t="array" aca="1" ref="A934" ca="1">mgm(J934)</f>
        <v>Rupees Forty Thousand Eight Hundred Only</v>
      </c>
      <c r="B934" s="329"/>
      <c r="C934" s="329"/>
      <c r="D934" s="329"/>
      <c r="E934" s="329"/>
      <c r="F934" s="329"/>
      <c r="G934" s="332"/>
      <c r="H934" s="333" t="s">
        <v>17</v>
      </c>
      <c r="I934" s="334"/>
      <c r="J934" s="330">
        <f ca="1">C931-J931</f>
        <v>40800</v>
      </c>
      <c r="K934" s="331"/>
      <c r="L934" s="205"/>
      <c r="M934" s="90"/>
      <c r="N934" s="90"/>
    </row>
    <row r="935" spans="1:14" s="1" customFormat="1" ht="3" customHeight="1" x14ac:dyDescent="0.3">
      <c r="A935" s="108"/>
      <c r="B935" s="109"/>
      <c r="C935" s="109"/>
      <c r="D935" s="109"/>
      <c r="E935" s="110"/>
      <c r="F935" s="110"/>
      <c r="G935" s="109"/>
      <c r="H935" s="127"/>
      <c r="I935" s="111"/>
      <c r="J935" s="111"/>
      <c r="K935" s="112"/>
      <c r="M935" s="88"/>
      <c r="N935" s="88"/>
    </row>
    <row r="936" spans="1:14" s="1" customFormat="1" ht="19.95" customHeight="1" x14ac:dyDescent="0.3">
      <c r="A936" s="323" t="s">
        <v>18</v>
      </c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M936" s="88"/>
      <c r="N936" s="88"/>
    </row>
    <row r="937" spans="1:14" s="132" customFormat="1" ht="60" customHeight="1" x14ac:dyDescent="0.3">
      <c r="A937" s="181"/>
      <c r="E937" s="181"/>
      <c r="F937" s="181"/>
    </row>
    <row r="938" spans="1:14" s="2" customFormat="1" ht="19.95" customHeight="1" x14ac:dyDescent="0.3">
      <c r="A938" s="338" t="s">
        <v>107</v>
      </c>
      <c r="B938" s="339"/>
      <c r="C938" s="339"/>
      <c r="D938" s="339"/>
      <c r="E938" s="339"/>
      <c r="F938" s="339"/>
      <c r="G938" s="339"/>
      <c r="H938" s="339"/>
      <c r="I938" s="339"/>
      <c r="J938" s="339"/>
      <c r="K938" s="340"/>
      <c r="L938" s="1"/>
      <c r="M938" s="86"/>
      <c r="N938" s="87"/>
    </row>
    <row r="939" spans="1:14" s="2" customFormat="1" ht="15" customHeight="1" x14ac:dyDescent="0.3">
      <c r="A939" s="341" t="s">
        <v>180</v>
      </c>
      <c r="B939" s="342"/>
      <c r="C939" s="342"/>
      <c r="D939" s="342"/>
      <c r="E939" s="342"/>
      <c r="F939" s="342"/>
      <c r="G939" s="342"/>
      <c r="H939" s="342"/>
      <c r="I939" s="342"/>
      <c r="J939" s="342"/>
      <c r="K939" s="343"/>
      <c r="L939" s="1"/>
      <c r="M939" s="86"/>
      <c r="N939" s="88"/>
    </row>
    <row r="940" spans="1:14" s="2" customFormat="1" ht="15" customHeight="1" x14ac:dyDescent="0.3">
      <c r="A940" s="344" t="s">
        <v>72</v>
      </c>
      <c r="B940" s="345"/>
      <c r="C940" s="345"/>
      <c r="D940" s="345"/>
      <c r="E940" s="345"/>
      <c r="F940" s="345"/>
      <c r="G940" s="345"/>
      <c r="H940" s="345"/>
      <c r="I940" s="345"/>
      <c r="J940" s="345"/>
      <c r="K940" s="346"/>
      <c r="L940" s="1"/>
      <c r="M940" s="86"/>
      <c r="N940" s="88"/>
    </row>
    <row r="941" spans="1:14" s="2" customFormat="1" ht="4.95" customHeight="1" x14ac:dyDescent="0.3">
      <c r="A941" s="92"/>
      <c r="B941" s="347"/>
      <c r="C941" s="347"/>
      <c r="D941" s="347"/>
      <c r="E941" s="347"/>
      <c r="F941" s="347"/>
      <c r="G941" s="347"/>
      <c r="H941" s="347"/>
      <c r="I941" s="347"/>
      <c r="J941" s="347"/>
      <c r="K941" s="348"/>
      <c r="L941" s="1"/>
      <c r="M941" s="88"/>
      <c r="N941" s="88"/>
    </row>
    <row r="942" spans="1:14" s="2" customFormat="1" ht="3" customHeight="1" x14ac:dyDescent="0.3">
      <c r="A942" s="93"/>
      <c r="B942" s="94"/>
      <c r="C942" s="94"/>
      <c r="D942" s="94"/>
      <c r="E942" s="95"/>
      <c r="F942" s="95"/>
      <c r="G942" s="94"/>
      <c r="H942" s="94"/>
      <c r="I942" s="94"/>
      <c r="J942" s="94"/>
      <c r="K942" s="96"/>
      <c r="L942" s="1"/>
      <c r="M942" s="88"/>
      <c r="N942" s="88"/>
    </row>
    <row r="943" spans="1:14" s="2" customFormat="1" x14ac:dyDescent="0.3">
      <c r="A943" s="123" t="s">
        <v>68</v>
      </c>
      <c r="B943" s="124" t="str">
        <f ca="1">VLOOKUP($B944,Salary_Master_2,3,FALSE)</f>
        <v xml:space="preserve">EW </v>
      </c>
      <c r="C943" s="349" t="s">
        <v>21</v>
      </c>
      <c r="D943" s="349"/>
      <c r="E943" s="350">
        <f>IF($E$1="","",$E$1)</f>
        <v>45809</v>
      </c>
      <c r="F943" s="350"/>
      <c r="G943" s="97" t="s">
        <v>22</v>
      </c>
      <c r="H943" s="98">
        <f ca="1">VLOOKUP($B944,INDIRECT(VLOOKUP($E$7,$M$2:$N$20,2,FALSE)),3,FALSE)</f>
        <v>30</v>
      </c>
      <c r="I943" s="99"/>
      <c r="J943" s="100" t="s">
        <v>27</v>
      </c>
      <c r="K943" s="101"/>
      <c r="L943" s="1"/>
      <c r="M943" s="86"/>
      <c r="N943" s="88"/>
    </row>
    <row r="944" spans="1:14" s="2" customFormat="1" x14ac:dyDescent="0.3">
      <c r="A944" s="123" t="s">
        <v>19</v>
      </c>
      <c r="B944" s="124" t="str">
        <f ca="1">IF(Salary_Master_2!$B$31="","",VLOOKUP(Salary_Master_2!$B$31,INDIRECT(VLOOKUP($E943,$M$2:$N$20,2,FALSE)),1,FALSE))</f>
        <v xml:space="preserve">Vicky Kumar </v>
      </c>
      <c r="C944" s="351" t="s">
        <v>1</v>
      </c>
      <c r="D944" s="351"/>
      <c r="E944" s="352">
        <f ca="1">SUM($H943:$H946)</f>
        <v>31</v>
      </c>
      <c r="F944" s="352"/>
      <c r="G944" s="97" t="s">
        <v>24</v>
      </c>
      <c r="H944" s="102">
        <f ca="1">VLOOKUP($B944,INDIRECT(VLOOKUP($E$7,$M$2:$N$20,2,FALSE)),4,FALSE)</f>
        <v>1</v>
      </c>
      <c r="I944" s="100"/>
      <c r="J944" s="103" t="s">
        <v>28</v>
      </c>
      <c r="K944" s="101">
        <f ca="1">VLOOKUP($B944,INDIRECT(VLOOKUP($E$7,$M$2:$N$20,2,FALSE)),29,FALSE)</f>
        <v>21200</v>
      </c>
      <c r="L944" s="1"/>
      <c r="M944" s="86"/>
      <c r="N944" s="88"/>
    </row>
    <row r="945" spans="1:14" s="2" customFormat="1" x14ac:dyDescent="0.3">
      <c r="A945" s="123" t="s">
        <v>0</v>
      </c>
      <c r="B945" s="124" t="str">
        <f ca="1">VLOOKUP($B944,Salary_Master_2,4,FALSE)</f>
        <v xml:space="preserve">Fitter </v>
      </c>
      <c r="C945" s="124"/>
      <c r="D945" s="103" t="s">
        <v>70</v>
      </c>
      <c r="E945" s="337">
        <f ca="1">VLOOKUP($B944,Salary_Master_2,9,FALSE)</f>
        <v>102077286251</v>
      </c>
      <c r="F945" s="337"/>
      <c r="G945" s="97" t="s">
        <v>25</v>
      </c>
      <c r="H945" s="102">
        <f ca="1">VLOOKUP($B944,INDIRECT(VLOOKUP($E$7,$M$2:$N$20,2,FALSE)),5,FALSE)</f>
        <v>0</v>
      </c>
      <c r="I945" s="97"/>
      <c r="J945" s="103" t="s">
        <v>29</v>
      </c>
      <c r="K945" s="101" t="str">
        <f ca="1">VLOOKUP($B944,INDIRECT(VLOOKUP($E$7,$M$2:$N$20,2,FALSE)),30,FALSE)</f>
        <v>Male</v>
      </c>
      <c r="L945" s="1"/>
      <c r="M945" s="86"/>
      <c r="N945" s="88"/>
    </row>
    <row r="946" spans="1:14" s="2" customFormat="1" x14ac:dyDescent="0.3">
      <c r="A946" s="123" t="s">
        <v>20</v>
      </c>
      <c r="B946" s="124" t="str">
        <f ca="1">VLOOKUP($B944,Salary_Master_2,5,FALSE)</f>
        <v>Production</v>
      </c>
      <c r="C946" s="124"/>
      <c r="D946" s="103" t="s">
        <v>71</v>
      </c>
      <c r="E946" s="337" t="str">
        <f ca="1">VLOOKUP($B944,Salary_Master_2,10,FALSE)</f>
        <v>NA</v>
      </c>
      <c r="F946" s="337"/>
      <c r="G946" s="97" t="s">
        <v>26</v>
      </c>
      <c r="H946" s="102">
        <f ca="1">VLOOKUP($B944,INDIRECT(VLOOKUP($E$7,$M$2:$N$20,2,FALSE)),6,FALSE)</f>
        <v>0</v>
      </c>
      <c r="I946" s="97"/>
      <c r="J946" s="103" t="s">
        <v>30</v>
      </c>
      <c r="K946" s="101">
        <f ca="1">VLOOKUP($B944,INDIRECT(VLOOKUP($E$7,$M$2:$N$20,2,FALSE)),31,FALSE)</f>
        <v>5</v>
      </c>
      <c r="L946" s="1"/>
      <c r="M946" s="86"/>
      <c r="N946" s="88"/>
    </row>
    <row r="947" spans="1:14" s="2" customFormat="1" x14ac:dyDescent="0.3">
      <c r="A947" s="123" t="s">
        <v>69</v>
      </c>
      <c r="B947" s="124" t="str">
        <f ca="1">VLOOKUP($B944,Salary_Master_2,6,FALSE)</f>
        <v>Ansa Factory</v>
      </c>
      <c r="C947" s="124"/>
      <c r="D947" s="104"/>
      <c r="E947" s="105"/>
      <c r="F947" s="105"/>
      <c r="G947" s="97" t="s">
        <v>23</v>
      </c>
      <c r="H947" s="102">
        <f ca="1">VLOOKUP($B944,INDIRECT(VLOOKUP($E$7,$M$2:$N$20,2,FALSE)),8,FALSE)</f>
        <v>0</v>
      </c>
      <c r="I947" s="97"/>
      <c r="J947" s="125"/>
      <c r="K947" s="101"/>
      <c r="L947" s="1"/>
      <c r="M947" s="86"/>
      <c r="N947" s="88"/>
    </row>
    <row r="948" spans="1:14" s="2" customFormat="1" x14ac:dyDescent="0.3">
      <c r="A948" s="123" t="s">
        <v>32</v>
      </c>
      <c r="B948" s="106">
        <f ca="1">VLOOKUP($B944,Salary_Master_2,7,FALSE)</f>
        <v>45444</v>
      </c>
      <c r="C948" s="106"/>
      <c r="D948" s="104"/>
      <c r="E948" s="105"/>
      <c r="F948" s="105"/>
      <c r="G948" s="97" t="s">
        <v>31</v>
      </c>
      <c r="H948" s="102">
        <f ca="1">VLOOKUP($B944,INDIRECT(VLOOKUP($E$7,$M$2:$N$20,2,FALSE)),9,FALSE)</f>
        <v>0</v>
      </c>
      <c r="I948" s="107"/>
      <c r="J948" s="107"/>
      <c r="K948" s="101"/>
      <c r="L948" s="1"/>
      <c r="M948" s="86"/>
      <c r="N948" s="88"/>
    </row>
    <row r="949" spans="1:14" s="2" customFormat="1" ht="3" customHeight="1" x14ac:dyDescent="0.3">
      <c r="A949" s="108"/>
      <c r="B949" s="109"/>
      <c r="C949" s="109"/>
      <c r="D949" s="109"/>
      <c r="E949" s="110"/>
      <c r="F949" s="110"/>
      <c r="G949" s="109"/>
      <c r="H949" s="109"/>
      <c r="I949" s="111"/>
      <c r="J949" s="111"/>
      <c r="K949" s="112"/>
      <c r="L949" s="1"/>
      <c r="M949" s="88"/>
      <c r="N949" s="88"/>
    </row>
    <row r="950" spans="1:14" s="2" customFormat="1" ht="3" customHeight="1" x14ac:dyDescent="0.3">
      <c r="A950" s="123"/>
      <c r="B950" s="113"/>
      <c r="C950" s="113"/>
      <c r="D950" s="113"/>
      <c r="E950" s="124"/>
      <c r="F950" s="124"/>
      <c r="G950" s="113"/>
      <c r="H950" s="113"/>
      <c r="I950" s="114"/>
      <c r="J950" s="114"/>
      <c r="K950" s="115"/>
      <c r="L950" s="1"/>
      <c r="M950" s="88"/>
      <c r="N950" s="88"/>
    </row>
    <row r="951" spans="1:14" s="1" customFormat="1" ht="3" customHeight="1" x14ac:dyDescent="0.3">
      <c r="A951" s="116"/>
      <c r="B951" s="117"/>
      <c r="C951" s="117"/>
      <c r="D951" s="115"/>
      <c r="E951" s="118"/>
      <c r="F951" s="118"/>
      <c r="G951" s="117"/>
      <c r="H951" s="117"/>
      <c r="I951" s="119"/>
      <c r="J951" s="119"/>
      <c r="K951" s="115"/>
      <c r="M951" s="88"/>
      <c r="N951" s="88"/>
    </row>
    <row r="952" spans="1:14" s="1" customFormat="1" ht="12" customHeight="1" x14ac:dyDescent="0.3">
      <c r="A952" s="120" t="s">
        <v>4</v>
      </c>
      <c r="B952" s="113"/>
      <c r="C952" s="113"/>
      <c r="D952" s="121" t="s">
        <v>5</v>
      </c>
      <c r="E952" s="122" t="s">
        <v>6</v>
      </c>
      <c r="F952" s="122"/>
      <c r="G952" s="113"/>
      <c r="H952" s="113"/>
      <c r="I952" s="113"/>
      <c r="J952" s="113"/>
      <c r="K952" s="121" t="s">
        <v>5</v>
      </c>
      <c r="M952" s="86"/>
      <c r="N952" s="88"/>
    </row>
    <row r="953" spans="1:14" s="1" customFormat="1" ht="3" customHeight="1" x14ac:dyDescent="0.3">
      <c r="A953" s="108"/>
      <c r="B953" s="109"/>
      <c r="C953" s="109"/>
      <c r="D953" s="112"/>
      <c r="E953" s="110"/>
      <c r="F953" s="110"/>
      <c r="G953" s="109"/>
      <c r="H953" s="109"/>
      <c r="I953" s="111"/>
      <c r="J953" s="111"/>
      <c r="K953" s="112"/>
      <c r="M953" s="88"/>
      <c r="N953" s="88"/>
    </row>
    <row r="954" spans="1:14" s="1" customFormat="1" ht="3" customHeight="1" x14ac:dyDescent="0.3">
      <c r="A954" s="123"/>
      <c r="B954" s="113"/>
      <c r="C954" s="113"/>
      <c r="D954" s="101"/>
      <c r="E954" s="124"/>
      <c r="F954" s="124"/>
      <c r="G954" s="113"/>
      <c r="H954" s="113"/>
      <c r="I954" s="114"/>
      <c r="J954" s="114"/>
      <c r="K954" s="101"/>
      <c r="M954" s="88"/>
      <c r="N954" s="88"/>
    </row>
    <row r="955" spans="1:14" s="1" customFormat="1" ht="12" customHeight="1" x14ac:dyDescent="0.3">
      <c r="A955" s="324" t="s">
        <v>7</v>
      </c>
      <c r="B955" s="325"/>
      <c r="C955" s="326">
        <f ca="1">VLOOKUP($B944,INDIRECT(VLOOKUP($E943,$M$2:$N$20,2,FALSE)),13,FALSE)</f>
        <v>10000</v>
      </c>
      <c r="D955" s="327"/>
      <c r="E955" s="324" t="s">
        <v>8</v>
      </c>
      <c r="F955" s="325"/>
      <c r="G955" s="325"/>
      <c r="H955" s="325"/>
      <c r="I955" s="325"/>
      <c r="J955" s="326">
        <f ca="1">VLOOKUP($B944,INDIRECT(VLOOKUP($E943,$M$2:$N$20,2,FALSE)),22,FALSE)</f>
        <v>1800</v>
      </c>
      <c r="K955" s="327"/>
      <c r="M955" s="86"/>
      <c r="N955" s="88"/>
    </row>
    <row r="956" spans="1:14" s="1" customFormat="1" ht="12" customHeight="1" x14ac:dyDescent="0.3">
      <c r="A956" s="324" t="s">
        <v>9</v>
      </c>
      <c r="B956" s="325"/>
      <c r="C956" s="326">
        <f ca="1">VLOOKUP($B944,INDIRECT(VLOOKUP($E943,$M$2:$N$20,2,FALSE)),14,FALSE)</f>
        <v>2000</v>
      </c>
      <c r="D956" s="327"/>
      <c r="E956" s="324" t="s">
        <v>94</v>
      </c>
      <c r="F956" s="325"/>
      <c r="G956" s="325"/>
      <c r="H956" s="325"/>
      <c r="I956" s="325"/>
      <c r="J956" s="326">
        <f ca="1">VLOOKUP($B944,INDIRECT(VLOOKUP($E943,$M$2:$N$20,2,FALSE)),23,FALSE)</f>
        <v>1800</v>
      </c>
      <c r="K956" s="327"/>
      <c r="M956" s="86"/>
      <c r="N956" s="88"/>
    </row>
    <row r="957" spans="1:14" s="1" customFormat="1" ht="12" customHeight="1" x14ac:dyDescent="0.3">
      <c r="A957" s="324" t="s">
        <v>11</v>
      </c>
      <c r="B957" s="325"/>
      <c r="C957" s="326">
        <f ca="1">VLOOKUP($B944,INDIRECT(VLOOKUP($E943,$M$2:$N$20,2,FALSE)),15,FALSE)</f>
        <v>1600</v>
      </c>
      <c r="D957" s="327"/>
      <c r="E957" s="324" t="s">
        <v>10</v>
      </c>
      <c r="F957" s="325"/>
      <c r="G957" s="325"/>
      <c r="H957" s="325"/>
      <c r="I957" s="325"/>
      <c r="J957" s="326">
        <f ca="1">VLOOKUP($B944,INDIRECT(VLOOKUP($E943,$M$2:$N$20,2,FALSE)),24,FALSE)</f>
        <v>0</v>
      </c>
      <c r="K957" s="327"/>
      <c r="M957" s="87"/>
      <c r="N957" s="86"/>
    </row>
    <row r="958" spans="1:14" s="1" customFormat="1" ht="12" customHeight="1" x14ac:dyDescent="0.3">
      <c r="A958" s="324" t="s">
        <v>3</v>
      </c>
      <c r="B958" s="325"/>
      <c r="C958" s="326">
        <f ca="1">VLOOKUP($B944,INDIRECT(VLOOKUP($E943,$M$2:$N$20,2,FALSE)),16,FALSE)</f>
        <v>833</v>
      </c>
      <c r="D958" s="327"/>
      <c r="E958" s="324" t="s">
        <v>93</v>
      </c>
      <c r="F958" s="325"/>
      <c r="G958" s="325"/>
      <c r="H958" s="325"/>
      <c r="I958" s="325"/>
      <c r="J958" s="326">
        <f ca="1">VLOOKUP($B944,INDIRECT(VLOOKUP($E943,$M$2:$N$20,2,FALSE)),25,FALSE)</f>
        <v>0</v>
      </c>
      <c r="K958" s="327"/>
      <c r="M958" s="87"/>
      <c r="N958" s="89"/>
    </row>
    <row r="959" spans="1:14" s="1" customFormat="1" ht="12" customHeight="1" x14ac:dyDescent="0.3">
      <c r="A959" s="324" t="s">
        <v>13</v>
      </c>
      <c r="B959" s="325"/>
      <c r="C959" s="326">
        <f ca="1">VLOOKUP($B944,INDIRECT(VLOOKUP($E943,$M$2:$N$20,2,FALSE)),17,FALSE)</f>
        <v>6967</v>
      </c>
      <c r="D959" s="327"/>
      <c r="E959" s="324" t="s">
        <v>12</v>
      </c>
      <c r="F959" s="325"/>
      <c r="G959" s="325"/>
      <c r="H959" s="325"/>
      <c r="I959" s="325"/>
      <c r="J959" s="326">
        <f ca="1">VLOOKUP($B944,INDIRECT(VLOOKUP($E943,$M$2:$N$20,2,FALSE)),26,FALSE)</f>
        <v>200</v>
      </c>
      <c r="K959" s="327"/>
      <c r="M959" s="88" t="s">
        <v>73</v>
      </c>
      <c r="N959" s="88" t="str">
        <f ca="1">IF(VLOOKUP($B944,INDIRECT(VLOOKUP($E943,$M$2:$N$20,2,FALSE)),38,FALSE)&gt;0,"Yes","No")</f>
        <v>No</v>
      </c>
    </row>
    <row r="960" spans="1:14" s="1" customFormat="1" ht="12" customHeight="1" x14ac:dyDescent="0.3">
      <c r="A960" s="324" t="str">
        <f ca="1">IF($J956&gt;0,"Other Allowance",IF(VLOOKUP($B944,INDIRECT(VLOOKUP($E943,$M$2:$N$20,2,FALSE)),44,FALSE)=0,"",IF($E943=DATE(2025,6,1),"Arrears of Apr &amp; May-2025","")))</f>
        <v>Other Allowance</v>
      </c>
      <c r="B960" s="325"/>
      <c r="C960" s="326" cm="1">
        <f t="array" aca="1" ref="C960" ca="1">_xlfn.IFS($A960="","",$A960="Other Allowance",VLOOKUP($B944,INDIRECT(VLOOKUP($E943,$M$2:$N$20,2,FALSE)),18,FALSE),$A960="Arrears of Apr &amp; May-2025",VLOOKUP($B944,INDIRECT(VLOOKUP($E943,$M$2:$N$20,2,FALSE)),44,FALSE))</f>
        <v>1800</v>
      </c>
      <c r="D960" s="327"/>
      <c r="E960" s="324" t="str" cm="1">
        <f t="array" aca="1" ref="E960" ca="1">_xlfn.IFS(N959="Yes",M959,N960="Yes",M960,TRUE,"")</f>
        <v/>
      </c>
      <c r="F960" s="325"/>
      <c r="G960" s="325"/>
      <c r="H960" s="325"/>
      <c r="I960" s="325"/>
      <c r="J960" s="335" t="str" cm="1">
        <f t="array" aca="1" ref="J960" ca="1">IF(E960="","",_xlfn.IFS(N959="Yes",VLOOKUP($B944,INDIRECT(VLOOKUP($E943,$M$2:$N$20,2,FALSE)),27,FALSE),N960="Yes",VLOOKUP($B944,INDIRECT(VLOOKUP($E943,$M$2:$N$20,2,FALSE)),28,FALSE)))</f>
        <v/>
      </c>
      <c r="K960" s="336"/>
      <c r="M960" s="88" t="s">
        <v>14</v>
      </c>
      <c r="N960" s="88" t="str">
        <f ca="1">IF(VLOOKUP($B944,INDIRECT(VLOOKUP($E$7,$M$2:$N$20,2,FALSE)),39,FALSE)&gt;0,"Yes","No")</f>
        <v>No</v>
      </c>
    </row>
    <row r="961" spans="1:14" s="1" customFormat="1" ht="12" customHeight="1" x14ac:dyDescent="0.3">
      <c r="A961" s="324" t="str" cm="1">
        <f t="array" aca="1" ref="A961" ca="1">_xlfn.IFS($A960="","",$A960="Other Allowance","EPF",$A960="Arrears of Apr &amp; May-2025","",VLOOKUP($B944,INDIRECT(VLOOKUP($E943,$M$2:$N$20,2,FALSE)),44,FALSE)=0,"",$E943=DATE(2025,6,1),"Arrears of Apr &amp; May-2025")</f>
        <v>EPF</v>
      </c>
      <c r="B961" s="325"/>
      <c r="C961" s="326" cm="1">
        <f t="array" aca="1" ref="C961" ca="1">_xlfn.IFS($A961="","",$A961="EPF",VLOOKUP($B944,INDIRECT(VLOOKUP($E943,$M$2:$N$20,2,FALSE)),19,FALSE),$A961="Arrears of Apr &amp; May-2025",VLOOKUP($B944,INDIRECT(VLOOKUP($E943,$M$2:$N$20,2,FALSE)),44,FALSE))</f>
        <v>1800</v>
      </c>
      <c r="D961" s="327"/>
      <c r="E961" s="324" t="str" cm="1">
        <f t="array" aca="1" ref="E961" ca="1">_xlfn.IFS(N960="No","",N959="Yes",M960,TRUE,"")</f>
        <v/>
      </c>
      <c r="F961" s="325"/>
      <c r="G961" s="325"/>
      <c r="H961" s="325"/>
      <c r="I961" s="325"/>
      <c r="J961" s="335" t="str">
        <f ca="1">IF(E961="","",VLOOKUP($B944,INDIRECT(VLOOKUP($E943,$M$2:$N$20,2,FALSE)),28,FALSE))</f>
        <v/>
      </c>
      <c r="K961" s="336"/>
      <c r="M961" s="130"/>
      <c r="N961" s="88"/>
    </row>
    <row r="962" spans="1:14" s="1" customFormat="1" ht="12" customHeight="1" x14ac:dyDescent="0.3">
      <c r="A962" s="324" t="str">
        <f ca="1">IF($J958&gt;0,"ESIC (Employer)",IF($A961="","",IF(VLOOKUP($B944,INDIRECT(VLOOKUP($E943,$M$2:$N$20,2,FALSE)),44,FALSE)="","",IF($E943=DATE(2025,6,1),"Arrears of Apr &amp; May-2025",""))))</f>
        <v>Arrears of Apr &amp; May-2025</v>
      </c>
      <c r="B962" s="325"/>
      <c r="C962" s="326" cm="1">
        <f t="array" aca="1" ref="C962" ca="1">_xlfn.IFS($A962="","",$A962="ESIC (Employer)",VLOOKUP($B944,INDIRECT(VLOOKUP($E943,$M$2:$N$20,2,FALSE)),20,FALSE),$A962="Arrears of Apr &amp; May-2025",VLOOKUP($B944,INDIRECT(VLOOKUP($E943,$M$2:$N$20,2,FALSE)),44,FALSE))</f>
        <v>4000</v>
      </c>
      <c r="D962" s="327"/>
      <c r="E962" s="324"/>
      <c r="F962" s="325"/>
      <c r="G962" s="325"/>
      <c r="H962" s="325"/>
      <c r="I962" s="325"/>
      <c r="J962" s="335"/>
      <c r="K962" s="336"/>
      <c r="M962" s="88"/>
      <c r="N962" s="88"/>
    </row>
    <row r="963" spans="1:14" s="1" customFormat="1" ht="12" customHeight="1" x14ac:dyDescent="0.3">
      <c r="A963" s="324" t="str">
        <f ca="1">IF($A962="","",IF(VLOOKUP($B944,INDIRECT(VLOOKUP($E943,$M$2:$N$20,2,FALSE)),44,FALSE)=0,"",IF($A962="Arrears of Apr &amp; May-2025","",IF($E943=DATE(2025,6,1),"Arrears of Apr &amp; May-2025",""))))</f>
        <v/>
      </c>
      <c r="B963" s="325"/>
      <c r="C963" s="326" t="str" cm="1">
        <f t="array" aca="1" ref="C963" ca="1">_xlfn.IFS($A963="","",$A963="Arrears of Apr &amp; May-2025",VLOOKUP($B944,INDIRECT(VLOOKUP($E943,$M$2:$N$20,2,FALSE)),44,FALSE))</f>
        <v/>
      </c>
      <c r="D963" s="327"/>
      <c r="E963" s="324"/>
      <c r="F963" s="325"/>
      <c r="G963" s="325"/>
      <c r="H963" s="325"/>
      <c r="I963" s="325"/>
      <c r="J963" s="335"/>
      <c r="K963" s="336"/>
      <c r="M963" s="88"/>
      <c r="N963" s="88"/>
    </row>
    <row r="964" spans="1:14" s="1" customFormat="1" ht="12" customHeight="1" x14ac:dyDescent="0.3">
      <c r="A964" s="324"/>
      <c r="B964" s="325"/>
      <c r="C964" s="326"/>
      <c r="D964" s="327"/>
      <c r="E964" s="124"/>
      <c r="F964" s="124"/>
      <c r="G964" s="124"/>
      <c r="H964" s="124"/>
      <c r="I964" s="124"/>
      <c r="J964" s="335"/>
      <c r="K964" s="336"/>
      <c r="M964" s="88"/>
      <c r="N964" s="88"/>
    </row>
    <row r="965" spans="1:14" s="1" customFormat="1" ht="3" customHeight="1" x14ac:dyDescent="0.3">
      <c r="A965" s="108"/>
      <c r="B965" s="109"/>
      <c r="C965" s="109"/>
      <c r="D965" s="112"/>
      <c r="E965" s="110"/>
      <c r="F965" s="110"/>
      <c r="G965" s="109"/>
      <c r="H965" s="109"/>
      <c r="I965" s="111"/>
      <c r="J965" s="111"/>
      <c r="K965" s="112"/>
      <c r="M965" s="88"/>
      <c r="N965" s="88"/>
    </row>
    <row r="966" spans="1:14" s="1" customFormat="1" ht="3" customHeight="1" x14ac:dyDescent="0.3">
      <c r="A966" s="123"/>
      <c r="B966" s="113"/>
      <c r="C966" s="113"/>
      <c r="D966" s="101"/>
      <c r="E966" s="124"/>
      <c r="F966" s="124"/>
      <c r="G966" s="113"/>
      <c r="H966" s="113"/>
      <c r="I966" s="114"/>
      <c r="J966" s="114"/>
      <c r="K966" s="101"/>
      <c r="M966" s="88"/>
      <c r="N966" s="88"/>
    </row>
    <row r="967" spans="1:14" s="4" customFormat="1" ht="19.95" customHeight="1" x14ac:dyDescent="0.3">
      <c r="A967" s="328" t="s">
        <v>15</v>
      </c>
      <c r="B967" s="329"/>
      <c r="C967" s="330">
        <f ca="1">SUM(C955:D966)</f>
        <v>29000</v>
      </c>
      <c r="D967" s="331"/>
      <c r="E967" s="328" t="s">
        <v>16</v>
      </c>
      <c r="F967" s="329"/>
      <c r="G967" s="329"/>
      <c r="H967" s="329"/>
      <c r="I967" s="329"/>
      <c r="J967" s="330">
        <f ca="1">SUM(J955:K963)</f>
        <v>3800</v>
      </c>
      <c r="K967" s="331"/>
      <c r="M967" s="129"/>
      <c r="N967" s="90"/>
    </row>
    <row r="968" spans="1:14" s="1" customFormat="1" ht="3" customHeight="1" x14ac:dyDescent="0.3">
      <c r="A968" s="108"/>
      <c r="B968" s="109"/>
      <c r="C968" s="109"/>
      <c r="D968" s="112"/>
      <c r="E968" s="110"/>
      <c r="F968" s="110"/>
      <c r="G968" s="109"/>
      <c r="H968" s="109"/>
      <c r="I968" s="111"/>
      <c r="J968" s="111"/>
      <c r="K968" s="112"/>
      <c r="M968" s="88"/>
      <c r="N968" s="88"/>
    </row>
    <row r="969" spans="1:14" s="1" customFormat="1" ht="3" customHeight="1" x14ac:dyDescent="0.3">
      <c r="A969" s="123"/>
      <c r="B969" s="113"/>
      <c r="C969" s="113"/>
      <c r="D969" s="117"/>
      <c r="E969" s="118"/>
      <c r="F969" s="124"/>
      <c r="G969" s="113"/>
      <c r="H969" s="126"/>
      <c r="I969" s="119"/>
      <c r="J969" s="119"/>
      <c r="K969" s="115"/>
      <c r="M969" s="88"/>
      <c r="N969" s="88"/>
    </row>
    <row r="970" spans="1:14" s="5" customFormat="1" ht="19.95" customHeight="1" x14ac:dyDescent="0.3">
      <c r="A970" s="328" t="str" cm="1">
        <f t="array" aca="1" ref="A970" ca="1">mgm(J970)</f>
        <v>Rupees Twenty Five Thousand Two Hundred Only</v>
      </c>
      <c r="B970" s="329"/>
      <c r="C970" s="329"/>
      <c r="D970" s="329"/>
      <c r="E970" s="329"/>
      <c r="F970" s="329"/>
      <c r="G970" s="332"/>
      <c r="H970" s="333" t="s">
        <v>17</v>
      </c>
      <c r="I970" s="334"/>
      <c r="J970" s="330">
        <f ca="1">C967-J967</f>
        <v>25200</v>
      </c>
      <c r="K970" s="331"/>
      <c r="L970" s="205"/>
      <c r="M970" s="90"/>
      <c r="N970" s="90"/>
    </row>
    <row r="971" spans="1:14" s="1" customFormat="1" ht="3" customHeight="1" x14ac:dyDescent="0.3">
      <c r="A971" s="108"/>
      <c r="B971" s="109"/>
      <c r="C971" s="109"/>
      <c r="D971" s="109"/>
      <c r="E971" s="110"/>
      <c r="F971" s="110"/>
      <c r="G971" s="109"/>
      <c r="H971" s="127"/>
      <c r="I971" s="111"/>
      <c r="J971" s="111"/>
      <c r="K971" s="112"/>
      <c r="M971" s="88"/>
      <c r="N971" s="88"/>
    </row>
    <row r="972" spans="1:14" s="1" customFormat="1" ht="19.95" customHeight="1" x14ac:dyDescent="0.3">
      <c r="A972" s="323" t="s">
        <v>18</v>
      </c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M972" s="88"/>
      <c r="N972" s="88"/>
    </row>
    <row r="973" spans="1:14" s="132" customFormat="1" ht="60" customHeight="1" x14ac:dyDescent="0.3">
      <c r="A973" s="181"/>
      <c r="E973" s="181"/>
      <c r="F973" s="181"/>
    </row>
    <row r="974" spans="1:14" s="2" customFormat="1" ht="19.95" customHeight="1" x14ac:dyDescent="0.3">
      <c r="A974" s="338" t="s">
        <v>107</v>
      </c>
      <c r="B974" s="339"/>
      <c r="C974" s="339"/>
      <c r="D974" s="339"/>
      <c r="E974" s="339"/>
      <c r="F974" s="339"/>
      <c r="G974" s="339"/>
      <c r="H974" s="339"/>
      <c r="I974" s="339"/>
      <c r="J974" s="339"/>
      <c r="K974" s="340"/>
      <c r="L974" s="1"/>
      <c r="M974" s="86"/>
      <c r="N974" s="87"/>
    </row>
    <row r="975" spans="1:14" s="2" customFormat="1" ht="15" customHeight="1" x14ac:dyDescent="0.3">
      <c r="A975" s="341" t="s">
        <v>180</v>
      </c>
      <c r="B975" s="342"/>
      <c r="C975" s="342"/>
      <c r="D975" s="342"/>
      <c r="E975" s="342"/>
      <c r="F975" s="342"/>
      <c r="G975" s="342"/>
      <c r="H975" s="342"/>
      <c r="I975" s="342"/>
      <c r="J975" s="342"/>
      <c r="K975" s="343"/>
      <c r="L975" s="1"/>
      <c r="M975" s="86"/>
      <c r="N975" s="88"/>
    </row>
    <row r="976" spans="1:14" s="2" customFormat="1" ht="15" customHeight="1" x14ac:dyDescent="0.3">
      <c r="A976" s="344" t="s">
        <v>72</v>
      </c>
      <c r="B976" s="345"/>
      <c r="C976" s="345"/>
      <c r="D976" s="345"/>
      <c r="E976" s="345"/>
      <c r="F976" s="345"/>
      <c r="G976" s="345"/>
      <c r="H976" s="345"/>
      <c r="I976" s="345"/>
      <c r="J976" s="345"/>
      <c r="K976" s="346"/>
      <c r="L976" s="1"/>
      <c r="M976" s="86"/>
      <c r="N976" s="88"/>
    </row>
    <row r="977" spans="1:14" s="2" customFormat="1" ht="4.95" customHeight="1" x14ac:dyDescent="0.3">
      <c r="A977" s="92"/>
      <c r="B977" s="347"/>
      <c r="C977" s="347"/>
      <c r="D977" s="347"/>
      <c r="E977" s="347"/>
      <c r="F977" s="347"/>
      <c r="G977" s="347"/>
      <c r="H977" s="347"/>
      <c r="I977" s="347"/>
      <c r="J977" s="347"/>
      <c r="K977" s="348"/>
      <c r="L977" s="1"/>
      <c r="M977" s="88"/>
      <c r="N977" s="88"/>
    </row>
    <row r="978" spans="1:14" s="2" customFormat="1" ht="3" customHeight="1" x14ac:dyDescent="0.3">
      <c r="A978" s="93"/>
      <c r="B978" s="94"/>
      <c r="C978" s="94"/>
      <c r="D978" s="94"/>
      <c r="E978" s="95"/>
      <c r="F978" s="95"/>
      <c r="G978" s="94"/>
      <c r="H978" s="94"/>
      <c r="I978" s="94"/>
      <c r="J978" s="94"/>
      <c r="K978" s="96"/>
      <c r="L978" s="1"/>
      <c r="M978" s="88"/>
      <c r="N978" s="88"/>
    </row>
    <row r="979" spans="1:14" s="2" customFormat="1" x14ac:dyDescent="0.3">
      <c r="A979" s="123" t="s">
        <v>68</v>
      </c>
      <c r="B979" s="124" t="str">
        <f ca="1">VLOOKUP($B980,Salary_Master_2,3,FALSE)</f>
        <v>EW</v>
      </c>
      <c r="C979" s="349" t="s">
        <v>21</v>
      </c>
      <c r="D979" s="349"/>
      <c r="E979" s="350">
        <f>IF($E$1="","",$E$1)</f>
        <v>45809</v>
      </c>
      <c r="F979" s="350"/>
      <c r="G979" s="97" t="s">
        <v>22</v>
      </c>
      <c r="H979" s="98">
        <f ca="1">VLOOKUP($B980,INDIRECT(VLOOKUP($E$7,$M$2:$N$20,2,FALSE)),3,FALSE)</f>
        <v>31</v>
      </c>
      <c r="I979" s="99"/>
      <c r="J979" s="100" t="s">
        <v>27</v>
      </c>
      <c r="K979" s="101"/>
      <c r="L979" s="1"/>
      <c r="M979" s="86"/>
      <c r="N979" s="88"/>
    </row>
    <row r="980" spans="1:14" s="2" customFormat="1" x14ac:dyDescent="0.3">
      <c r="A980" s="123" t="s">
        <v>19</v>
      </c>
      <c r="B980" s="124" t="str">
        <f ca="1">IF(Salary_Master_2!$B$32="","",VLOOKUP(Salary_Master_2!$B$32,INDIRECT(VLOOKUP($E979,$M$2:$N$20,2,FALSE)),1,FALSE))</f>
        <v>Waman Bandekar</v>
      </c>
      <c r="C980" s="351" t="s">
        <v>1</v>
      </c>
      <c r="D980" s="351"/>
      <c r="E980" s="352">
        <f ca="1">SUM($H979:$H982)</f>
        <v>31</v>
      </c>
      <c r="F980" s="352"/>
      <c r="G980" s="97" t="s">
        <v>24</v>
      </c>
      <c r="H980" s="102">
        <f ca="1">VLOOKUP($B980,INDIRECT(VLOOKUP($E$7,$M$2:$N$20,2,FALSE)),4,FALSE)</f>
        <v>0</v>
      </c>
      <c r="I980" s="100"/>
      <c r="J980" s="103" t="s">
        <v>28</v>
      </c>
      <c r="K980" s="101">
        <f ca="1">VLOOKUP($B980,INDIRECT(VLOOKUP($E$7,$M$2:$N$20,2,FALSE)),29,FALSE)</f>
        <v>15400</v>
      </c>
      <c r="L980" s="1"/>
      <c r="M980" s="86"/>
      <c r="N980" s="88"/>
    </row>
    <row r="981" spans="1:14" s="2" customFormat="1" x14ac:dyDescent="0.3">
      <c r="A981" s="123" t="s">
        <v>0</v>
      </c>
      <c r="B981" s="124" t="str">
        <f ca="1">VLOOKUP($B980,Salary_Master_2,4,FALSE)</f>
        <v>Technician</v>
      </c>
      <c r="C981" s="124"/>
      <c r="D981" s="103" t="s">
        <v>70</v>
      </c>
      <c r="E981" s="337">
        <f ca="1">VLOOKUP($B980,Salary_Master_2,9,FALSE)</f>
        <v>102011734457</v>
      </c>
      <c r="F981" s="337"/>
      <c r="G981" s="97" t="s">
        <v>25</v>
      </c>
      <c r="H981" s="102">
        <f ca="1">VLOOKUP($B980,INDIRECT(VLOOKUP($E$7,$M$2:$N$20,2,FALSE)),5,FALSE)</f>
        <v>0</v>
      </c>
      <c r="I981" s="97"/>
      <c r="J981" s="103" t="s">
        <v>29</v>
      </c>
      <c r="K981" s="101" t="str">
        <f ca="1">VLOOKUP($B980,INDIRECT(VLOOKUP($E$7,$M$2:$N$20,2,FALSE)),30,FALSE)</f>
        <v>Male</v>
      </c>
      <c r="L981" s="1"/>
      <c r="M981" s="86"/>
      <c r="N981" s="88"/>
    </row>
    <row r="982" spans="1:14" s="2" customFormat="1" x14ac:dyDescent="0.3">
      <c r="A982" s="123" t="s">
        <v>20</v>
      </c>
      <c r="B982" s="124" t="str">
        <f ca="1">VLOOKUP($B980,Salary_Master_2,5,FALSE)</f>
        <v>Production</v>
      </c>
      <c r="C982" s="124"/>
      <c r="D982" s="103" t="s">
        <v>71</v>
      </c>
      <c r="E982" s="337">
        <f ca="1">VLOOKUP($B980,Salary_Master_2,10,FALSE)</f>
        <v>0</v>
      </c>
      <c r="F982" s="337"/>
      <c r="G982" s="97" t="s">
        <v>26</v>
      </c>
      <c r="H982" s="102">
        <f ca="1">VLOOKUP($B980,INDIRECT(VLOOKUP($E$7,$M$2:$N$20,2,FALSE)),6,FALSE)</f>
        <v>0</v>
      </c>
      <c r="I982" s="97"/>
      <c r="J982" s="103" t="s">
        <v>30</v>
      </c>
      <c r="K982" s="101">
        <f ca="1">VLOOKUP($B980,INDIRECT(VLOOKUP($E$7,$M$2:$N$20,2,FALSE)),31,FALSE)</f>
        <v>0</v>
      </c>
      <c r="L982" s="1"/>
      <c r="M982" s="86"/>
      <c r="N982" s="88"/>
    </row>
    <row r="983" spans="1:14" s="2" customFormat="1" x14ac:dyDescent="0.3">
      <c r="A983" s="123" t="s">
        <v>69</v>
      </c>
      <c r="B983" s="124" t="str">
        <f ca="1">VLOOKUP($B980,Salary_Master_2,6,FALSE)</f>
        <v>Ansa Factory</v>
      </c>
      <c r="C983" s="124"/>
      <c r="D983" s="104"/>
      <c r="E983" s="105"/>
      <c r="F983" s="105"/>
      <c r="G983" s="97" t="s">
        <v>23</v>
      </c>
      <c r="H983" s="102">
        <f ca="1">VLOOKUP($B980,INDIRECT(VLOOKUP($E$7,$M$2:$N$20,2,FALSE)),8,FALSE)</f>
        <v>0</v>
      </c>
      <c r="I983" s="97"/>
      <c r="J983" s="125"/>
      <c r="K983" s="101"/>
      <c r="L983" s="1"/>
      <c r="M983" s="86"/>
      <c r="N983" s="88"/>
    </row>
    <row r="984" spans="1:14" s="2" customFormat="1" x14ac:dyDescent="0.3">
      <c r="A984" s="123" t="s">
        <v>32</v>
      </c>
      <c r="B984" s="106">
        <f ca="1">VLOOKUP($B980,Salary_Master_2,7,FALSE)</f>
        <v>45389</v>
      </c>
      <c r="C984" s="106"/>
      <c r="D984" s="104"/>
      <c r="E984" s="105"/>
      <c r="F984" s="105"/>
      <c r="G984" s="97" t="s">
        <v>31</v>
      </c>
      <c r="H984" s="102">
        <f ca="1">VLOOKUP($B980,INDIRECT(VLOOKUP($E$7,$M$2:$N$20,2,FALSE)),9,FALSE)</f>
        <v>3</v>
      </c>
      <c r="I984" s="107"/>
      <c r="J984" s="107"/>
      <c r="K984" s="101"/>
      <c r="L984" s="1"/>
      <c r="M984" s="86"/>
      <c r="N984" s="88"/>
    </row>
    <row r="985" spans="1:14" s="2" customFormat="1" ht="3" customHeight="1" x14ac:dyDescent="0.3">
      <c r="A985" s="108"/>
      <c r="B985" s="109"/>
      <c r="C985" s="109"/>
      <c r="D985" s="109"/>
      <c r="E985" s="110"/>
      <c r="F985" s="110"/>
      <c r="G985" s="109"/>
      <c r="H985" s="109"/>
      <c r="I985" s="111"/>
      <c r="J985" s="111"/>
      <c r="K985" s="112"/>
      <c r="L985" s="1"/>
      <c r="M985" s="88"/>
      <c r="N985" s="88"/>
    </row>
    <row r="986" spans="1:14" s="2" customFormat="1" ht="3" customHeight="1" x14ac:dyDescent="0.3">
      <c r="A986" s="123"/>
      <c r="B986" s="113"/>
      <c r="C986" s="113"/>
      <c r="D986" s="113"/>
      <c r="E986" s="124"/>
      <c r="F986" s="124"/>
      <c r="G986" s="113"/>
      <c r="H986" s="113"/>
      <c r="I986" s="114"/>
      <c r="J986" s="114"/>
      <c r="K986" s="115"/>
      <c r="L986" s="1"/>
      <c r="M986" s="88"/>
      <c r="N986" s="88"/>
    </row>
    <row r="987" spans="1:14" s="1" customFormat="1" ht="3" customHeight="1" x14ac:dyDescent="0.3">
      <c r="A987" s="116"/>
      <c r="B987" s="117"/>
      <c r="C987" s="117"/>
      <c r="D987" s="115"/>
      <c r="E987" s="118"/>
      <c r="F987" s="118"/>
      <c r="G987" s="117"/>
      <c r="H987" s="117"/>
      <c r="I987" s="119"/>
      <c r="J987" s="119"/>
      <c r="K987" s="115"/>
      <c r="M987" s="88"/>
      <c r="N987" s="88"/>
    </row>
    <row r="988" spans="1:14" s="1" customFormat="1" ht="12" customHeight="1" x14ac:dyDescent="0.3">
      <c r="A988" s="120" t="s">
        <v>4</v>
      </c>
      <c r="B988" s="113"/>
      <c r="C988" s="113"/>
      <c r="D988" s="121" t="s">
        <v>5</v>
      </c>
      <c r="E988" s="122" t="s">
        <v>6</v>
      </c>
      <c r="F988" s="122"/>
      <c r="G988" s="113"/>
      <c r="H988" s="113"/>
      <c r="I988" s="113"/>
      <c r="J988" s="113"/>
      <c r="K988" s="121" t="s">
        <v>5</v>
      </c>
      <c r="M988" s="86"/>
      <c r="N988" s="88"/>
    </row>
    <row r="989" spans="1:14" s="1" customFormat="1" ht="3" customHeight="1" x14ac:dyDescent="0.3">
      <c r="A989" s="108"/>
      <c r="B989" s="109"/>
      <c r="C989" s="109"/>
      <c r="D989" s="112"/>
      <c r="E989" s="110"/>
      <c r="F989" s="110"/>
      <c r="G989" s="109"/>
      <c r="H989" s="109"/>
      <c r="I989" s="111"/>
      <c r="J989" s="111"/>
      <c r="K989" s="112"/>
      <c r="M989" s="88"/>
      <c r="N989" s="88"/>
    </row>
    <row r="990" spans="1:14" s="1" customFormat="1" ht="3" customHeight="1" x14ac:dyDescent="0.3">
      <c r="A990" s="123"/>
      <c r="B990" s="113"/>
      <c r="C990" s="113"/>
      <c r="D990" s="101"/>
      <c r="E990" s="124"/>
      <c r="F990" s="124"/>
      <c r="G990" s="113"/>
      <c r="H990" s="113"/>
      <c r="I990" s="114"/>
      <c r="J990" s="114"/>
      <c r="K990" s="101"/>
      <c r="M990" s="88"/>
      <c r="N990" s="88"/>
    </row>
    <row r="991" spans="1:14" s="1" customFormat="1" ht="12" customHeight="1" x14ac:dyDescent="0.3">
      <c r="A991" s="324" t="s">
        <v>7</v>
      </c>
      <c r="B991" s="325"/>
      <c r="C991" s="326">
        <f ca="1">VLOOKUP($B980,INDIRECT(VLOOKUP($E979,$M$2:$N$20,2,FALSE)),13,FALSE)</f>
        <v>10000</v>
      </c>
      <c r="D991" s="327"/>
      <c r="E991" s="324" t="s">
        <v>8</v>
      </c>
      <c r="F991" s="325"/>
      <c r="G991" s="325"/>
      <c r="H991" s="325"/>
      <c r="I991" s="325"/>
      <c r="J991" s="326">
        <f ca="1">VLOOKUP($B980,INDIRECT(VLOOKUP($E979,$M$2:$N$20,2,FALSE)),22,FALSE)</f>
        <v>1800</v>
      </c>
      <c r="K991" s="327"/>
      <c r="M991" s="86"/>
      <c r="N991" s="88"/>
    </row>
    <row r="992" spans="1:14" s="1" customFormat="1" ht="12" customHeight="1" x14ac:dyDescent="0.3">
      <c r="A992" s="324" t="s">
        <v>9</v>
      </c>
      <c r="B992" s="325"/>
      <c r="C992" s="326">
        <f ca="1">VLOOKUP($B980,INDIRECT(VLOOKUP($E979,$M$2:$N$20,2,FALSE)),14,FALSE)</f>
        <v>2000</v>
      </c>
      <c r="D992" s="327"/>
      <c r="E992" s="324" t="s">
        <v>94</v>
      </c>
      <c r="F992" s="325"/>
      <c r="G992" s="325"/>
      <c r="H992" s="325"/>
      <c r="I992" s="325"/>
      <c r="J992" s="326">
        <f ca="1">VLOOKUP($B980,INDIRECT(VLOOKUP($E979,$M$2:$N$20,2,FALSE)),23,FALSE)</f>
        <v>1800</v>
      </c>
      <c r="K992" s="327"/>
      <c r="M992" s="86"/>
      <c r="N992" s="88"/>
    </row>
    <row r="993" spans="1:14" s="1" customFormat="1" ht="12" customHeight="1" x14ac:dyDescent="0.3">
      <c r="A993" s="324" t="s">
        <v>11</v>
      </c>
      <c r="B993" s="325"/>
      <c r="C993" s="326">
        <f ca="1">VLOOKUP($B980,INDIRECT(VLOOKUP($E979,$M$2:$N$20,2,FALSE)),15,FALSE)</f>
        <v>1600</v>
      </c>
      <c r="D993" s="327"/>
      <c r="E993" s="324" t="s">
        <v>10</v>
      </c>
      <c r="F993" s="325"/>
      <c r="G993" s="325"/>
      <c r="H993" s="325"/>
      <c r="I993" s="325"/>
      <c r="J993" s="326">
        <f ca="1">VLOOKUP($B980,INDIRECT(VLOOKUP($E979,$M$2:$N$20,2,FALSE)),24,FALSE)</f>
        <v>150</v>
      </c>
      <c r="K993" s="327"/>
      <c r="M993" s="87"/>
      <c r="N993" s="86"/>
    </row>
    <row r="994" spans="1:14" s="1" customFormat="1" ht="12" customHeight="1" x14ac:dyDescent="0.3">
      <c r="A994" s="324" t="s">
        <v>3</v>
      </c>
      <c r="B994" s="325"/>
      <c r="C994" s="326">
        <f ca="1">VLOOKUP($B980,INDIRECT(VLOOKUP($E979,$M$2:$N$20,2,FALSE)),16,FALSE)</f>
        <v>833</v>
      </c>
      <c r="D994" s="327"/>
      <c r="E994" s="324" t="s">
        <v>93</v>
      </c>
      <c r="F994" s="325"/>
      <c r="G994" s="325"/>
      <c r="H994" s="325"/>
      <c r="I994" s="325"/>
      <c r="J994" s="326">
        <f ca="1">VLOOKUP($B980,INDIRECT(VLOOKUP($E979,$M$2:$N$20,2,FALSE)),25,FALSE)</f>
        <v>650</v>
      </c>
      <c r="K994" s="327"/>
      <c r="M994" s="87"/>
      <c r="N994" s="89"/>
    </row>
    <row r="995" spans="1:14" s="1" customFormat="1" ht="12" customHeight="1" x14ac:dyDescent="0.3">
      <c r="A995" s="324" t="s">
        <v>13</v>
      </c>
      <c r="B995" s="325"/>
      <c r="C995" s="326">
        <f ca="1">VLOOKUP($B980,INDIRECT(VLOOKUP($E979,$M$2:$N$20,2,FALSE)),17,FALSE)</f>
        <v>1317</v>
      </c>
      <c r="D995" s="327"/>
      <c r="E995" s="324" t="s">
        <v>12</v>
      </c>
      <c r="F995" s="325"/>
      <c r="G995" s="325"/>
      <c r="H995" s="325"/>
      <c r="I995" s="325"/>
      <c r="J995" s="326">
        <f ca="1">VLOOKUP($B980,INDIRECT(VLOOKUP($E979,$M$2:$N$20,2,FALSE)),26,FALSE)</f>
        <v>200</v>
      </c>
      <c r="K995" s="327"/>
      <c r="M995" s="88" t="s">
        <v>73</v>
      </c>
      <c r="N995" s="88" t="str">
        <f ca="1">IF(VLOOKUP($B980,INDIRECT(VLOOKUP($E979,$M$2:$N$20,2,FALSE)),38,FALSE)&gt;0,"Yes","No")</f>
        <v>No</v>
      </c>
    </row>
    <row r="996" spans="1:14" s="1" customFormat="1" ht="12" customHeight="1" x14ac:dyDescent="0.3">
      <c r="A996" s="324" t="str">
        <f ca="1">IF($J992&gt;0,"Other Allowance",IF(VLOOKUP($B980,INDIRECT(VLOOKUP($E979,$M$2:$N$20,2,FALSE)),44,FALSE)=0,"",IF($E979=DATE(2025,6,1),"Arrears of Apr &amp; May-2025","")))</f>
        <v>Other Allowance</v>
      </c>
      <c r="B996" s="325"/>
      <c r="C996" s="326" cm="1">
        <f t="array" aca="1" ref="C996" ca="1">_xlfn.IFS($A996="","",$A996="Other Allowance",VLOOKUP($B980,INDIRECT(VLOOKUP($E979,$M$2:$N$20,2,FALSE)),18,FALSE),$A996="Arrears of Apr &amp; May-2025",VLOOKUP($B980,INDIRECT(VLOOKUP($E979,$M$2:$N$20,2,FALSE)),44,FALSE))</f>
        <v>1800</v>
      </c>
      <c r="D996" s="327"/>
      <c r="E996" s="324" t="str" cm="1">
        <f t="array" aca="1" ref="E996" ca="1">_xlfn.IFS(N995="Yes",M995,N996="Yes",M996,TRUE,"")</f>
        <v/>
      </c>
      <c r="F996" s="325"/>
      <c r="G996" s="325"/>
      <c r="H996" s="325"/>
      <c r="I996" s="325"/>
      <c r="J996" s="335" t="str" cm="1">
        <f t="array" aca="1" ref="J996" ca="1">IF(E996="","",_xlfn.IFS(N995="Yes",VLOOKUP($B980,INDIRECT(VLOOKUP($E979,$M$2:$N$20,2,FALSE)),27,FALSE),N996="Yes",VLOOKUP($B980,INDIRECT(VLOOKUP($E979,$M$2:$N$20,2,FALSE)),28,FALSE)))</f>
        <v/>
      </c>
      <c r="K996" s="336"/>
      <c r="M996" s="88" t="s">
        <v>14</v>
      </c>
      <c r="N996" s="88" t="str">
        <f ca="1">IF(VLOOKUP($B980,INDIRECT(VLOOKUP($E$7,$M$2:$N$20,2,FALSE)),39,FALSE)&gt;0,"Yes","No")</f>
        <v>No</v>
      </c>
    </row>
    <row r="997" spans="1:14" s="1" customFormat="1" ht="12" customHeight="1" x14ac:dyDescent="0.3">
      <c r="A997" s="324" t="str" cm="1">
        <f t="array" aca="1" ref="A997" ca="1">_xlfn.IFS($A996="","",$A996="Other Allowance","EPF",$A996="Arrears of Apr &amp; May-2025","",VLOOKUP($B980,INDIRECT(VLOOKUP($E979,$M$2:$N$20,2,FALSE)),44,FALSE)=0,"",$E979=DATE(2025,6,1),"Arrears of Apr &amp; May-2025")</f>
        <v>EPF</v>
      </c>
      <c r="B997" s="325"/>
      <c r="C997" s="326" cm="1">
        <f t="array" aca="1" ref="C997" ca="1">_xlfn.IFS($A997="","",$A997="EPF",VLOOKUP($B980,INDIRECT(VLOOKUP($E979,$M$2:$N$20,2,FALSE)),19,FALSE),$A997="Arrears of Apr &amp; May-2025",VLOOKUP($B980,INDIRECT(VLOOKUP($E979,$M$2:$N$20,2,FALSE)),44,FALSE))</f>
        <v>1800</v>
      </c>
      <c r="D997" s="327"/>
      <c r="E997" s="324" t="str" cm="1">
        <f t="array" aca="1" ref="E997" ca="1">_xlfn.IFS(N996="No","",N995="Yes",M996,TRUE,"")</f>
        <v/>
      </c>
      <c r="F997" s="325"/>
      <c r="G997" s="325"/>
      <c r="H997" s="325"/>
      <c r="I997" s="325"/>
      <c r="J997" s="335" t="str">
        <f ca="1">IF(E997="","",VLOOKUP($B980,INDIRECT(VLOOKUP($E979,$M$2:$N$20,2,FALSE)),28,FALSE))</f>
        <v/>
      </c>
      <c r="K997" s="336"/>
      <c r="M997" s="130"/>
      <c r="N997" s="88"/>
    </row>
    <row r="998" spans="1:14" s="1" customFormat="1" ht="12" customHeight="1" x14ac:dyDescent="0.3">
      <c r="A998" s="324" t="str">
        <f ca="1">IF($J994&gt;0,"ESIC (Employer)",IF($A997="","",IF(VLOOKUP($B980,INDIRECT(VLOOKUP($E979,$M$2:$N$20,2,FALSE)),44,FALSE)="","",IF($E979=DATE(2025,6,1),"Arrears of Apr &amp; May-2025",""))))</f>
        <v>ESIC (Employer)</v>
      </c>
      <c r="B998" s="325"/>
      <c r="C998" s="326" cm="1">
        <f t="array" aca="1" ref="C998" ca="1">_xlfn.IFS($A998="","",$A998="ESIC (Employer)",VLOOKUP($B980,INDIRECT(VLOOKUP($E979,$M$2:$N$20,2,FALSE)),20,FALSE),$A998="Arrears of Apr &amp; May-2025",VLOOKUP($B980,INDIRECT(VLOOKUP($E979,$M$2:$N$20,2,FALSE)),44,FALSE))</f>
        <v>650</v>
      </c>
      <c r="D998" s="327"/>
      <c r="E998" s="324"/>
      <c r="F998" s="325"/>
      <c r="G998" s="325"/>
      <c r="H998" s="325"/>
      <c r="I998" s="325"/>
      <c r="J998" s="335"/>
      <c r="K998" s="336"/>
      <c r="M998" s="88"/>
      <c r="N998" s="88"/>
    </row>
    <row r="999" spans="1:14" s="1" customFormat="1" ht="12" customHeight="1" x14ac:dyDescent="0.3">
      <c r="A999" s="324" t="str">
        <f ca="1">IF($A998="","",IF(VLOOKUP($B980,INDIRECT(VLOOKUP($E979,$M$2:$N$20,2,FALSE)),44,FALSE)=0,"",IF($A998="Arrears of Apr &amp; May-2025","",IF($E979=DATE(2025,6,1),"Arrears of Apr &amp; May-2025",""))))</f>
        <v/>
      </c>
      <c r="B999" s="325"/>
      <c r="C999" s="326" t="str" cm="1">
        <f t="array" aca="1" ref="C999" ca="1">_xlfn.IFS($A999="","",$A999="Arrears of Apr &amp; May-2025",VLOOKUP($B980,INDIRECT(VLOOKUP($E979,$M$2:$N$20,2,FALSE)),44,FALSE))</f>
        <v/>
      </c>
      <c r="D999" s="327"/>
      <c r="E999" s="324"/>
      <c r="F999" s="325"/>
      <c r="G999" s="325"/>
      <c r="H999" s="325"/>
      <c r="I999" s="325"/>
      <c r="J999" s="335"/>
      <c r="K999" s="336"/>
      <c r="M999" s="88"/>
      <c r="N999" s="88"/>
    </row>
    <row r="1000" spans="1:14" s="1" customFormat="1" ht="12" customHeight="1" x14ac:dyDescent="0.3">
      <c r="A1000" s="324"/>
      <c r="B1000" s="325"/>
      <c r="C1000" s="326"/>
      <c r="D1000" s="327"/>
      <c r="E1000" s="124"/>
      <c r="F1000" s="124"/>
      <c r="G1000" s="124"/>
      <c r="H1000" s="124"/>
      <c r="I1000" s="124"/>
      <c r="J1000" s="335"/>
      <c r="K1000" s="336"/>
      <c r="M1000" s="88"/>
      <c r="N1000" s="88"/>
    </row>
    <row r="1001" spans="1:14" s="1" customFormat="1" ht="3" customHeight="1" x14ac:dyDescent="0.3">
      <c r="A1001" s="108"/>
      <c r="B1001" s="109"/>
      <c r="C1001" s="109"/>
      <c r="D1001" s="112"/>
      <c r="E1001" s="110"/>
      <c r="F1001" s="110"/>
      <c r="G1001" s="109"/>
      <c r="H1001" s="109"/>
      <c r="I1001" s="111"/>
      <c r="J1001" s="111"/>
      <c r="K1001" s="112"/>
      <c r="M1001" s="88"/>
      <c r="N1001" s="88"/>
    </row>
    <row r="1002" spans="1:14" s="1" customFormat="1" ht="3" customHeight="1" x14ac:dyDescent="0.3">
      <c r="A1002" s="123"/>
      <c r="B1002" s="113"/>
      <c r="C1002" s="113"/>
      <c r="D1002" s="101"/>
      <c r="E1002" s="124"/>
      <c r="F1002" s="124"/>
      <c r="G1002" s="113"/>
      <c r="H1002" s="113"/>
      <c r="I1002" s="114"/>
      <c r="J1002" s="114"/>
      <c r="K1002" s="101"/>
      <c r="M1002" s="88"/>
      <c r="N1002" s="88"/>
    </row>
    <row r="1003" spans="1:14" s="4" customFormat="1" ht="19.95" customHeight="1" x14ac:dyDescent="0.3">
      <c r="A1003" s="328" t="s">
        <v>15</v>
      </c>
      <c r="B1003" s="329"/>
      <c r="C1003" s="330">
        <f ca="1">SUM(C991:D1002)</f>
        <v>20000</v>
      </c>
      <c r="D1003" s="331"/>
      <c r="E1003" s="328" t="s">
        <v>16</v>
      </c>
      <c r="F1003" s="329"/>
      <c r="G1003" s="329"/>
      <c r="H1003" s="329"/>
      <c r="I1003" s="329"/>
      <c r="J1003" s="330">
        <f ca="1">SUM(J991:K999)</f>
        <v>4600</v>
      </c>
      <c r="K1003" s="331"/>
      <c r="M1003" s="129"/>
      <c r="N1003" s="90"/>
    </row>
    <row r="1004" spans="1:14" s="1" customFormat="1" ht="3" customHeight="1" x14ac:dyDescent="0.3">
      <c r="A1004" s="108"/>
      <c r="B1004" s="109"/>
      <c r="C1004" s="109"/>
      <c r="D1004" s="112"/>
      <c r="E1004" s="110"/>
      <c r="F1004" s="110"/>
      <c r="G1004" s="109"/>
      <c r="H1004" s="109"/>
      <c r="I1004" s="111"/>
      <c r="J1004" s="111"/>
      <c r="K1004" s="112"/>
      <c r="M1004" s="88"/>
      <c r="N1004" s="88"/>
    </row>
    <row r="1005" spans="1:14" s="1" customFormat="1" ht="3" customHeight="1" x14ac:dyDescent="0.3">
      <c r="A1005" s="123"/>
      <c r="B1005" s="113"/>
      <c r="C1005" s="113"/>
      <c r="D1005" s="117"/>
      <c r="E1005" s="118"/>
      <c r="F1005" s="124"/>
      <c r="G1005" s="113"/>
      <c r="H1005" s="126"/>
      <c r="I1005" s="119"/>
      <c r="J1005" s="119"/>
      <c r="K1005" s="115"/>
      <c r="M1005" s="88"/>
      <c r="N1005" s="88"/>
    </row>
    <row r="1006" spans="1:14" s="5" customFormat="1" ht="19.95" customHeight="1" x14ac:dyDescent="0.3">
      <c r="A1006" s="328" t="str" cm="1">
        <f t="array" aca="1" ref="A1006" ca="1">mgm(J1006)</f>
        <v>Rupees Fifteen Thousand Four Hundred Only</v>
      </c>
      <c r="B1006" s="329"/>
      <c r="C1006" s="329"/>
      <c r="D1006" s="329"/>
      <c r="E1006" s="329"/>
      <c r="F1006" s="329"/>
      <c r="G1006" s="332"/>
      <c r="H1006" s="333" t="s">
        <v>17</v>
      </c>
      <c r="I1006" s="334"/>
      <c r="J1006" s="330">
        <f ca="1">C1003-J1003</f>
        <v>15400</v>
      </c>
      <c r="K1006" s="331"/>
      <c r="L1006" s="205"/>
      <c r="M1006" s="90"/>
      <c r="N1006" s="90"/>
    </row>
    <row r="1007" spans="1:14" s="1" customFormat="1" ht="3" customHeight="1" x14ac:dyDescent="0.3">
      <c r="A1007" s="108"/>
      <c r="B1007" s="109"/>
      <c r="C1007" s="109"/>
      <c r="D1007" s="109"/>
      <c r="E1007" s="110"/>
      <c r="F1007" s="110"/>
      <c r="G1007" s="109"/>
      <c r="H1007" s="127"/>
      <c r="I1007" s="111"/>
      <c r="J1007" s="111"/>
      <c r="K1007" s="112"/>
      <c r="M1007" s="88"/>
      <c r="N1007" s="88"/>
    </row>
    <row r="1008" spans="1:14" s="1" customFormat="1" ht="19.95" customHeight="1" x14ac:dyDescent="0.3">
      <c r="A1008" s="323" t="s">
        <v>18</v>
      </c>
      <c r="B1008" s="323"/>
      <c r="C1008" s="323"/>
      <c r="D1008" s="323"/>
      <c r="E1008" s="323"/>
      <c r="F1008" s="323"/>
      <c r="G1008" s="323"/>
      <c r="H1008" s="323"/>
      <c r="I1008" s="323"/>
      <c r="J1008" s="323"/>
      <c r="K1008" s="323"/>
      <c r="M1008" s="88"/>
      <c r="N1008" s="88"/>
    </row>
    <row r="1009" spans="1:14" s="132" customFormat="1" ht="60" customHeight="1" x14ac:dyDescent="0.3">
      <c r="A1009" s="181"/>
      <c r="E1009" s="181"/>
      <c r="F1009" s="181"/>
    </row>
    <row r="1010" spans="1:14" s="2" customFormat="1" ht="19.95" customHeight="1" x14ac:dyDescent="0.3">
      <c r="A1010" s="338" t="s">
        <v>107</v>
      </c>
      <c r="B1010" s="339"/>
      <c r="C1010" s="339"/>
      <c r="D1010" s="339"/>
      <c r="E1010" s="339"/>
      <c r="F1010" s="339"/>
      <c r="G1010" s="339"/>
      <c r="H1010" s="339"/>
      <c r="I1010" s="339"/>
      <c r="J1010" s="339"/>
      <c r="K1010" s="340"/>
      <c r="L1010" s="1"/>
      <c r="M1010" s="86"/>
      <c r="N1010" s="87"/>
    </row>
    <row r="1011" spans="1:14" s="2" customFormat="1" ht="15" customHeight="1" x14ac:dyDescent="0.3">
      <c r="A1011" s="341" t="s">
        <v>180</v>
      </c>
      <c r="B1011" s="342"/>
      <c r="C1011" s="342"/>
      <c r="D1011" s="342"/>
      <c r="E1011" s="342"/>
      <c r="F1011" s="342"/>
      <c r="G1011" s="342"/>
      <c r="H1011" s="342"/>
      <c r="I1011" s="342"/>
      <c r="J1011" s="342"/>
      <c r="K1011" s="343"/>
      <c r="L1011" s="1"/>
      <c r="M1011" s="86"/>
      <c r="N1011" s="88"/>
    </row>
    <row r="1012" spans="1:14" s="2" customFormat="1" ht="15" customHeight="1" x14ac:dyDescent="0.3">
      <c r="A1012" s="344" t="s">
        <v>72</v>
      </c>
      <c r="B1012" s="345"/>
      <c r="C1012" s="345"/>
      <c r="D1012" s="345"/>
      <c r="E1012" s="345"/>
      <c r="F1012" s="345"/>
      <c r="G1012" s="345"/>
      <c r="H1012" s="345"/>
      <c r="I1012" s="345"/>
      <c r="J1012" s="345"/>
      <c r="K1012" s="346"/>
      <c r="L1012" s="1"/>
      <c r="M1012" s="86"/>
      <c r="N1012" s="88"/>
    </row>
    <row r="1013" spans="1:14" s="2" customFormat="1" ht="4.95" customHeight="1" x14ac:dyDescent="0.3">
      <c r="A1013" s="92"/>
      <c r="B1013" s="347"/>
      <c r="C1013" s="347"/>
      <c r="D1013" s="347"/>
      <c r="E1013" s="347"/>
      <c r="F1013" s="347"/>
      <c r="G1013" s="347"/>
      <c r="H1013" s="347"/>
      <c r="I1013" s="347"/>
      <c r="J1013" s="347"/>
      <c r="K1013" s="348"/>
      <c r="L1013" s="1"/>
      <c r="M1013" s="88"/>
      <c r="N1013" s="88"/>
    </row>
    <row r="1014" spans="1:14" s="2" customFormat="1" ht="3" customHeight="1" x14ac:dyDescent="0.3">
      <c r="A1014" s="93"/>
      <c r="B1014" s="94"/>
      <c r="C1014" s="94"/>
      <c r="D1014" s="94"/>
      <c r="E1014" s="95"/>
      <c r="F1014" s="95"/>
      <c r="G1014" s="94"/>
      <c r="H1014" s="94"/>
      <c r="I1014" s="94"/>
      <c r="J1014" s="94"/>
      <c r="K1014" s="96"/>
      <c r="L1014" s="1"/>
      <c r="M1014" s="88"/>
      <c r="N1014" s="88"/>
    </row>
    <row r="1015" spans="1:14" s="2" customFormat="1" x14ac:dyDescent="0.3">
      <c r="A1015" s="123" t="s">
        <v>68</v>
      </c>
      <c r="B1015" s="124" t="e">
        <f ca="1">VLOOKUP($B1016,Salary_Master_2,3,FALSE)</f>
        <v>#N/A</v>
      </c>
      <c r="C1015" s="349" t="s">
        <v>21</v>
      </c>
      <c r="D1015" s="349"/>
      <c r="E1015" s="350">
        <f>IF($E$1="","",$E$1)</f>
        <v>45809</v>
      </c>
      <c r="F1015" s="350"/>
      <c r="G1015" s="97" t="s">
        <v>22</v>
      </c>
      <c r="H1015" s="98" t="str">
        <f ca="1">VLOOKUP($B1016,INDIRECT(VLOOKUP($E$7,$M$2:$N$20,2,FALSE)),3,FALSE)</f>
        <v/>
      </c>
      <c r="I1015" s="99"/>
      <c r="J1015" s="100" t="s">
        <v>27</v>
      </c>
      <c r="K1015" s="101"/>
      <c r="L1015" s="1"/>
      <c r="M1015" s="86"/>
      <c r="N1015" s="88"/>
    </row>
    <row r="1016" spans="1:14" s="2" customFormat="1" x14ac:dyDescent="0.3">
      <c r="A1016" s="123" t="s">
        <v>19</v>
      </c>
      <c r="B1016" s="124" t="str">
        <f ca="1">IF(Salary_Master_2!$B$33="","",VLOOKUP(Salary_Master_2!$B$33,INDIRECT(VLOOKUP($E1015,$M$2:$N$20,2,FALSE)),1,FALSE))</f>
        <v/>
      </c>
      <c r="C1016" s="351" t="s">
        <v>1</v>
      </c>
      <c r="D1016" s="351"/>
      <c r="E1016" s="352">
        <f ca="1">SUM($H1015:$H1018)</f>
        <v>0</v>
      </c>
      <c r="F1016" s="352"/>
      <c r="G1016" s="97" t="s">
        <v>24</v>
      </c>
      <c r="H1016" s="102">
        <f ca="1">VLOOKUP($B1016,INDIRECT(VLOOKUP($E$7,$M$2:$N$20,2,FALSE)),4,FALSE)</f>
        <v>0</v>
      </c>
      <c r="I1016" s="100"/>
      <c r="J1016" s="103" t="s">
        <v>28</v>
      </c>
      <c r="K1016" s="101">
        <f ca="1">VLOOKUP($B1016,INDIRECT(VLOOKUP($E$7,$M$2:$N$20,2,FALSE)),29,FALSE)</f>
        <v>0</v>
      </c>
      <c r="L1016" s="1"/>
      <c r="M1016" s="86"/>
      <c r="N1016" s="88"/>
    </row>
    <row r="1017" spans="1:14" s="2" customFormat="1" x14ac:dyDescent="0.3">
      <c r="A1017" s="123" t="s">
        <v>0</v>
      </c>
      <c r="B1017" s="124" t="e">
        <f ca="1">VLOOKUP($B1016,Salary_Master_2,4,FALSE)</f>
        <v>#N/A</v>
      </c>
      <c r="C1017" s="124"/>
      <c r="D1017" s="103" t="s">
        <v>70</v>
      </c>
      <c r="E1017" s="337" t="e">
        <f ca="1">VLOOKUP($B1016,Salary_Master_2,9,FALSE)</f>
        <v>#N/A</v>
      </c>
      <c r="F1017" s="337"/>
      <c r="G1017" s="97" t="s">
        <v>25</v>
      </c>
      <c r="H1017" s="102">
        <f ca="1">VLOOKUP($B1016,INDIRECT(VLOOKUP($E$7,$M$2:$N$20,2,FALSE)),5,FALSE)</f>
        <v>0</v>
      </c>
      <c r="I1017" s="97"/>
      <c r="J1017" s="103" t="s">
        <v>29</v>
      </c>
      <c r="K1017" s="101" t="str">
        <f ca="1">VLOOKUP($B1016,INDIRECT(VLOOKUP($E$7,$M$2:$N$20,2,FALSE)),30,FALSE)</f>
        <v/>
      </c>
      <c r="L1017" s="1"/>
      <c r="M1017" s="86"/>
      <c r="N1017" s="88"/>
    </row>
    <row r="1018" spans="1:14" s="2" customFormat="1" x14ac:dyDescent="0.3">
      <c r="A1018" s="123" t="s">
        <v>20</v>
      </c>
      <c r="B1018" s="124" t="e">
        <f ca="1">VLOOKUP($B1016,Salary_Master_2,5,FALSE)</f>
        <v>#N/A</v>
      </c>
      <c r="C1018" s="124"/>
      <c r="D1018" s="103" t="s">
        <v>71</v>
      </c>
      <c r="E1018" s="337" t="e">
        <f ca="1">VLOOKUP($B1016,Salary_Master_2,10,FALSE)</f>
        <v>#N/A</v>
      </c>
      <c r="F1018" s="337"/>
      <c r="G1018" s="97" t="s">
        <v>26</v>
      </c>
      <c r="H1018" s="102">
        <f ca="1">VLOOKUP($B1016,INDIRECT(VLOOKUP($E$7,$M$2:$N$20,2,FALSE)),6,FALSE)</f>
        <v>0</v>
      </c>
      <c r="I1018" s="97"/>
      <c r="J1018" s="103" t="s">
        <v>30</v>
      </c>
      <c r="K1018" s="101" t="str">
        <f ca="1">VLOOKUP($B1016,INDIRECT(VLOOKUP($E$7,$M$2:$N$20,2,FALSE)),31,FALSE)</f>
        <v/>
      </c>
      <c r="L1018" s="1"/>
      <c r="M1018" s="86"/>
      <c r="N1018" s="88"/>
    </row>
    <row r="1019" spans="1:14" s="2" customFormat="1" x14ac:dyDescent="0.3">
      <c r="A1019" s="123" t="s">
        <v>69</v>
      </c>
      <c r="B1019" s="124" t="e">
        <f ca="1">VLOOKUP($B1016,Salary_Master_2,6,FALSE)</f>
        <v>#N/A</v>
      </c>
      <c r="C1019" s="124"/>
      <c r="D1019" s="104"/>
      <c r="E1019" s="105"/>
      <c r="F1019" s="105"/>
      <c r="G1019" s="97" t="s">
        <v>23</v>
      </c>
      <c r="H1019" s="102">
        <f ca="1">VLOOKUP($B1016,INDIRECT(VLOOKUP($E$7,$M$2:$N$20,2,FALSE)),8,FALSE)</f>
        <v>0</v>
      </c>
      <c r="I1019" s="97"/>
      <c r="J1019" s="125"/>
      <c r="K1019" s="101"/>
      <c r="L1019" s="1"/>
      <c r="M1019" s="86"/>
      <c r="N1019" s="88"/>
    </row>
    <row r="1020" spans="1:14" s="2" customFormat="1" x14ac:dyDescent="0.3">
      <c r="A1020" s="123" t="s">
        <v>32</v>
      </c>
      <c r="B1020" s="106" t="e">
        <f ca="1">VLOOKUP($B1016,Salary_Master_2,7,FALSE)</f>
        <v>#N/A</v>
      </c>
      <c r="C1020" s="106"/>
      <c r="D1020" s="104"/>
      <c r="E1020" s="105"/>
      <c r="F1020" s="105"/>
      <c r="G1020" s="97" t="s">
        <v>31</v>
      </c>
      <c r="H1020" s="102">
        <f ca="1">VLOOKUP($B1016,INDIRECT(VLOOKUP($E$7,$M$2:$N$20,2,FALSE)),9,FALSE)</f>
        <v>0</v>
      </c>
      <c r="I1020" s="107"/>
      <c r="J1020" s="107"/>
      <c r="K1020" s="101"/>
      <c r="L1020" s="1"/>
      <c r="M1020" s="86"/>
      <c r="N1020" s="88"/>
    </row>
    <row r="1021" spans="1:14" s="2" customFormat="1" ht="3" customHeight="1" x14ac:dyDescent="0.3">
      <c r="A1021" s="108"/>
      <c r="B1021" s="109"/>
      <c r="C1021" s="109"/>
      <c r="D1021" s="109"/>
      <c r="E1021" s="110"/>
      <c r="F1021" s="110"/>
      <c r="G1021" s="109"/>
      <c r="H1021" s="109"/>
      <c r="I1021" s="111"/>
      <c r="J1021" s="111"/>
      <c r="K1021" s="112"/>
      <c r="L1021" s="1"/>
      <c r="M1021" s="88"/>
      <c r="N1021" s="88"/>
    </row>
    <row r="1022" spans="1:14" s="2" customFormat="1" ht="3" customHeight="1" x14ac:dyDescent="0.3">
      <c r="A1022" s="123"/>
      <c r="B1022" s="113"/>
      <c r="C1022" s="113"/>
      <c r="D1022" s="113"/>
      <c r="E1022" s="124"/>
      <c r="F1022" s="124"/>
      <c r="G1022" s="113"/>
      <c r="H1022" s="113"/>
      <c r="I1022" s="114"/>
      <c r="J1022" s="114"/>
      <c r="K1022" s="115"/>
      <c r="L1022" s="1"/>
      <c r="M1022" s="88"/>
      <c r="N1022" s="88"/>
    </row>
    <row r="1023" spans="1:14" s="1" customFormat="1" ht="3" customHeight="1" x14ac:dyDescent="0.3">
      <c r="A1023" s="116"/>
      <c r="B1023" s="117"/>
      <c r="C1023" s="117"/>
      <c r="D1023" s="115"/>
      <c r="E1023" s="118"/>
      <c r="F1023" s="118"/>
      <c r="G1023" s="117"/>
      <c r="H1023" s="117"/>
      <c r="I1023" s="119"/>
      <c r="J1023" s="119"/>
      <c r="K1023" s="115"/>
      <c r="M1023" s="88"/>
      <c r="N1023" s="88"/>
    </row>
    <row r="1024" spans="1:14" s="1" customFormat="1" ht="12" customHeight="1" x14ac:dyDescent="0.3">
      <c r="A1024" s="120" t="s">
        <v>4</v>
      </c>
      <c r="B1024" s="113"/>
      <c r="C1024" s="113"/>
      <c r="D1024" s="121" t="s">
        <v>5</v>
      </c>
      <c r="E1024" s="122" t="s">
        <v>6</v>
      </c>
      <c r="F1024" s="122"/>
      <c r="G1024" s="113"/>
      <c r="H1024" s="113"/>
      <c r="I1024" s="113"/>
      <c r="J1024" s="113"/>
      <c r="K1024" s="121" t="s">
        <v>5</v>
      </c>
      <c r="M1024" s="86"/>
      <c r="N1024" s="88"/>
    </row>
    <row r="1025" spans="1:14" s="1" customFormat="1" ht="3" customHeight="1" x14ac:dyDescent="0.3">
      <c r="A1025" s="108"/>
      <c r="B1025" s="109"/>
      <c r="C1025" s="109"/>
      <c r="D1025" s="112"/>
      <c r="E1025" s="110"/>
      <c r="F1025" s="110"/>
      <c r="G1025" s="109"/>
      <c r="H1025" s="109"/>
      <c r="I1025" s="111"/>
      <c r="J1025" s="111"/>
      <c r="K1025" s="112"/>
      <c r="M1025" s="88"/>
      <c r="N1025" s="88"/>
    </row>
    <row r="1026" spans="1:14" s="1" customFormat="1" ht="3" customHeight="1" x14ac:dyDescent="0.3">
      <c r="A1026" s="123"/>
      <c r="B1026" s="113"/>
      <c r="C1026" s="113"/>
      <c r="D1026" s="101"/>
      <c r="E1026" s="124"/>
      <c r="F1026" s="124"/>
      <c r="G1026" s="113"/>
      <c r="H1026" s="113"/>
      <c r="I1026" s="114"/>
      <c r="J1026" s="114"/>
      <c r="K1026" s="101"/>
      <c r="M1026" s="88"/>
      <c r="N1026" s="88"/>
    </row>
    <row r="1027" spans="1:14" s="1" customFormat="1" ht="12" customHeight="1" x14ac:dyDescent="0.3">
      <c r="A1027" s="324" t="s">
        <v>7</v>
      </c>
      <c r="B1027" s="325"/>
      <c r="C1027" s="326" t="str">
        <f ca="1">VLOOKUP($B1016,INDIRECT(VLOOKUP($E1015,$M$2:$N$20,2,FALSE)),13,FALSE)</f>
        <v/>
      </c>
      <c r="D1027" s="327"/>
      <c r="E1027" s="324" t="s">
        <v>8</v>
      </c>
      <c r="F1027" s="325"/>
      <c r="G1027" s="325"/>
      <c r="H1027" s="325"/>
      <c r="I1027" s="325"/>
      <c r="J1027" s="326">
        <f ca="1">VLOOKUP($B1016,INDIRECT(VLOOKUP($E1015,$M$2:$N$20,2,FALSE)),22,FALSE)</f>
        <v>0</v>
      </c>
      <c r="K1027" s="327"/>
      <c r="M1027" s="86"/>
      <c r="N1027" s="88"/>
    </row>
    <row r="1028" spans="1:14" s="1" customFormat="1" ht="12" customHeight="1" x14ac:dyDescent="0.3">
      <c r="A1028" s="324" t="s">
        <v>9</v>
      </c>
      <c r="B1028" s="325"/>
      <c r="C1028" s="326" t="str">
        <f ca="1">VLOOKUP($B1016,INDIRECT(VLOOKUP($E1015,$M$2:$N$20,2,FALSE)),14,FALSE)</f>
        <v/>
      </c>
      <c r="D1028" s="327"/>
      <c r="E1028" s="324" t="s">
        <v>94</v>
      </c>
      <c r="F1028" s="325"/>
      <c r="G1028" s="325"/>
      <c r="H1028" s="325"/>
      <c r="I1028" s="325"/>
      <c r="J1028" s="326">
        <f ca="1">VLOOKUP($B1016,INDIRECT(VLOOKUP($E1015,$M$2:$N$20,2,FALSE)),23,FALSE)</f>
        <v>0</v>
      </c>
      <c r="K1028" s="327"/>
      <c r="M1028" s="86"/>
      <c r="N1028" s="88"/>
    </row>
    <row r="1029" spans="1:14" s="1" customFormat="1" ht="12" customHeight="1" x14ac:dyDescent="0.3">
      <c r="A1029" s="324" t="s">
        <v>11</v>
      </c>
      <c r="B1029" s="325"/>
      <c r="C1029" s="326" t="str">
        <f ca="1">VLOOKUP($B1016,INDIRECT(VLOOKUP($E1015,$M$2:$N$20,2,FALSE)),15,FALSE)</f>
        <v/>
      </c>
      <c r="D1029" s="327"/>
      <c r="E1029" s="324" t="s">
        <v>10</v>
      </c>
      <c r="F1029" s="325"/>
      <c r="G1029" s="325"/>
      <c r="H1029" s="325"/>
      <c r="I1029" s="325"/>
      <c r="J1029" s="326">
        <f ca="1">VLOOKUP($B1016,INDIRECT(VLOOKUP($E1015,$M$2:$N$20,2,FALSE)),24,FALSE)</f>
        <v>0</v>
      </c>
      <c r="K1029" s="327"/>
      <c r="M1029" s="87"/>
      <c r="N1029" s="86"/>
    </row>
    <row r="1030" spans="1:14" s="1" customFormat="1" ht="12" customHeight="1" x14ac:dyDescent="0.3">
      <c r="A1030" s="324" t="s">
        <v>3</v>
      </c>
      <c r="B1030" s="325"/>
      <c r="C1030" s="326" t="str">
        <f ca="1">VLOOKUP($B1016,INDIRECT(VLOOKUP($E1015,$M$2:$N$20,2,FALSE)),16,FALSE)</f>
        <v/>
      </c>
      <c r="D1030" s="327"/>
      <c r="E1030" s="324" t="s">
        <v>93</v>
      </c>
      <c r="F1030" s="325"/>
      <c r="G1030" s="325"/>
      <c r="H1030" s="325"/>
      <c r="I1030" s="325"/>
      <c r="J1030" s="326">
        <f ca="1">VLOOKUP($B1016,INDIRECT(VLOOKUP($E1015,$M$2:$N$20,2,FALSE)),25,FALSE)</f>
        <v>0</v>
      </c>
      <c r="K1030" s="327"/>
      <c r="M1030" s="87"/>
      <c r="N1030" s="89"/>
    </row>
    <row r="1031" spans="1:14" s="1" customFormat="1" ht="12" customHeight="1" x14ac:dyDescent="0.3">
      <c r="A1031" s="324" t="s">
        <v>13</v>
      </c>
      <c r="B1031" s="325"/>
      <c r="C1031" s="326" t="str">
        <f ca="1">VLOOKUP($B1016,INDIRECT(VLOOKUP($E1015,$M$2:$N$20,2,FALSE)),17,FALSE)</f>
        <v/>
      </c>
      <c r="D1031" s="327"/>
      <c r="E1031" s="324" t="s">
        <v>12</v>
      </c>
      <c r="F1031" s="325"/>
      <c r="G1031" s="325"/>
      <c r="H1031" s="325"/>
      <c r="I1031" s="325"/>
      <c r="J1031" s="326">
        <f ca="1">VLOOKUP($B1016,INDIRECT(VLOOKUP($E1015,$M$2:$N$20,2,FALSE)),26,FALSE)</f>
        <v>0</v>
      </c>
      <c r="K1031" s="327"/>
      <c r="M1031" s="88" t="s">
        <v>73</v>
      </c>
      <c r="N1031" s="88" t="str">
        <f ca="1">IF(VLOOKUP($B1016,INDIRECT(VLOOKUP($E1015,$M$2:$N$20,2,FALSE)),38,FALSE)&gt;0,"Yes","No")</f>
        <v>No</v>
      </c>
    </row>
    <row r="1032" spans="1:14" s="1" customFormat="1" ht="12" customHeight="1" x14ac:dyDescent="0.3">
      <c r="A1032" s="324" t="str">
        <f ca="1">IF($J1028&gt;0,"Other Allowance",IF(VLOOKUP($B1016,INDIRECT(VLOOKUP($E1015,$M$2:$N$20,2,FALSE)),44,FALSE)=0,"",IF($E1015=DATE(2025,6,1),"Arrears of Apr &amp; May-2025","")))</f>
        <v>Arrears of Apr &amp; May-2025</v>
      </c>
      <c r="B1032" s="325"/>
      <c r="C1032" s="326" t="str" cm="1">
        <f t="array" aca="1" ref="C1032" ca="1">_xlfn.IFS($A1032="","",$A1032="Other Allowance",VLOOKUP($B1016,INDIRECT(VLOOKUP($E1015,$M$2:$N$20,2,FALSE)),18,FALSE),$A1032="Arrears of Apr &amp; May-2025",VLOOKUP($B1016,INDIRECT(VLOOKUP($E1015,$M$2:$N$20,2,FALSE)),44,FALSE))</f>
        <v/>
      </c>
      <c r="D1032" s="327"/>
      <c r="E1032" s="324" t="str" cm="1">
        <f t="array" aca="1" ref="E1032" ca="1">_xlfn.IFS(N1031="Yes",M1031,N1032="Yes",M1032,TRUE,"")</f>
        <v/>
      </c>
      <c r="F1032" s="325"/>
      <c r="G1032" s="325"/>
      <c r="H1032" s="325"/>
      <c r="I1032" s="325"/>
      <c r="J1032" s="335" t="str" cm="1">
        <f t="array" aca="1" ref="J1032" ca="1">IF(E1032="","",_xlfn.IFS(N1031="Yes",VLOOKUP($B1016,INDIRECT(VLOOKUP($E1015,$M$2:$N$20,2,FALSE)),27,FALSE),N1032="Yes",VLOOKUP($B1016,INDIRECT(VLOOKUP($E1015,$M$2:$N$20,2,FALSE)),28,FALSE)))</f>
        <v/>
      </c>
      <c r="K1032" s="336"/>
      <c r="M1032" s="88" t="s">
        <v>14</v>
      </c>
      <c r="N1032" s="88" t="str">
        <f ca="1">IF(VLOOKUP($B1016,INDIRECT(VLOOKUP($E$7,$M$2:$N$20,2,FALSE)),39,FALSE)&gt;0,"Yes","No")</f>
        <v>No</v>
      </c>
    </row>
    <row r="1033" spans="1:14" s="1" customFormat="1" ht="12" customHeight="1" x14ac:dyDescent="0.3">
      <c r="A1033" s="324" t="str" cm="1">
        <f t="array" aca="1" ref="A1033" ca="1">_xlfn.IFS($A1032="","",$A1032="Other Allowance","EPF",$A1032="Arrears of Apr &amp; May-2025","",VLOOKUP($B1016,INDIRECT(VLOOKUP($E1015,$M$2:$N$20,2,FALSE)),44,FALSE)=0,"",$E1015=DATE(2025,6,1),"Arrears of Apr &amp; May-2025")</f>
        <v/>
      </c>
      <c r="B1033" s="325"/>
      <c r="C1033" s="326" t="str" cm="1">
        <f t="array" aca="1" ref="C1033" ca="1">_xlfn.IFS($A1033="","",$A1033="EPF",VLOOKUP($B1016,INDIRECT(VLOOKUP($E1015,$M$2:$N$20,2,FALSE)),19,FALSE),$A1033="Arrears of Apr &amp; May-2025",VLOOKUP($B1016,INDIRECT(VLOOKUP($E1015,$M$2:$N$20,2,FALSE)),44,FALSE))</f>
        <v/>
      </c>
      <c r="D1033" s="327"/>
      <c r="E1033" s="324" t="str" cm="1">
        <f t="array" aca="1" ref="E1033" ca="1">_xlfn.IFS(N1032="No","",N1031="Yes",M1032,TRUE,"")</f>
        <v/>
      </c>
      <c r="F1033" s="325"/>
      <c r="G1033" s="325"/>
      <c r="H1033" s="325"/>
      <c r="I1033" s="325"/>
      <c r="J1033" s="335" t="str">
        <f ca="1">IF(E1033="","",VLOOKUP($B1016,INDIRECT(VLOOKUP($E1015,$M$2:$N$20,2,FALSE)),28,FALSE))</f>
        <v/>
      </c>
      <c r="K1033" s="336"/>
      <c r="M1033" s="130"/>
      <c r="N1033" s="88"/>
    </row>
    <row r="1034" spans="1:14" s="1" customFormat="1" ht="12" customHeight="1" x14ac:dyDescent="0.3">
      <c r="A1034" s="324" t="str">
        <f ca="1">IF($J1030&gt;0,"ESIC (Employer)",IF($A1033="","",IF(VLOOKUP($B1016,INDIRECT(VLOOKUP($E1015,$M$2:$N$20,2,FALSE)),44,FALSE)="","",IF($E1015=DATE(2025,6,1),"Arrears of Apr &amp; May-2025",""))))</f>
        <v/>
      </c>
      <c r="B1034" s="325"/>
      <c r="C1034" s="326" t="str" cm="1">
        <f t="array" aca="1" ref="C1034" ca="1">_xlfn.IFS($A1034="","",$A1034="ESIC (Employer)",VLOOKUP($B1016,INDIRECT(VLOOKUP($E1015,$M$2:$N$20,2,FALSE)),20,FALSE),$A1034="Arrears of Apr &amp; May-2025",VLOOKUP($B1016,INDIRECT(VLOOKUP($E1015,$M$2:$N$20,2,FALSE)),44,FALSE))</f>
        <v/>
      </c>
      <c r="D1034" s="327"/>
      <c r="E1034" s="324"/>
      <c r="F1034" s="325"/>
      <c r="G1034" s="325"/>
      <c r="H1034" s="325"/>
      <c r="I1034" s="325"/>
      <c r="J1034" s="335"/>
      <c r="K1034" s="336"/>
      <c r="M1034" s="88"/>
      <c r="N1034" s="88"/>
    </row>
    <row r="1035" spans="1:14" s="1" customFormat="1" ht="12" customHeight="1" x14ac:dyDescent="0.3">
      <c r="A1035" s="324" t="str">
        <f ca="1">IF($A1034="","",IF(VLOOKUP($B1016,INDIRECT(VLOOKUP($E1015,$M$2:$N$20,2,FALSE)),44,FALSE)=0,"",IF($A1034="Arrears of Apr &amp; May-2025","",IF($E1015=DATE(2025,6,1),"Arrears of Apr &amp; May-2025",""))))</f>
        <v/>
      </c>
      <c r="B1035" s="325"/>
      <c r="C1035" s="326" t="str" cm="1">
        <f t="array" aca="1" ref="C1035" ca="1">_xlfn.IFS($A1035="","",$A1035="Arrears of Apr &amp; May-2025",VLOOKUP($B1016,INDIRECT(VLOOKUP($E1015,$M$2:$N$20,2,FALSE)),44,FALSE))</f>
        <v/>
      </c>
      <c r="D1035" s="327"/>
      <c r="E1035" s="324"/>
      <c r="F1035" s="325"/>
      <c r="G1035" s="325"/>
      <c r="H1035" s="325"/>
      <c r="I1035" s="325"/>
      <c r="J1035" s="335"/>
      <c r="K1035" s="336"/>
      <c r="M1035" s="88"/>
      <c r="N1035" s="88"/>
    </row>
    <row r="1036" spans="1:14" s="1" customFormat="1" ht="12" customHeight="1" x14ac:dyDescent="0.3">
      <c r="A1036" s="324"/>
      <c r="B1036" s="325"/>
      <c r="C1036" s="326"/>
      <c r="D1036" s="327"/>
      <c r="E1036" s="124"/>
      <c r="F1036" s="124"/>
      <c r="G1036" s="124"/>
      <c r="H1036" s="124"/>
      <c r="I1036" s="124"/>
      <c r="J1036" s="335"/>
      <c r="K1036" s="336"/>
      <c r="M1036" s="88"/>
      <c r="N1036" s="88"/>
    </row>
    <row r="1037" spans="1:14" s="1" customFormat="1" ht="3" customHeight="1" x14ac:dyDescent="0.3">
      <c r="A1037" s="108"/>
      <c r="B1037" s="109"/>
      <c r="C1037" s="109"/>
      <c r="D1037" s="112"/>
      <c r="E1037" s="110"/>
      <c r="F1037" s="110"/>
      <c r="G1037" s="109"/>
      <c r="H1037" s="109"/>
      <c r="I1037" s="111"/>
      <c r="J1037" s="111"/>
      <c r="K1037" s="112"/>
      <c r="M1037" s="88"/>
      <c r="N1037" s="88"/>
    </row>
    <row r="1038" spans="1:14" s="1" customFormat="1" ht="3" customHeight="1" x14ac:dyDescent="0.3">
      <c r="A1038" s="123"/>
      <c r="B1038" s="113"/>
      <c r="C1038" s="113"/>
      <c r="D1038" s="101"/>
      <c r="E1038" s="124"/>
      <c r="F1038" s="124"/>
      <c r="G1038" s="113"/>
      <c r="H1038" s="113"/>
      <c r="I1038" s="114"/>
      <c r="J1038" s="114"/>
      <c r="K1038" s="101"/>
      <c r="M1038" s="88"/>
      <c r="N1038" s="88"/>
    </row>
    <row r="1039" spans="1:14" s="4" customFormat="1" ht="19.95" customHeight="1" x14ac:dyDescent="0.3">
      <c r="A1039" s="328" t="s">
        <v>15</v>
      </c>
      <c r="B1039" s="329"/>
      <c r="C1039" s="330">
        <f ca="1">SUM(C1027:D1038)</f>
        <v>0</v>
      </c>
      <c r="D1039" s="331"/>
      <c r="E1039" s="328" t="s">
        <v>16</v>
      </c>
      <c r="F1039" s="329"/>
      <c r="G1039" s="329"/>
      <c r="H1039" s="329"/>
      <c r="I1039" s="329"/>
      <c r="J1039" s="330">
        <f ca="1">SUM(J1027:K1035)</f>
        <v>0</v>
      </c>
      <c r="K1039" s="331"/>
      <c r="M1039" s="129"/>
      <c r="N1039" s="90"/>
    </row>
    <row r="1040" spans="1:14" s="1" customFormat="1" ht="3" customHeight="1" x14ac:dyDescent="0.3">
      <c r="A1040" s="108"/>
      <c r="B1040" s="109"/>
      <c r="C1040" s="109"/>
      <c r="D1040" s="112"/>
      <c r="E1040" s="110"/>
      <c r="F1040" s="110"/>
      <c r="G1040" s="109"/>
      <c r="H1040" s="109"/>
      <c r="I1040" s="111"/>
      <c r="J1040" s="111"/>
      <c r="K1040" s="112"/>
      <c r="M1040" s="88"/>
      <c r="N1040" s="88"/>
    </row>
    <row r="1041" spans="1:14" s="1" customFormat="1" ht="3" customHeight="1" x14ac:dyDescent="0.3">
      <c r="A1041" s="123"/>
      <c r="B1041" s="113"/>
      <c r="C1041" s="113"/>
      <c r="D1041" s="117"/>
      <c r="E1041" s="118"/>
      <c r="F1041" s="124"/>
      <c r="G1041" s="113"/>
      <c r="H1041" s="126"/>
      <c r="I1041" s="119"/>
      <c r="J1041" s="119"/>
      <c r="K1041" s="115"/>
      <c r="M1041" s="88"/>
      <c r="N1041" s="88"/>
    </row>
    <row r="1042" spans="1:14" s="5" customFormat="1" ht="19.95" customHeight="1" x14ac:dyDescent="0.3">
      <c r="A1042" s="328" t="str" cm="1">
        <f t="array" aca="1" ref="A1042" ca="1">mgm(J1042)</f>
        <v>zero</v>
      </c>
      <c r="B1042" s="329"/>
      <c r="C1042" s="329"/>
      <c r="D1042" s="329"/>
      <c r="E1042" s="329"/>
      <c r="F1042" s="329"/>
      <c r="G1042" s="332"/>
      <c r="H1042" s="333" t="s">
        <v>17</v>
      </c>
      <c r="I1042" s="334"/>
      <c r="J1042" s="330">
        <f ca="1">C1039-J1039</f>
        <v>0</v>
      </c>
      <c r="K1042" s="331"/>
      <c r="L1042" s="205"/>
      <c r="M1042" s="90"/>
      <c r="N1042" s="90"/>
    </row>
    <row r="1043" spans="1:14" s="1" customFormat="1" ht="3" customHeight="1" x14ac:dyDescent="0.3">
      <c r="A1043" s="108"/>
      <c r="B1043" s="109"/>
      <c r="C1043" s="109"/>
      <c r="D1043" s="109"/>
      <c r="E1043" s="110"/>
      <c r="F1043" s="110"/>
      <c r="G1043" s="109"/>
      <c r="H1043" s="127"/>
      <c r="I1043" s="111"/>
      <c r="J1043" s="111"/>
      <c r="K1043" s="112"/>
      <c r="M1043" s="88"/>
      <c r="N1043" s="88"/>
    </row>
    <row r="1044" spans="1:14" s="1" customFormat="1" ht="19.95" customHeight="1" x14ac:dyDescent="0.3">
      <c r="A1044" s="323" t="s">
        <v>18</v>
      </c>
      <c r="B1044" s="323"/>
      <c r="C1044" s="323"/>
      <c r="D1044" s="323"/>
      <c r="E1044" s="323"/>
      <c r="F1044" s="323"/>
      <c r="G1044" s="323"/>
      <c r="H1044" s="323"/>
      <c r="I1044" s="323"/>
      <c r="J1044" s="323"/>
      <c r="K1044" s="323"/>
      <c r="M1044" s="88"/>
      <c r="N1044" s="88"/>
    </row>
    <row r="1045" spans="1:14" s="132" customFormat="1" ht="60" customHeight="1" x14ac:dyDescent="0.3">
      <c r="A1045" s="181"/>
      <c r="E1045" s="181"/>
      <c r="F1045" s="181"/>
    </row>
    <row r="1046" spans="1:14" s="2" customFormat="1" ht="19.95" customHeight="1" x14ac:dyDescent="0.3">
      <c r="A1046" s="338" t="s">
        <v>107</v>
      </c>
      <c r="B1046" s="339"/>
      <c r="C1046" s="339"/>
      <c r="D1046" s="339"/>
      <c r="E1046" s="339"/>
      <c r="F1046" s="339"/>
      <c r="G1046" s="339"/>
      <c r="H1046" s="339"/>
      <c r="I1046" s="339"/>
      <c r="J1046" s="339"/>
      <c r="K1046" s="340"/>
      <c r="L1046" s="1"/>
      <c r="M1046" s="86"/>
      <c r="N1046" s="87"/>
    </row>
    <row r="1047" spans="1:14" s="2" customFormat="1" ht="15" customHeight="1" x14ac:dyDescent="0.3">
      <c r="A1047" s="341" t="s">
        <v>180</v>
      </c>
      <c r="B1047" s="342"/>
      <c r="C1047" s="342"/>
      <c r="D1047" s="342"/>
      <c r="E1047" s="342"/>
      <c r="F1047" s="342"/>
      <c r="G1047" s="342"/>
      <c r="H1047" s="342"/>
      <c r="I1047" s="342"/>
      <c r="J1047" s="342"/>
      <c r="K1047" s="343"/>
      <c r="L1047" s="1"/>
      <c r="M1047" s="86"/>
      <c r="N1047" s="88"/>
    </row>
    <row r="1048" spans="1:14" s="2" customFormat="1" ht="15" customHeight="1" x14ac:dyDescent="0.3">
      <c r="A1048" s="344" t="s">
        <v>72</v>
      </c>
      <c r="B1048" s="345"/>
      <c r="C1048" s="345"/>
      <c r="D1048" s="345"/>
      <c r="E1048" s="345"/>
      <c r="F1048" s="345"/>
      <c r="G1048" s="345"/>
      <c r="H1048" s="345"/>
      <c r="I1048" s="345"/>
      <c r="J1048" s="345"/>
      <c r="K1048" s="346"/>
      <c r="L1048" s="1"/>
      <c r="M1048" s="86"/>
      <c r="N1048" s="88"/>
    </row>
    <row r="1049" spans="1:14" s="2" customFormat="1" ht="4.95" customHeight="1" x14ac:dyDescent="0.3">
      <c r="A1049" s="92"/>
      <c r="B1049" s="347"/>
      <c r="C1049" s="347"/>
      <c r="D1049" s="347"/>
      <c r="E1049" s="347"/>
      <c r="F1049" s="347"/>
      <c r="G1049" s="347"/>
      <c r="H1049" s="347"/>
      <c r="I1049" s="347"/>
      <c r="J1049" s="347"/>
      <c r="K1049" s="348"/>
      <c r="L1049" s="1"/>
      <c r="M1049" s="88"/>
      <c r="N1049" s="88"/>
    </row>
    <row r="1050" spans="1:14" s="2" customFormat="1" ht="3" customHeight="1" x14ac:dyDescent="0.3">
      <c r="A1050" s="93"/>
      <c r="B1050" s="94"/>
      <c r="C1050" s="94"/>
      <c r="D1050" s="94"/>
      <c r="E1050" s="95"/>
      <c r="F1050" s="95"/>
      <c r="G1050" s="94"/>
      <c r="H1050" s="94"/>
      <c r="I1050" s="94"/>
      <c r="J1050" s="94"/>
      <c r="K1050" s="96"/>
      <c r="L1050" s="1"/>
      <c r="M1050" s="88"/>
      <c r="N1050" s="88"/>
    </row>
    <row r="1051" spans="1:14" s="2" customFormat="1" x14ac:dyDescent="0.3">
      <c r="A1051" s="123" t="s">
        <v>68</v>
      </c>
      <c r="B1051" s="124" t="e">
        <f ca="1">VLOOKUP($B1052,Salary_Master_2,3,FALSE)</f>
        <v>#N/A</v>
      </c>
      <c r="C1051" s="349" t="s">
        <v>21</v>
      </c>
      <c r="D1051" s="349"/>
      <c r="E1051" s="350">
        <f>IF($E$1="","",$E$1)</f>
        <v>45809</v>
      </c>
      <c r="F1051" s="350"/>
      <c r="G1051" s="97" t="s">
        <v>22</v>
      </c>
      <c r="H1051" s="98" t="str">
        <f ca="1">VLOOKUP($B1052,INDIRECT(VLOOKUP($E$7,$M$2:$N$20,2,FALSE)),3,FALSE)</f>
        <v/>
      </c>
      <c r="I1051" s="99"/>
      <c r="J1051" s="100" t="s">
        <v>27</v>
      </c>
      <c r="K1051" s="101"/>
      <c r="L1051" s="1"/>
      <c r="M1051" s="86"/>
      <c r="N1051" s="88"/>
    </row>
    <row r="1052" spans="1:14" s="2" customFormat="1" x14ac:dyDescent="0.3">
      <c r="A1052" s="123" t="s">
        <v>19</v>
      </c>
      <c r="B1052" s="124" t="str">
        <f ca="1">IF(Salary_Master_2!$B$34="","",VLOOKUP(Salary_Master_2!$B$34,INDIRECT(VLOOKUP($E1051,$M$2:$N$20,2,FALSE)),1,FALSE))</f>
        <v/>
      </c>
      <c r="C1052" s="351" t="s">
        <v>1</v>
      </c>
      <c r="D1052" s="351"/>
      <c r="E1052" s="352">
        <f ca="1">SUM($H1051:$H1054)</f>
        <v>0</v>
      </c>
      <c r="F1052" s="352"/>
      <c r="G1052" s="97" t="s">
        <v>24</v>
      </c>
      <c r="H1052" s="102">
        <f ca="1">VLOOKUP($B1052,INDIRECT(VLOOKUP($E$7,$M$2:$N$20,2,FALSE)),4,FALSE)</f>
        <v>0</v>
      </c>
      <c r="I1052" s="100"/>
      <c r="J1052" s="103" t="s">
        <v>28</v>
      </c>
      <c r="K1052" s="101">
        <f ca="1">VLOOKUP($B1052,INDIRECT(VLOOKUP($E$7,$M$2:$N$20,2,FALSE)),29,FALSE)</f>
        <v>0</v>
      </c>
      <c r="L1052" s="1"/>
      <c r="M1052" s="86"/>
      <c r="N1052" s="88"/>
    </row>
    <row r="1053" spans="1:14" s="2" customFormat="1" x14ac:dyDescent="0.3">
      <c r="A1053" s="123" t="s">
        <v>0</v>
      </c>
      <c r="B1053" s="124" t="e">
        <f ca="1">VLOOKUP($B1052,Salary_Master_2,4,FALSE)</f>
        <v>#N/A</v>
      </c>
      <c r="C1053" s="124"/>
      <c r="D1053" s="103" t="s">
        <v>70</v>
      </c>
      <c r="E1053" s="337" t="e">
        <f ca="1">VLOOKUP($B1052,Salary_Master_2,9,FALSE)</f>
        <v>#N/A</v>
      </c>
      <c r="F1053" s="337"/>
      <c r="G1053" s="97" t="s">
        <v>25</v>
      </c>
      <c r="H1053" s="102">
        <f ca="1">VLOOKUP($B1052,INDIRECT(VLOOKUP($E$7,$M$2:$N$20,2,FALSE)),5,FALSE)</f>
        <v>0</v>
      </c>
      <c r="I1053" s="97"/>
      <c r="J1053" s="103" t="s">
        <v>29</v>
      </c>
      <c r="K1053" s="101" t="str">
        <f ca="1">VLOOKUP($B1052,INDIRECT(VLOOKUP($E$7,$M$2:$N$20,2,FALSE)),30,FALSE)</f>
        <v/>
      </c>
      <c r="L1053" s="1"/>
      <c r="M1053" s="86"/>
      <c r="N1053" s="88"/>
    </row>
    <row r="1054" spans="1:14" s="2" customFormat="1" x14ac:dyDescent="0.3">
      <c r="A1054" s="123" t="s">
        <v>20</v>
      </c>
      <c r="B1054" s="124" t="e">
        <f ca="1">VLOOKUP($B1052,Salary_Master_2,5,FALSE)</f>
        <v>#N/A</v>
      </c>
      <c r="C1054" s="124"/>
      <c r="D1054" s="103" t="s">
        <v>71</v>
      </c>
      <c r="E1054" s="337" t="e">
        <f ca="1">VLOOKUP($B1052,Salary_Master_2,10,FALSE)</f>
        <v>#N/A</v>
      </c>
      <c r="F1054" s="337"/>
      <c r="G1054" s="97" t="s">
        <v>26</v>
      </c>
      <c r="H1054" s="102">
        <f ca="1">VLOOKUP($B1052,INDIRECT(VLOOKUP($E$7,$M$2:$N$20,2,FALSE)),6,FALSE)</f>
        <v>0</v>
      </c>
      <c r="I1054" s="97"/>
      <c r="J1054" s="103" t="s">
        <v>30</v>
      </c>
      <c r="K1054" s="101" t="str">
        <f ca="1">VLOOKUP($B1052,INDIRECT(VLOOKUP($E$7,$M$2:$N$20,2,FALSE)),31,FALSE)</f>
        <v/>
      </c>
      <c r="L1054" s="1"/>
      <c r="M1054" s="86"/>
      <c r="N1054" s="88"/>
    </row>
    <row r="1055" spans="1:14" s="2" customFormat="1" x14ac:dyDescent="0.3">
      <c r="A1055" s="123" t="s">
        <v>69</v>
      </c>
      <c r="B1055" s="124" t="e">
        <f ca="1">VLOOKUP($B1052,Salary_Master_2,6,FALSE)</f>
        <v>#N/A</v>
      </c>
      <c r="C1055" s="124"/>
      <c r="D1055" s="104"/>
      <c r="E1055" s="105"/>
      <c r="F1055" s="105"/>
      <c r="G1055" s="97" t="s">
        <v>23</v>
      </c>
      <c r="H1055" s="102">
        <f ca="1">VLOOKUP($B1052,INDIRECT(VLOOKUP($E$7,$M$2:$N$20,2,FALSE)),8,FALSE)</f>
        <v>0</v>
      </c>
      <c r="I1055" s="97"/>
      <c r="J1055" s="125"/>
      <c r="K1055" s="101"/>
      <c r="L1055" s="1"/>
      <c r="M1055" s="86"/>
      <c r="N1055" s="88"/>
    </row>
    <row r="1056" spans="1:14" s="2" customFormat="1" x14ac:dyDescent="0.3">
      <c r="A1056" s="123" t="s">
        <v>32</v>
      </c>
      <c r="B1056" s="106" t="e">
        <f ca="1">VLOOKUP($B1052,Salary_Master_2,7,FALSE)</f>
        <v>#N/A</v>
      </c>
      <c r="C1056" s="106"/>
      <c r="D1056" s="104"/>
      <c r="E1056" s="105"/>
      <c r="F1056" s="105"/>
      <c r="G1056" s="97" t="s">
        <v>31</v>
      </c>
      <c r="H1056" s="102">
        <f ca="1">VLOOKUP($B1052,INDIRECT(VLOOKUP($E$7,$M$2:$N$20,2,FALSE)),9,FALSE)</f>
        <v>0</v>
      </c>
      <c r="I1056" s="107"/>
      <c r="J1056" s="107"/>
      <c r="K1056" s="101"/>
      <c r="L1056" s="1"/>
      <c r="M1056" s="86"/>
      <c r="N1056" s="88"/>
    </row>
    <row r="1057" spans="1:14" s="2" customFormat="1" ht="3" customHeight="1" x14ac:dyDescent="0.3">
      <c r="A1057" s="108"/>
      <c r="B1057" s="109"/>
      <c r="C1057" s="109"/>
      <c r="D1057" s="109"/>
      <c r="E1057" s="110"/>
      <c r="F1057" s="110"/>
      <c r="G1057" s="109"/>
      <c r="H1057" s="109"/>
      <c r="I1057" s="111"/>
      <c r="J1057" s="111"/>
      <c r="K1057" s="112"/>
      <c r="L1057" s="1"/>
      <c r="M1057" s="88"/>
      <c r="N1057" s="88"/>
    </row>
    <row r="1058" spans="1:14" s="2" customFormat="1" ht="3" customHeight="1" x14ac:dyDescent="0.3">
      <c r="A1058" s="123"/>
      <c r="B1058" s="113"/>
      <c r="C1058" s="113"/>
      <c r="D1058" s="113"/>
      <c r="E1058" s="124"/>
      <c r="F1058" s="124"/>
      <c r="G1058" s="113"/>
      <c r="H1058" s="113"/>
      <c r="I1058" s="114"/>
      <c r="J1058" s="114"/>
      <c r="K1058" s="115"/>
      <c r="L1058" s="1"/>
      <c r="M1058" s="88"/>
      <c r="N1058" s="88"/>
    </row>
    <row r="1059" spans="1:14" s="1" customFormat="1" ht="3" customHeight="1" x14ac:dyDescent="0.3">
      <c r="A1059" s="116"/>
      <c r="B1059" s="117"/>
      <c r="C1059" s="117"/>
      <c r="D1059" s="115"/>
      <c r="E1059" s="118"/>
      <c r="F1059" s="118"/>
      <c r="G1059" s="117"/>
      <c r="H1059" s="117"/>
      <c r="I1059" s="119"/>
      <c r="J1059" s="119"/>
      <c r="K1059" s="115"/>
      <c r="M1059" s="88"/>
      <c r="N1059" s="88"/>
    </row>
    <row r="1060" spans="1:14" s="1" customFormat="1" ht="12" customHeight="1" x14ac:dyDescent="0.3">
      <c r="A1060" s="120" t="s">
        <v>4</v>
      </c>
      <c r="B1060" s="113"/>
      <c r="C1060" s="113"/>
      <c r="D1060" s="121" t="s">
        <v>5</v>
      </c>
      <c r="E1060" s="122" t="s">
        <v>6</v>
      </c>
      <c r="F1060" s="122"/>
      <c r="G1060" s="113"/>
      <c r="H1060" s="113"/>
      <c r="I1060" s="113"/>
      <c r="J1060" s="113"/>
      <c r="K1060" s="121" t="s">
        <v>5</v>
      </c>
      <c r="M1060" s="86"/>
      <c r="N1060" s="88"/>
    </row>
    <row r="1061" spans="1:14" s="1" customFormat="1" ht="3" customHeight="1" x14ac:dyDescent="0.3">
      <c r="A1061" s="108"/>
      <c r="B1061" s="109"/>
      <c r="C1061" s="109"/>
      <c r="D1061" s="112"/>
      <c r="E1061" s="110"/>
      <c r="F1061" s="110"/>
      <c r="G1061" s="109"/>
      <c r="H1061" s="109"/>
      <c r="I1061" s="111"/>
      <c r="J1061" s="111"/>
      <c r="K1061" s="112"/>
      <c r="M1061" s="88"/>
      <c r="N1061" s="88"/>
    </row>
    <row r="1062" spans="1:14" s="1" customFormat="1" ht="3" customHeight="1" x14ac:dyDescent="0.3">
      <c r="A1062" s="123"/>
      <c r="B1062" s="113"/>
      <c r="C1062" s="113"/>
      <c r="D1062" s="101"/>
      <c r="E1062" s="124"/>
      <c r="F1062" s="124"/>
      <c r="G1062" s="113"/>
      <c r="H1062" s="113"/>
      <c r="I1062" s="114"/>
      <c r="J1062" s="114"/>
      <c r="K1062" s="101"/>
      <c r="M1062" s="88"/>
      <c r="N1062" s="88"/>
    </row>
    <row r="1063" spans="1:14" s="1" customFormat="1" ht="12" customHeight="1" x14ac:dyDescent="0.3">
      <c r="A1063" s="324" t="s">
        <v>7</v>
      </c>
      <c r="B1063" s="325"/>
      <c r="C1063" s="326" t="str">
        <f ca="1">VLOOKUP($B1052,INDIRECT(VLOOKUP($E1051,$M$2:$N$20,2,FALSE)),13,FALSE)</f>
        <v/>
      </c>
      <c r="D1063" s="327"/>
      <c r="E1063" s="324" t="s">
        <v>8</v>
      </c>
      <c r="F1063" s="325"/>
      <c r="G1063" s="325"/>
      <c r="H1063" s="325"/>
      <c r="I1063" s="325"/>
      <c r="J1063" s="326">
        <f ca="1">VLOOKUP($B1052,INDIRECT(VLOOKUP($E1051,$M$2:$N$20,2,FALSE)),22,FALSE)</f>
        <v>0</v>
      </c>
      <c r="K1063" s="327"/>
      <c r="M1063" s="86"/>
      <c r="N1063" s="88"/>
    </row>
    <row r="1064" spans="1:14" s="1" customFormat="1" ht="12" customHeight="1" x14ac:dyDescent="0.3">
      <c r="A1064" s="324" t="s">
        <v>9</v>
      </c>
      <c r="B1064" s="325"/>
      <c r="C1064" s="326" t="str">
        <f ca="1">VLOOKUP($B1052,INDIRECT(VLOOKUP($E1051,$M$2:$N$20,2,FALSE)),14,FALSE)</f>
        <v/>
      </c>
      <c r="D1064" s="327"/>
      <c r="E1064" s="324" t="s">
        <v>94</v>
      </c>
      <c r="F1064" s="325"/>
      <c r="G1064" s="325"/>
      <c r="H1064" s="325"/>
      <c r="I1064" s="325"/>
      <c r="J1064" s="326">
        <f ca="1">VLOOKUP($B1052,INDIRECT(VLOOKUP($E1051,$M$2:$N$20,2,FALSE)),23,FALSE)</f>
        <v>0</v>
      </c>
      <c r="K1064" s="327"/>
      <c r="M1064" s="86"/>
      <c r="N1064" s="88"/>
    </row>
    <row r="1065" spans="1:14" s="1" customFormat="1" ht="12" customHeight="1" x14ac:dyDescent="0.3">
      <c r="A1065" s="324" t="s">
        <v>11</v>
      </c>
      <c r="B1065" s="325"/>
      <c r="C1065" s="326" t="str">
        <f ca="1">VLOOKUP($B1052,INDIRECT(VLOOKUP($E1051,$M$2:$N$20,2,FALSE)),15,FALSE)</f>
        <v/>
      </c>
      <c r="D1065" s="327"/>
      <c r="E1065" s="324" t="s">
        <v>10</v>
      </c>
      <c r="F1065" s="325"/>
      <c r="G1065" s="325"/>
      <c r="H1065" s="325"/>
      <c r="I1065" s="325"/>
      <c r="J1065" s="326">
        <f ca="1">VLOOKUP($B1052,INDIRECT(VLOOKUP($E1051,$M$2:$N$20,2,FALSE)),24,FALSE)</f>
        <v>0</v>
      </c>
      <c r="K1065" s="327"/>
      <c r="M1065" s="87"/>
      <c r="N1065" s="86"/>
    </row>
    <row r="1066" spans="1:14" s="1" customFormat="1" ht="12" customHeight="1" x14ac:dyDescent="0.3">
      <c r="A1066" s="324" t="s">
        <v>3</v>
      </c>
      <c r="B1066" s="325"/>
      <c r="C1066" s="326" t="str">
        <f ca="1">VLOOKUP($B1052,INDIRECT(VLOOKUP($E1051,$M$2:$N$20,2,FALSE)),16,FALSE)</f>
        <v/>
      </c>
      <c r="D1066" s="327"/>
      <c r="E1066" s="324" t="s">
        <v>93</v>
      </c>
      <c r="F1066" s="325"/>
      <c r="G1066" s="325"/>
      <c r="H1066" s="325"/>
      <c r="I1066" s="325"/>
      <c r="J1066" s="326">
        <f ca="1">VLOOKUP($B1052,INDIRECT(VLOOKUP($E1051,$M$2:$N$20,2,FALSE)),25,FALSE)</f>
        <v>0</v>
      </c>
      <c r="K1066" s="327"/>
      <c r="M1066" s="87"/>
      <c r="N1066" s="89"/>
    </row>
    <row r="1067" spans="1:14" s="1" customFormat="1" ht="12" customHeight="1" x14ac:dyDescent="0.3">
      <c r="A1067" s="324" t="s">
        <v>13</v>
      </c>
      <c r="B1067" s="325"/>
      <c r="C1067" s="326" t="str">
        <f ca="1">VLOOKUP($B1052,INDIRECT(VLOOKUP($E1051,$M$2:$N$20,2,FALSE)),17,FALSE)</f>
        <v/>
      </c>
      <c r="D1067" s="327"/>
      <c r="E1067" s="324" t="s">
        <v>12</v>
      </c>
      <c r="F1067" s="325"/>
      <c r="G1067" s="325"/>
      <c r="H1067" s="325"/>
      <c r="I1067" s="325"/>
      <c r="J1067" s="326">
        <f ca="1">VLOOKUP($B1052,INDIRECT(VLOOKUP($E1051,$M$2:$N$20,2,FALSE)),26,FALSE)</f>
        <v>0</v>
      </c>
      <c r="K1067" s="327"/>
      <c r="M1067" s="88" t="s">
        <v>73</v>
      </c>
      <c r="N1067" s="88" t="str">
        <f ca="1">IF(VLOOKUP($B1052,INDIRECT(VLOOKUP($E1051,$M$2:$N$20,2,FALSE)),38,FALSE)&gt;0,"Yes","No")</f>
        <v>No</v>
      </c>
    </row>
    <row r="1068" spans="1:14" s="1" customFormat="1" ht="12" customHeight="1" x14ac:dyDescent="0.3">
      <c r="A1068" s="324" t="str">
        <f ca="1">IF($J1064&gt;0,"Other Allowance",IF(VLOOKUP($B1052,INDIRECT(VLOOKUP($E1051,$M$2:$N$20,2,FALSE)),44,FALSE)=0,"",IF($E1051=DATE(2025,6,1),"Arrears of Apr &amp; May-2025","")))</f>
        <v>Arrears of Apr &amp; May-2025</v>
      </c>
      <c r="B1068" s="325"/>
      <c r="C1068" s="326" t="str" cm="1">
        <f t="array" aca="1" ref="C1068" ca="1">_xlfn.IFS($A1068="","",$A1068="Other Allowance",VLOOKUP($B1052,INDIRECT(VLOOKUP($E1051,$M$2:$N$20,2,FALSE)),18,FALSE),$A1068="Arrears of Apr &amp; May-2025",VLOOKUP($B1052,INDIRECT(VLOOKUP($E1051,$M$2:$N$20,2,FALSE)),44,FALSE))</f>
        <v/>
      </c>
      <c r="D1068" s="327"/>
      <c r="E1068" s="324" t="str" cm="1">
        <f t="array" aca="1" ref="E1068" ca="1">_xlfn.IFS(N1067="Yes",M1067,N1068="Yes",M1068,TRUE,"")</f>
        <v/>
      </c>
      <c r="F1068" s="325"/>
      <c r="G1068" s="325"/>
      <c r="H1068" s="325"/>
      <c r="I1068" s="325"/>
      <c r="J1068" s="335" t="str" cm="1">
        <f t="array" aca="1" ref="J1068" ca="1">IF(E1068="","",_xlfn.IFS(N1067="Yes",VLOOKUP($B1052,INDIRECT(VLOOKUP($E1051,$M$2:$N$20,2,FALSE)),27,FALSE),N1068="Yes",VLOOKUP($B1052,INDIRECT(VLOOKUP($E1051,$M$2:$N$20,2,FALSE)),28,FALSE)))</f>
        <v/>
      </c>
      <c r="K1068" s="336"/>
      <c r="M1068" s="88" t="s">
        <v>14</v>
      </c>
      <c r="N1068" s="88" t="str">
        <f ca="1">IF(VLOOKUP($B1052,INDIRECT(VLOOKUP($E$7,$M$2:$N$20,2,FALSE)),39,FALSE)&gt;0,"Yes","No")</f>
        <v>No</v>
      </c>
    </row>
    <row r="1069" spans="1:14" s="1" customFormat="1" ht="12" customHeight="1" x14ac:dyDescent="0.3">
      <c r="A1069" s="324" t="str" cm="1">
        <f t="array" aca="1" ref="A1069" ca="1">_xlfn.IFS($A1068="","",$A1068="Other Allowance","EPF",$A1068="Arrears of Apr &amp; May-2025","",VLOOKUP($B1052,INDIRECT(VLOOKUP($E1051,$M$2:$N$20,2,FALSE)),44,FALSE)=0,"",$E1051=DATE(2025,6,1),"Arrears of Apr &amp; May-2025")</f>
        <v/>
      </c>
      <c r="B1069" s="325"/>
      <c r="C1069" s="326" t="str" cm="1">
        <f t="array" aca="1" ref="C1069" ca="1">_xlfn.IFS($A1069="","",$A1069="EPF",VLOOKUP($B1052,INDIRECT(VLOOKUP($E1051,$M$2:$N$20,2,FALSE)),19,FALSE),$A1069="Arrears of Apr &amp; May-2025",VLOOKUP($B1052,INDIRECT(VLOOKUP($E1051,$M$2:$N$20,2,FALSE)),44,FALSE))</f>
        <v/>
      </c>
      <c r="D1069" s="327"/>
      <c r="E1069" s="324" t="str" cm="1">
        <f t="array" aca="1" ref="E1069" ca="1">_xlfn.IFS(N1068="No","",N1067="Yes",M1068,TRUE,"")</f>
        <v/>
      </c>
      <c r="F1069" s="325"/>
      <c r="G1069" s="325"/>
      <c r="H1069" s="325"/>
      <c r="I1069" s="325"/>
      <c r="J1069" s="335" t="str">
        <f ca="1">IF(E1069="","",VLOOKUP($B1052,INDIRECT(VLOOKUP($E1051,$M$2:$N$20,2,FALSE)),28,FALSE))</f>
        <v/>
      </c>
      <c r="K1069" s="336"/>
      <c r="M1069" s="130"/>
      <c r="N1069" s="88"/>
    </row>
    <row r="1070" spans="1:14" s="1" customFormat="1" ht="12" customHeight="1" x14ac:dyDescent="0.3">
      <c r="A1070" s="324" t="str">
        <f ca="1">IF($J1066&gt;0,"ESIC (Employer)",IF($A1069="","",IF(VLOOKUP($B1052,INDIRECT(VLOOKUP($E1051,$M$2:$N$20,2,FALSE)),44,FALSE)="","",IF($E1051=DATE(2025,6,1),"Arrears of Apr &amp; May-2025",""))))</f>
        <v/>
      </c>
      <c r="B1070" s="325"/>
      <c r="C1070" s="326" t="str" cm="1">
        <f t="array" aca="1" ref="C1070" ca="1">_xlfn.IFS($A1070="","",$A1070="ESIC (Employer)",VLOOKUP($B1052,INDIRECT(VLOOKUP($E1051,$M$2:$N$20,2,FALSE)),20,FALSE),$A1070="Arrears of Apr &amp; May-2025",VLOOKUP($B1052,INDIRECT(VLOOKUP($E1051,$M$2:$N$20,2,FALSE)),44,FALSE))</f>
        <v/>
      </c>
      <c r="D1070" s="327"/>
      <c r="E1070" s="324"/>
      <c r="F1070" s="325"/>
      <c r="G1070" s="325"/>
      <c r="H1070" s="325"/>
      <c r="I1070" s="325"/>
      <c r="J1070" s="335"/>
      <c r="K1070" s="336"/>
      <c r="M1070" s="88"/>
      <c r="N1070" s="88"/>
    </row>
    <row r="1071" spans="1:14" s="1" customFormat="1" ht="12" customHeight="1" x14ac:dyDescent="0.3">
      <c r="A1071" s="324" t="str">
        <f ca="1">IF($A1070="","",IF(VLOOKUP($B1052,INDIRECT(VLOOKUP($E1051,$M$2:$N$20,2,FALSE)),44,FALSE)=0,"",IF($A1070="Arrears of Apr &amp; May-2025","",IF($E1051=DATE(2025,6,1),"Arrears of Apr &amp; May-2025",""))))</f>
        <v/>
      </c>
      <c r="B1071" s="325"/>
      <c r="C1071" s="326" t="str" cm="1">
        <f t="array" aca="1" ref="C1071" ca="1">_xlfn.IFS($A1071="","",$A1071="Arrears of Apr &amp; May-2025",VLOOKUP($B1052,INDIRECT(VLOOKUP($E1051,$M$2:$N$20,2,FALSE)),44,FALSE))</f>
        <v/>
      </c>
      <c r="D1071" s="327"/>
      <c r="E1071" s="324"/>
      <c r="F1071" s="325"/>
      <c r="G1071" s="325"/>
      <c r="H1071" s="325"/>
      <c r="I1071" s="325"/>
      <c r="J1071" s="335"/>
      <c r="K1071" s="336"/>
      <c r="M1071" s="88"/>
      <c r="N1071" s="88"/>
    </row>
    <row r="1072" spans="1:14" s="1" customFormat="1" ht="12" customHeight="1" x14ac:dyDescent="0.3">
      <c r="A1072" s="324"/>
      <c r="B1072" s="325"/>
      <c r="C1072" s="326"/>
      <c r="D1072" s="327"/>
      <c r="E1072" s="124"/>
      <c r="F1072" s="124"/>
      <c r="G1072" s="124"/>
      <c r="H1072" s="124"/>
      <c r="I1072" s="124"/>
      <c r="J1072" s="335"/>
      <c r="K1072" s="336"/>
      <c r="M1072" s="88"/>
      <c r="N1072" s="88"/>
    </row>
    <row r="1073" spans="1:14" s="1" customFormat="1" ht="3" customHeight="1" x14ac:dyDescent="0.3">
      <c r="A1073" s="108"/>
      <c r="B1073" s="109"/>
      <c r="C1073" s="109"/>
      <c r="D1073" s="112"/>
      <c r="E1073" s="110"/>
      <c r="F1073" s="110"/>
      <c r="G1073" s="109"/>
      <c r="H1073" s="109"/>
      <c r="I1073" s="111"/>
      <c r="J1073" s="111"/>
      <c r="K1073" s="112"/>
      <c r="M1073" s="88"/>
      <c r="N1073" s="88"/>
    </row>
    <row r="1074" spans="1:14" s="1" customFormat="1" ht="3" customHeight="1" x14ac:dyDescent="0.3">
      <c r="A1074" s="123"/>
      <c r="B1074" s="113"/>
      <c r="C1074" s="113"/>
      <c r="D1074" s="101"/>
      <c r="E1074" s="124"/>
      <c r="F1074" s="124"/>
      <c r="G1074" s="113"/>
      <c r="H1074" s="113"/>
      <c r="I1074" s="114"/>
      <c r="J1074" s="114"/>
      <c r="K1074" s="101"/>
      <c r="M1074" s="88"/>
      <c r="N1074" s="88"/>
    </row>
    <row r="1075" spans="1:14" s="4" customFormat="1" ht="19.95" customHeight="1" x14ac:dyDescent="0.3">
      <c r="A1075" s="328" t="s">
        <v>15</v>
      </c>
      <c r="B1075" s="329"/>
      <c r="C1075" s="330">
        <f ca="1">SUM(C1063:D1074)</f>
        <v>0</v>
      </c>
      <c r="D1075" s="331"/>
      <c r="E1075" s="328" t="s">
        <v>16</v>
      </c>
      <c r="F1075" s="329"/>
      <c r="G1075" s="329"/>
      <c r="H1075" s="329"/>
      <c r="I1075" s="329"/>
      <c r="J1075" s="330">
        <f ca="1">SUM(J1063:K1071)</f>
        <v>0</v>
      </c>
      <c r="K1075" s="331"/>
      <c r="M1075" s="129"/>
      <c r="N1075" s="90"/>
    </row>
    <row r="1076" spans="1:14" s="1" customFormat="1" ht="3" customHeight="1" x14ac:dyDescent="0.3">
      <c r="A1076" s="108"/>
      <c r="B1076" s="109"/>
      <c r="C1076" s="109"/>
      <c r="D1076" s="112"/>
      <c r="E1076" s="110"/>
      <c r="F1076" s="110"/>
      <c r="G1076" s="109"/>
      <c r="H1076" s="109"/>
      <c r="I1076" s="111"/>
      <c r="J1076" s="111"/>
      <c r="K1076" s="112"/>
      <c r="M1076" s="88"/>
      <c r="N1076" s="88"/>
    </row>
    <row r="1077" spans="1:14" s="1" customFormat="1" ht="3" customHeight="1" x14ac:dyDescent="0.3">
      <c r="A1077" s="123"/>
      <c r="B1077" s="113"/>
      <c r="C1077" s="113"/>
      <c r="D1077" s="117"/>
      <c r="E1077" s="118"/>
      <c r="F1077" s="124"/>
      <c r="G1077" s="113"/>
      <c r="H1077" s="126"/>
      <c r="I1077" s="119"/>
      <c r="J1077" s="119"/>
      <c r="K1077" s="115"/>
      <c r="M1077" s="88"/>
      <c r="N1077" s="88"/>
    </row>
    <row r="1078" spans="1:14" s="5" customFormat="1" ht="19.95" customHeight="1" x14ac:dyDescent="0.3">
      <c r="A1078" s="328" t="str" cm="1">
        <f t="array" aca="1" ref="A1078" ca="1">mgm(J1078)</f>
        <v>zero</v>
      </c>
      <c r="B1078" s="329"/>
      <c r="C1078" s="329"/>
      <c r="D1078" s="329"/>
      <c r="E1078" s="329"/>
      <c r="F1078" s="329"/>
      <c r="G1078" s="332"/>
      <c r="H1078" s="333" t="s">
        <v>17</v>
      </c>
      <c r="I1078" s="334"/>
      <c r="J1078" s="330">
        <f ca="1">C1075-J1075</f>
        <v>0</v>
      </c>
      <c r="K1078" s="331"/>
      <c r="L1078" s="205"/>
      <c r="M1078" s="90"/>
      <c r="N1078" s="90"/>
    </row>
    <row r="1079" spans="1:14" s="1" customFormat="1" ht="3" customHeight="1" x14ac:dyDescent="0.3">
      <c r="A1079" s="108"/>
      <c r="B1079" s="109"/>
      <c r="C1079" s="109"/>
      <c r="D1079" s="109"/>
      <c r="E1079" s="110"/>
      <c r="F1079" s="110"/>
      <c r="G1079" s="109"/>
      <c r="H1079" s="127"/>
      <c r="I1079" s="111"/>
      <c r="J1079" s="111"/>
      <c r="K1079" s="112"/>
      <c r="M1079" s="88"/>
      <c r="N1079" s="88"/>
    </row>
    <row r="1080" spans="1:14" s="1" customFormat="1" ht="19.95" customHeight="1" x14ac:dyDescent="0.3">
      <c r="A1080" s="323" t="s">
        <v>18</v>
      </c>
      <c r="B1080" s="323"/>
      <c r="C1080" s="323"/>
      <c r="D1080" s="323"/>
      <c r="E1080" s="323"/>
      <c r="F1080" s="323"/>
      <c r="G1080" s="323"/>
      <c r="H1080" s="323"/>
      <c r="I1080" s="323"/>
      <c r="J1080" s="323"/>
      <c r="K1080" s="323"/>
      <c r="M1080" s="88"/>
      <c r="N1080" s="88"/>
    </row>
    <row r="1081" spans="1:14" s="132" customFormat="1" ht="60" customHeight="1" x14ac:dyDescent="0.3">
      <c r="A1081" s="181"/>
      <c r="E1081" s="181"/>
      <c r="F1081" s="181"/>
    </row>
  </sheetData>
  <sheetProtection algorithmName="SHA-512" hashValue="vSWfTpr+G7Ei8MUYq1qLoJBdSwX6L67jrTVpp5yV18/p8MM+lVmGIJFJlJXzg6ro/mZ0GW+/AuUOx/thc6Ep+Q==" saltValue="MsOAyke/88okqYg1oTm3cg==" spinCount="100000" sheet="1" objects="1" scenarios="1"/>
  <mergeCells count="1712">
    <mergeCell ref="A963:B963"/>
    <mergeCell ref="C963:D963"/>
    <mergeCell ref="E963:I963"/>
    <mergeCell ref="J963:K963"/>
    <mergeCell ref="J964:K964"/>
    <mergeCell ref="J997:K997"/>
    <mergeCell ref="J998:K998"/>
    <mergeCell ref="A999:B999"/>
    <mergeCell ref="C999:D999"/>
    <mergeCell ref="E999:I999"/>
    <mergeCell ref="J999:K999"/>
    <mergeCell ref="J1000:K1000"/>
    <mergeCell ref="J1033:K1033"/>
    <mergeCell ref="J1034:K1034"/>
    <mergeCell ref="A1035:B1035"/>
    <mergeCell ref="C1035:D1035"/>
    <mergeCell ref="E1035:I1035"/>
    <mergeCell ref="J1035:K1035"/>
    <mergeCell ref="A972:K972"/>
    <mergeCell ref="A974:K974"/>
    <mergeCell ref="A975:K975"/>
    <mergeCell ref="A976:K976"/>
    <mergeCell ref="B977:K977"/>
    <mergeCell ref="C979:D979"/>
    <mergeCell ref="E979:F979"/>
    <mergeCell ref="C980:D980"/>
    <mergeCell ref="E980:F980"/>
    <mergeCell ref="A964:B964"/>
    <mergeCell ref="C964:D964"/>
    <mergeCell ref="A967:B967"/>
    <mergeCell ref="C967:D967"/>
    <mergeCell ref="E967:I967"/>
    <mergeCell ref="A819:B819"/>
    <mergeCell ref="C819:D819"/>
    <mergeCell ref="E819:I819"/>
    <mergeCell ref="J819:K819"/>
    <mergeCell ref="J820:K820"/>
    <mergeCell ref="J853:K853"/>
    <mergeCell ref="J854:K854"/>
    <mergeCell ref="A855:B855"/>
    <mergeCell ref="C855:D855"/>
    <mergeCell ref="E855:I855"/>
    <mergeCell ref="J855:K855"/>
    <mergeCell ref="J856:K856"/>
    <mergeCell ref="J889:K889"/>
    <mergeCell ref="J890:K890"/>
    <mergeCell ref="A891:B891"/>
    <mergeCell ref="C891:D891"/>
    <mergeCell ref="E891:I891"/>
    <mergeCell ref="J891:K891"/>
    <mergeCell ref="A828:K828"/>
    <mergeCell ref="A830:K830"/>
    <mergeCell ref="A831:K831"/>
    <mergeCell ref="A832:K832"/>
    <mergeCell ref="B833:K833"/>
    <mergeCell ref="C835:D835"/>
    <mergeCell ref="E835:F835"/>
    <mergeCell ref="C836:D836"/>
    <mergeCell ref="E836:F836"/>
    <mergeCell ref="A820:B820"/>
    <mergeCell ref="C820:D820"/>
    <mergeCell ref="A823:B823"/>
    <mergeCell ref="C823:D823"/>
    <mergeCell ref="E823:I823"/>
    <mergeCell ref="A675:B675"/>
    <mergeCell ref="C675:D675"/>
    <mergeCell ref="E675:I675"/>
    <mergeCell ref="J675:K675"/>
    <mergeCell ref="J676:K676"/>
    <mergeCell ref="J709:K709"/>
    <mergeCell ref="J710:K710"/>
    <mergeCell ref="A711:B711"/>
    <mergeCell ref="C711:D711"/>
    <mergeCell ref="E711:I711"/>
    <mergeCell ref="J711:K711"/>
    <mergeCell ref="J712:K712"/>
    <mergeCell ref="J745:K745"/>
    <mergeCell ref="J746:K746"/>
    <mergeCell ref="A747:B747"/>
    <mergeCell ref="C747:D747"/>
    <mergeCell ref="E747:I747"/>
    <mergeCell ref="J747:K747"/>
    <mergeCell ref="A684:K684"/>
    <mergeCell ref="A686:K686"/>
    <mergeCell ref="A687:K687"/>
    <mergeCell ref="A688:K688"/>
    <mergeCell ref="B689:K689"/>
    <mergeCell ref="C691:D691"/>
    <mergeCell ref="E691:F691"/>
    <mergeCell ref="C692:D692"/>
    <mergeCell ref="E692:F692"/>
    <mergeCell ref="A676:B676"/>
    <mergeCell ref="C676:D676"/>
    <mergeCell ref="A679:B679"/>
    <mergeCell ref="C679:D679"/>
    <mergeCell ref="E679:I679"/>
    <mergeCell ref="A531:B531"/>
    <mergeCell ref="C531:D531"/>
    <mergeCell ref="E531:I531"/>
    <mergeCell ref="J531:K531"/>
    <mergeCell ref="J532:K532"/>
    <mergeCell ref="J565:K565"/>
    <mergeCell ref="J566:K566"/>
    <mergeCell ref="A567:B567"/>
    <mergeCell ref="C567:D567"/>
    <mergeCell ref="E567:I567"/>
    <mergeCell ref="J567:K567"/>
    <mergeCell ref="J568:K568"/>
    <mergeCell ref="J601:K601"/>
    <mergeCell ref="J602:K602"/>
    <mergeCell ref="A603:B603"/>
    <mergeCell ref="C603:D603"/>
    <mergeCell ref="E603:I603"/>
    <mergeCell ref="J603:K603"/>
    <mergeCell ref="A540:K540"/>
    <mergeCell ref="A542:K542"/>
    <mergeCell ref="A543:K543"/>
    <mergeCell ref="A544:K544"/>
    <mergeCell ref="B545:K545"/>
    <mergeCell ref="C547:D547"/>
    <mergeCell ref="E547:F547"/>
    <mergeCell ref="C548:D548"/>
    <mergeCell ref="E548:F548"/>
    <mergeCell ref="A532:B532"/>
    <mergeCell ref="C532:D532"/>
    <mergeCell ref="A535:B535"/>
    <mergeCell ref="C535:D535"/>
    <mergeCell ref="E535:I535"/>
    <mergeCell ref="A387:B387"/>
    <mergeCell ref="C387:D387"/>
    <mergeCell ref="E387:I387"/>
    <mergeCell ref="J387:K387"/>
    <mergeCell ref="J388:K388"/>
    <mergeCell ref="J421:K421"/>
    <mergeCell ref="J422:K422"/>
    <mergeCell ref="A423:B423"/>
    <mergeCell ref="C423:D423"/>
    <mergeCell ref="E423:I423"/>
    <mergeCell ref="J423:K423"/>
    <mergeCell ref="J424:K424"/>
    <mergeCell ref="J457:K457"/>
    <mergeCell ref="J458:K458"/>
    <mergeCell ref="A459:B459"/>
    <mergeCell ref="C459:D459"/>
    <mergeCell ref="E459:I459"/>
    <mergeCell ref="J459:K459"/>
    <mergeCell ref="A396:K396"/>
    <mergeCell ref="A398:K398"/>
    <mergeCell ref="A399:K399"/>
    <mergeCell ref="A400:K400"/>
    <mergeCell ref="B401:K401"/>
    <mergeCell ref="C403:D403"/>
    <mergeCell ref="E403:F403"/>
    <mergeCell ref="C404:D404"/>
    <mergeCell ref="E404:F404"/>
    <mergeCell ref="A388:B388"/>
    <mergeCell ref="C388:D388"/>
    <mergeCell ref="A391:B391"/>
    <mergeCell ref="C391:D391"/>
    <mergeCell ref="E391:I391"/>
    <mergeCell ref="J70:K70"/>
    <mergeCell ref="A72:K72"/>
    <mergeCell ref="A63:B63"/>
    <mergeCell ref="C63:D63"/>
    <mergeCell ref="E63:I63"/>
    <mergeCell ref="A99:B99"/>
    <mergeCell ref="C99:D99"/>
    <mergeCell ref="E99:I99"/>
    <mergeCell ref="J100:K100"/>
    <mergeCell ref="J133:K133"/>
    <mergeCell ref="E94:I94"/>
    <mergeCell ref="J94:K94"/>
    <mergeCell ref="A95:B95"/>
    <mergeCell ref="C95:D95"/>
    <mergeCell ref="E95:I95"/>
    <mergeCell ref="J95:K95"/>
    <mergeCell ref="C92:D92"/>
    <mergeCell ref="A93:B93"/>
    <mergeCell ref="C93:D93"/>
    <mergeCell ref="E93:I93"/>
    <mergeCell ref="J93:K93"/>
    <mergeCell ref="A96:B96"/>
    <mergeCell ref="C96:D96"/>
    <mergeCell ref="E96:I96"/>
    <mergeCell ref="J96:K96"/>
    <mergeCell ref="J99:K99"/>
    <mergeCell ref="J98:K98"/>
    <mergeCell ref="J97:K97"/>
    <mergeCell ref="C116:D116"/>
    <mergeCell ref="E116:F116"/>
    <mergeCell ref="E117:F117"/>
    <mergeCell ref="E118:F118"/>
    <mergeCell ref="J61:K61"/>
    <mergeCell ref="A62:B62"/>
    <mergeCell ref="C62:D62"/>
    <mergeCell ref="E62:I62"/>
    <mergeCell ref="J62:K62"/>
    <mergeCell ref="A64:B64"/>
    <mergeCell ref="C64:D64"/>
    <mergeCell ref="J63:K63"/>
    <mergeCell ref="A103:B103"/>
    <mergeCell ref="C103:D103"/>
    <mergeCell ref="E103:I103"/>
    <mergeCell ref="J103:K103"/>
    <mergeCell ref="E61:I61"/>
    <mergeCell ref="A98:B98"/>
    <mergeCell ref="C98:D98"/>
    <mergeCell ref="E98:I98"/>
    <mergeCell ref="E92:I92"/>
    <mergeCell ref="J92:K92"/>
    <mergeCell ref="A100:B100"/>
    <mergeCell ref="C100:D100"/>
    <mergeCell ref="A97:B97"/>
    <mergeCell ref="C97:D97"/>
    <mergeCell ref="E97:I97"/>
    <mergeCell ref="A94:B94"/>
    <mergeCell ref="C94:D94"/>
    <mergeCell ref="J64:K64"/>
    <mergeCell ref="A67:B67"/>
    <mergeCell ref="C67:D67"/>
    <mergeCell ref="E67:I67"/>
    <mergeCell ref="J67:K67"/>
    <mergeCell ref="A70:G70"/>
    <mergeCell ref="H70:I70"/>
    <mergeCell ref="A28:B28"/>
    <mergeCell ref="E1:F1"/>
    <mergeCell ref="C1:D1"/>
    <mergeCell ref="A2:K2"/>
    <mergeCell ref="A3:K3"/>
    <mergeCell ref="A4:K4"/>
    <mergeCell ref="B5:K5"/>
    <mergeCell ref="C7:D7"/>
    <mergeCell ref="A23:B23"/>
    <mergeCell ref="C23:D23"/>
    <mergeCell ref="E23:I23"/>
    <mergeCell ref="J23:K23"/>
    <mergeCell ref="A20:B20"/>
    <mergeCell ref="C20:D20"/>
    <mergeCell ref="C80:D80"/>
    <mergeCell ref="E20:I20"/>
    <mergeCell ref="J20:K20"/>
    <mergeCell ref="A21:B21"/>
    <mergeCell ref="C21:D21"/>
    <mergeCell ref="E21:I21"/>
    <mergeCell ref="J21:K21"/>
    <mergeCell ref="J24:K24"/>
    <mergeCell ref="C8:D8"/>
    <mergeCell ref="E8:F8"/>
    <mergeCell ref="E9:F9"/>
    <mergeCell ref="E10:F10"/>
    <mergeCell ref="A19:B19"/>
    <mergeCell ref="C19:D19"/>
    <mergeCell ref="E19:I19"/>
    <mergeCell ref="C44:D44"/>
    <mergeCell ref="E44:F44"/>
    <mergeCell ref="E45:F45"/>
    <mergeCell ref="J55:K55"/>
    <mergeCell ref="A38:K38"/>
    <mergeCell ref="A39:K39"/>
    <mergeCell ref="A40:K40"/>
    <mergeCell ref="B41:K41"/>
    <mergeCell ref="C43:D43"/>
    <mergeCell ref="E43:F43"/>
    <mergeCell ref="A31:B31"/>
    <mergeCell ref="C31:D31"/>
    <mergeCell ref="E31:I31"/>
    <mergeCell ref="J31:K31"/>
    <mergeCell ref="A34:G34"/>
    <mergeCell ref="H34:I34"/>
    <mergeCell ref="C60:D60"/>
    <mergeCell ref="E60:I60"/>
    <mergeCell ref="J60:K60"/>
    <mergeCell ref="E58:I58"/>
    <mergeCell ref="J58:K58"/>
    <mergeCell ref="A58:B58"/>
    <mergeCell ref="C58:D58"/>
    <mergeCell ref="A59:B59"/>
    <mergeCell ref="C59:D59"/>
    <mergeCell ref="E59:I59"/>
    <mergeCell ref="J59:K59"/>
    <mergeCell ref="A60:B60"/>
    <mergeCell ref="E7:F7"/>
    <mergeCell ref="J19:K19"/>
    <mergeCell ref="A26:B26"/>
    <mergeCell ref="C26:D26"/>
    <mergeCell ref="E26:I26"/>
    <mergeCell ref="A27:B27"/>
    <mergeCell ref="C27:D27"/>
    <mergeCell ref="E27:I27"/>
    <mergeCell ref="A24:B24"/>
    <mergeCell ref="C24:D24"/>
    <mergeCell ref="E24:I24"/>
    <mergeCell ref="A25:B25"/>
    <mergeCell ref="C25:D25"/>
    <mergeCell ref="E25:I25"/>
    <mergeCell ref="A22:B22"/>
    <mergeCell ref="C22:D22"/>
    <mergeCell ref="E22:I22"/>
    <mergeCell ref="J22:K22"/>
    <mergeCell ref="J25:K25"/>
    <mergeCell ref="J26:K26"/>
    <mergeCell ref="J27:K27"/>
    <mergeCell ref="C28:D28"/>
    <mergeCell ref="J28:K28"/>
    <mergeCell ref="E80:F80"/>
    <mergeCell ref="E81:F81"/>
    <mergeCell ref="E82:F82"/>
    <mergeCell ref="A91:B91"/>
    <mergeCell ref="C91:D91"/>
    <mergeCell ref="E91:I91"/>
    <mergeCell ref="A74:K74"/>
    <mergeCell ref="A75:K75"/>
    <mergeCell ref="A76:K76"/>
    <mergeCell ref="B77:K77"/>
    <mergeCell ref="C79:D79"/>
    <mergeCell ref="E79:F79"/>
    <mergeCell ref="J91:K91"/>
    <mergeCell ref="A92:B92"/>
    <mergeCell ref="C55:D55"/>
    <mergeCell ref="E55:I55"/>
    <mergeCell ref="A36:K36"/>
    <mergeCell ref="A56:B56"/>
    <mergeCell ref="C56:D56"/>
    <mergeCell ref="E56:I56"/>
    <mergeCell ref="J56:K56"/>
    <mergeCell ref="E46:F46"/>
    <mergeCell ref="A55:B55"/>
    <mergeCell ref="A57:B57"/>
    <mergeCell ref="C57:D57"/>
    <mergeCell ref="E57:I57"/>
    <mergeCell ref="J57:K57"/>
    <mergeCell ref="A61:B61"/>
    <mergeCell ref="C61:D61"/>
    <mergeCell ref="J34:K34"/>
    <mergeCell ref="A127:B127"/>
    <mergeCell ref="C127:D127"/>
    <mergeCell ref="E127:I127"/>
    <mergeCell ref="A108:K108"/>
    <mergeCell ref="A110:K110"/>
    <mergeCell ref="A111:K111"/>
    <mergeCell ref="A112:K112"/>
    <mergeCell ref="B113:K113"/>
    <mergeCell ref="C115:D115"/>
    <mergeCell ref="E115:F115"/>
    <mergeCell ref="J127:K127"/>
    <mergeCell ref="A106:G106"/>
    <mergeCell ref="H106:I106"/>
    <mergeCell ref="J106:K106"/>
    <mergeCell ref="A133:B133"/>
    <mergeCell ref="C133:D133"/>
    <mergeCell ref="E133:I133"/>
    <mergeCell ref="A130:B130"/>
    <mergeCell ref="C130:D130"/>
    <mergeCell ref="E130:I130"/>
    <mergeCell ref="J130:K130"/>
    <mergeCell ref="A131:B131"/>
    <mergeCell ref="C131:D131"/>
    <mergeCell ref="E131:I131"/>
    <mergeCell ref="J131:K131"/>
    <mergeCell ref="A128:B128"/>
    <mergeCell ref="C128:D128"/>
    <mergeCell ref="E128:I128"/>
    <mergeCell ref="J128:K128"/>
    <mergeCell ref="A129:B129"/>
    <mergeCell ref="C129:D129"/>
    <mergeCell ref="E129:I129"/>
    <mergeCell ref="J129:K129"/>
    <mergeCell ref="A132:B132"/>
    <mergeCell ref="C132:D132"/>
    <mergeCell ref="E132:I132"/>
    <mergeCell ref="J132:K132"/>
    <mergeCell ref="A144:K144"/>
    <mergeCell ref="A146:K146"/>
    <mergeCell ref="A147:K147"/>
    <mergeCell ref="A148:K148"/>
    <mergeCell ref="B149:K149"/>
    <mergeCell ref="C151:D151"/>
    <mergeCell ref="E151:F151"/>
    <mergeCell ref="J163:K163"/>
    <mergeCell ref="A139:B139"/>
    <mergeCell ref="C139:D139"/>
    <mergeCell ref="E139:I139"/>
    <mergeCell ref="J139:K139"/>
    <mergeCell ref="A142:G142"/>
    <mergeCell ref="H142:I142"/>
    <mergeCell ref="J142:K142"/>
    <mergeCell ref="A134:B134"/>
    <mergeCell ref="C134:D134"/>
    <mergeCell ref="E134:I134"/>
    <mergeCell ref="A136:B136"/>
    <mergeCell ref="C136:D136"/>
    <mergeCell ref="J134:K134"/>
    <mergeCell ref="A135:B135"/>
    <mergeCell ref="C135:D135"/>
    <mergeCell ref="E135:I135"/>
    <mergeCell ref="J135:K135"/>
    <mergeCell ref="J136:K136"/>
    <mergeCell ref="A164:B164"/>
    <mergeCell ref="C164:D164"/>
    <mergeCell ref="E164:I164"/>
    <mergeCell ref="J164:K164"/>
    <mergeCell ref="A165:B165"/>
    <mergeCell ref="C165:D165"/>
    <mergeCell ref="E165:I165"/>
    <mergeCell ref="J165:K165"/>
    <mergeCell ref="A168:B168"/>
    <mergeCell ref="C168:D168"/>
    <mergeCell ref="E168:I168"/>
    <mergeCell ref="J168:K168"/>
    <mergeCell ref="C152:D152"/>
    <mergeCell ref="E152:F152"/>
    <mergeCell ref="E153:F153"/>
    <mergeCell ref="E154:F154"/>
    <mergeCell ref="A163:B163"/>
    <mergeCell ref="C163:D163"/>
    <mergeCell ref="E163:I163"/>
    <mergeCell ref="A170:B170"/>
    <mergeCell ref="C170:D170"/>
    <mergeCell ref="E170:I170"/>
    <mergeCell ref="A172:B172"/>
    <mergeCell ref="C172:D172"/>
    <mergeCell ref="A169:B169"/>
    <mergeCell ref="C169:D169"/>
    <mergeCell ref="E169:I169"/>
    <mergeCell ref="A166:B166"/>
    <mergeCell ref="C166:D166"/>
    <mergeCell ref="E166:I166"/>
    <mergeCell ref="J166:K166"/>
    <mergeCell ref="A167:B167"/>
    <mergeCell ref="C167:D167"/>
    <mergeCell ref="E167:I167"/>
    <mergeCell ref="J167:K167"/>
    <mergeCell ref="J169:K169"/>
    <mergeCell ref="J170:K170"/>
    <mergeCell ref="A171:B171"/>
    <mergeCell ref="C171:D171"/>
    <mergeCell ref="E171:I171"/>
    <mergeCell ref="J171:K171"/>
    <mergeCell ref="J172:K172"/>
    <mergeCell ref="C188:D188"/>
    <mergeCell ref="E188:F188"/>
    <mergeCell ref="E189:F189"/>
    <mergeCell ref="E190:F190"/>
    <mergeCell ref="A199:B199"/>
    <mergeCell ref="C199:D199"/>
    <mergeCell ref="E199:I199"/>
    <mergeCell ref="A180:K180"/>
    <mergeCell ref="A182:K182"/>
    <mergeCell ref="A183:K183"/>
    <mergeCell ref="A184:K184"/>
    <mergeCell ref="B185:K185"/>
    <mergeCell ref="C187:D187"/>
    <mergeCell ref="E187:F187"/>
    <mergeCell ref="J199:K199"/>
    <mergeCell ref="A175:B175"/>
    <mergeCell ref="C175:D175"/>
    <mergeCell ref="E175:I175"/>
    <mergeCell ref="J175:K175"/>
    <mergeCell ref="A178:G178"/>
    <mergeCell ref="H178:I178"/>
    <mergeCell ref="J178:K178"/>
    <mergeCell ref="A205:B205"/>
    <mergeCell ref="C205:D205"/>
    <mergeCell ref="E205:I205"/>
    <mergeCell ref="A202:B202"/>
    <mergeCell ref="C202:D202"/>
    <mergeCell ref="E202:I202"/>
    <mergeCell ref="J202:K202"/>
    <mergeCell ref="A203:B203"/>
    <mergeCell ref="C203:D203"/>
    <mergeCell ref="E203:I203"/>
    <mergeCell ref="J203:K203"/>
    <mergeCell ref="A200:B200"/>
    <mergeCell ref="C200:D200"/>
    <mergeCell ref="E200:I200"/>
    <mergeCell ref="J200:K200"/>
    <mergeCell ref="A201:B201"/>
    <mergeCell ref="C201:D201"/>
    <mergeCell ref="E201:I201"/>
    <mergeCell ref="J201:K201"/>
    <mergeCell ref="A204:B204"/>
    <mergeCell ref="C204:D204"/>
    <mergeCell ref="E204:I204"/>
    <mergeCell ref="J204:K204"/>
    <mergeCell ref="J205:K205"/>
    <mergeCell ref="A216:K216"/>
    <mergeCell ref="A218:K218"/>
    <mergeCell ref="A219:K219"/>
    <mergeCell ref="A220:K220"/>
    <mergeCell ref="B221:K221"/>
    <mergeCell ref="C223:D223"/>
    <mergeCell ref="E223:F223"/>
    <mergeCell ref="J235:K235"/>
    <mergeCell ref="A211:B211"/>
    <mergeCell ref="C211:D211"/>
    <mergeCell ref="E211:I211"/>
    <mergeCell ref="J211:K211"/>
    <mergeCell ref="A214:G214"/>
    <mergeCell ref="H214:I214"/>
    <mergeCell ref="J214:K214"/>
    <mergeCell ref="A206:B206"/>
    <mergeCell ref="C206:D206"/>
    <mergeCell ref="E206:I206"/>
    <mergeCell ref="A208:B208"/>
    <mergeCell ref="C208:D208"/>
    <mergeCell ref="J206:K206"/>
    <mergeCell ref="A207:B207"/>
    <mergeCell ref="C207:D207"/>
    <mergeCell ref="E207:I207"/>
    <mergeCell ref="J207:K207"/>
    <mergeCell ref="J208:K208"/>
    <mergeCell ref="A236:B236"/>
    <mergeCell ref="C236:D236"/>
    <mergeCell ref="E236:I236"/>
    <mergeCell ref="J236:K236"/>
    <mergeCell ref="A237:B237"/>
    <mergeCell ref="C237:D237"/>
    <mergeCell ref="E237:I237"/>
    <mergeCell ref="J237:K237"/>
    <mergeCell ref="A240:B240"/>
    <mergeCell ref="C240:D240"/>
    <mergeCell ref="E240:I240"/>
    <mergeCell ref="J240:K240"/>
    <mergeCell ref="C224:D224"/>
    <mergeCell ref="E224:F224"/>
    <mergeCell ref="E225:F225"/>
    <mergeCell ref="E226:F226"/>
    <mergeCell ref="A235:B235"/>
    <mergeCell ref="C235:D235"/>
    <mergeCell ref="E235:I235"/>
    <mergeCell ref="A242:B242"/>
    <mergeCell ref="C242:D242"/>
    <mergeCell ref="E242:I242"/>
    <mergeCell ref="A244:B244"/>
    <mergeCell ref="C244:D244"/>
    <mergeCell ref="A241:B241"/>
    <mergeCell ref="C241:D241"/>
    <mergeCell ref="E241:I241"/>
    <mergeCell ref="A238:B238"/>
    <mergeCell ref="C238:D238"/>
    <mergeCell ref="E238:I238"/>
    <mergeCell ref="J238:K238"/>
    <mergeCell ref="A239:B239"/>
    <mergeCell ref="C239:D239"/>
    <mergeCell ref="E239:I239"/>
    <mergeCell ref="J239:K239"/>
    <mergeCell ref="J241:K241"/>
    <mergeCell ref="J242:K242"/>
    <mergeCell ref="A243:B243"/>
    <mergeCell ref="C243:D243"/>
    <mergeCell ref="E243:I243"/>
    <mergeCell ref="J243:K243"/>
    <mergeCell ref="J244:K244"/>
    <mergeCell ref="C260:D260"/>
    <mergeCell ref="E260:F260"/>
    <mergeCell ref="E261:F261"/>
    <mergeCell ref="E262:F262"/>
    <mergeCell ref="A271:B271"/>
    <mergeCell ref="C271:D271"/>
    <mergeCell ref="E271:I271"/>
    <mergeCell ref="A252:K252"/>
    <mergeCell ref="A254:K254"/>
    <mergeCell ref="A255:K255"/>
    <mergeCell ref="A256:K256"/>
    <mergeCell ref="B257:K257"/>
    <mergeCell ref="C259:D259"/>
    <mergeCell ref="E259:F259"/>
    <mergeCell ref="J271:K271"/>
    <mergeCell ref="A247:B247"/>
    <mergeCell ref="C247:D247"/>
    <mergeCell ref="E247:I247"/>
    <mergeCell ref="J247:K247"/>
    <mergeCell ref="A250:G250"/>
    <mergeCell ref="H250:I250"/>
    <mergeCell ref="J250:K250"/>
    <mergeCell ref="A277:B277"/>
    <mergeCell ref="C277:D277"/>
    <mergeCell ref="E277:I277"/>
    <mergeCell ref="A274:B274"/>
    <mergeCell ref="C274:D274"/>
    <mergeCell ref="E274:I274"/>
    <mergeCell ref="J274:K274"/>
    <mergeCell ref="A275:B275"/>
    <mergeCell ref="C275:D275"/>
    <mergeCell ref="E275:I275"/>
    <mergeCell ref="J275:K275"/>
    <mergeCell ref="A272:B272"/>
    <mergeCell ref="C272:D272"/>
    <mergeCell ref="E272:I272"/>
    <mergeCell ref="J272:K272"/>
    <mergeCell ref="A273:B273"/>
    <mergeCell ref="C273:D273"/>
    <mergeCell ref="E273:I273"/>
    <mergeCell ref="J273:K273"/>
    <mergeCell ref="A276:B276"/>
    <mergeCell ref="C276:D276"/>
    <mergeCell ref="E276:I276"/>
    <mergeCell ref="J276:K276"/>
    <mergeCell ref="J277:K277"/>
    <mergeCell ref="A288:K288"/>
    <mergeCell ref="A290:K290"/>
    <mergeCell ref="A291:K291"/>
    <mergeCell ref="A292:K292"/>
    <mergeCell ref="B293:K293"/>
    <mergeCell ref="C295:D295"/>
    <mergeCell ref="E295:F295"/>
    <mergeCell ref="J307:K307"/>
    <mergeCell ref="A283:B283"/>
    <mergeCell ref="C283:D283"/>
    <mergeCell ref="E283:I283"/>
    <mergeCell ref="J283:K283"/>
    <mergeCell ref="A286:G286"/>
    <mergeCell ref="H286:I286"/>
    <mergeCell ref="J286:K286"/>
    <mergeCell ref="A278:B278"/>
    <mergeCell ref="C278:D278"/>
    <mergeCell ref="E278:I278"/>
    <mergeCell ref="A280:B280"/>
    <mergeCell ref="C280:D280"/>
    <mergeCell ref="J278:K278"/>
    <mergeCell ref="A279:B279"/>
    <mergeCell ref="C279:D279"/>
    <mergeCell ref="E279:I279"/>
    <mergeCell ref="J279:K279"/>
    <mergeCell ref="J280:K280"/>
    <mergeCell ref="A308:B308"/>
    <mergeCell ref="C308:D308"/>
    <mergeCell ref="E308:I308"/>
    <mergeCell ref="J308:K308"/>
    <mergeCell ref="A309:B309"/>
    <mergeCell ref="C309:D309"/>
    <mergeCell ref="E309:I309"/>
    <mergeCell ref="J309:K309"/>
    <mergeCell ref="A312:B312"/>
    <mergeCell ref="C312:D312"/>
    <mergeCell ref="E312:I312"/>
    <mergeCell ref="J312:K312"/>
    <mergeCell ref="C296:D296"/>
    <mergeCell ref="E296:F296"/>
    <mergeCell ref="E297:F297"/>
    <mergeCell ref="E298:F298"/>
    <mergeCell ref="A307:B307"/>
    <mergeCell ref="C307:D307"/>
    <mergeCell ref="E307:I307"/>
    <mergeCell ref="A314:B314"/>
    <mergeCell ref="C314:D314"/>
    <mergeCell ref="E314:I314"/>
    <mergeCell ref="A316:B316"/>
    <mergeCell ref="C316:D316"/>
    <mergeCell ref="A313:B313"/>
    <mergeCell ref="C313:D313"/>
    <mergeCell ref="E313:I313"/>
    <mergeCell ref="A310:B310"/>
    <mergeCell ref="C310:D310"/>
    <mergeCell ref="E310:I310"/>
    <mergeCell ref="J310:K310"/>
    <mergeCell ref="A311:B311"/>
    <mergeCell ref="C311:D311"/>
    <mergeCell ref="E311:I311"/>
    <mergeCell ref="J311:K311"/>
    <mergeCell ref="J313:K313"/>
    <mergeCell ref="J314:K314"/>
    <mergeCell ref="A315:B315"/>
    <mergeCell ref="C315:D315"/>
    <mergeCell ref="E315:I315"/>
    <mergeCell ref="J315:K315"/>
    <mergeCell ref="J316:K316"/>
    <mergeCell ref="C332:D332"/>
    <mergeCell ref="E332:F332"/>
    <mergeCell ref="E333:F333"/>
    <mergeCell ref="E334:F334"/>
    <mergeCell ref="A343:B343"/>
    <mergeCell ref="C343:D343"/>
    <mergeCell ref="E343:I343"/>
    <mergeCell ref="A324:K324"/>
    <mergeCell ref="A326:K326"/>
    <mergeCell ref="A327:K327"/>
    <mergeCell ref="A328:K328"/>
    <mergeCell ref="B329:K329"/>
    <mergeCell ref="C331:D331"/>
    <mergeCell ref="E331:F331"/>
    <mergeCell ref="J343:K343"/>
    <mergeCell ref="A319:B319"/>
    <mergeCell ref="C319:D319"/>
    <mergeCell ref="E319:I319"/>
    <mergeCell ref="J319:K319"/>
    <mergeCell ref="A322:G322"/>
    <mergeCell ref="H322:I322"/>
    <mergeCell ref="J322:K322"/>
    <mergeCell ref="A346:B346"/>
    <mergeCell ref="C346:D346"/>
    <mergeCell ref="E346:I346"/>
    <mergeCell ref="J346:K346"/>
    <mergeCell ref="A347:B347"/>
    <mergeCell ref="C347:D347"/>
    <mergeCell ref="E347:I347"/>
    <mergeCell ref="J347:K347"/>
    <mergeCell ref="A344:B344"/>
    <mergeCell ref="C344:D344"/>
    <mergeCell ref="E344:I344"/>
    <mergeCell ref="J344:K344"/>
    <mergeCell ref="A345:B345"/>
    <mergeCell ref="C345:D345"/>
    <mergeCell ref="E345:I345"/>
    <mergeCell ref="J345:K345"/>
    <mergeCell ref="A348:B348"/>
    <mergeCell ref="C348:D348"/>
    <mergeCell ref="E348:I348"/>
    <mergeCell ref="J348:K348"/>
    <mergeCell ref="A360:K360"/>
    <mergeCell ref="A355:B355"/>
    <mergeCell ref="C355:D355"/>
    <mergeCell ref="E355:I355"/>
    <mergeCell ref="J355:K355"/>
    <mergeCell ref="A358:G358"/>
    <mergeCell ref="H358:I358"/>
    <mergeCell ref="J358:K358"/>
    <mergeCell ref="A350:B350"/>
    <mergeCell ref="C350:D350"/>
    <mergeCell ref="E350:I350"/>
    <mergeCell ref="A352:B352"/>
    <mergeCell ref="C352:D352"/>
    <mergeCell ref="A349:B349"/>
    <mergeCell ref="C349:D349"/>
    <mergeCell ref="E349:I349"/>
    <mergeCell ref="J349:K349"/>
    <mergeCell ref="J350:K350"/>
    <mergeCell ref="A351:B351"/>
    <mergeCell ref="C351:D351"/>
    <mergeCell ref="E351:I351"/>
    <mergeCell ref="J351:K351"/>
    <mergeCell ref="J352:K352"/>
    <mergeCell ref="E370:F370"/>
    <mergeCell ref="A379:B379"/>
    <mergeCell ref="C379:D379"/>
    <mergeCell ref="E379:I379"/>
    <mergeCell ref="J379:K379"/>
    <mergeCell ref="A380:B380"/>
    <mergeCell ref="C380:D380"/>
    <mergeCell ref="E380:I380"/>
    <mergeCell ref="J380:K380"/>
    <mergeCell ref="A362:K362"/>
    <mergeCell ref="A363:K363"/>
    <mergeCell ref="A364:K364"/>
    <mergeCell ref="B365:K365"/>
    <mergeCell ref="C367:D367"/>
    <mergeCell ref="E367:F367"/>
    <mergeCell ref="C368:D368"/>
    <mergeCell ref="E368:F368"/>
    <mergeCell ref="E369:F369"/>
    <mergeCell ref="A384:B384"/>
    <mergeCell ref="C384:D384"/>
    <mergeCell ref="E384:I384"/>
    <mergeCell ref="J384:K384"/>
    <mergeCell ref="A385:B385"/>
    <mergeCell ref="C385:D385"/>
    <mergeCell ref="E385:I385"/>
    <mergeCell ref="A386:B386"/>
    <mergeCell ref="C386:D386"/>
    <mergeCell ref="E386:I386"/>
    <mergeCell ref="A381:B381"/>
    <mergeCell ref="C381:D381"/>
    <mergeCell ref="E381:I381"/>
    <mergeCell ref="J381:K381"/>
    <mergeCell ref="A382:B382"/>
    <mergeCell ref="C382:D382"/>
    <mergeCell ref="E382:I382"/>
    <mergeCell ref="J382:K382"/>
    <mergeCell ref="A383:B383"/>
    <mergeCell ref="C383:D383"/>
    <mergeCell ref="E383:I383"/>
    <mergeCell ref="J383:K383"/>
    <mergeCell ref="J385:K385"/>
    <mergeCell ref="J386:K386"/>
    <mergeCell ref="J391:K391"/>
    <mergeCell ref="A394:G394"/>
    <mergeCell ref="H394:I394"/>
    <mergeCell ref="J394:K394"/>
    <mergeCell ref="A417:B417"/>
    <mergeCell ref="C417:D417"/>
    <mergeCell ref="E417:I417"/>
    <mergeCell ref="J417:K417"/>
    <mergeCell ref="A418:B418"/>
    <mergeCell ref="C418:D418"/>
    <mergeCell ref="E418:I418"/>
    <mergeCell ref="J418:K418"/>
    <mergeCell ref="A419:B419"/>
    <mergeCell ref="C419:D419"/>
    <mergeCell ref="E419:I419"/>
    <mergeCell ref="J419:K419"/>
    <mergeCell ref="E405:F405"/>
    <mergeCell ref="E406:F406"/>
    <mergeCell ref="A415:B415"/>
    <mergeCell ref="C415:D415"/>
    <mergeCell ref="E415:I415"/>
    <mergeCell ref="J415:K415"/>
    <mergeCell ref="A416:B416"/>
    <mergeCell ref="C416:D416"/>
    <mergeCell ref="E416:I416"/>
    <mergeCell ref="J416:K416"/>
    <mergeCell ref="A424:B424"/>
    <mergeCell ref="C424:D424"/>
    <mergeCell ref="A427:B427"/>
    <mergeCell ref="C427:D427"/>
    <mergeCell ref="E427:I427"/>
    <mergeCell ref="J427:K427"/>
    <mergeCell ref="A430:G430"/>
    <mergeCell ref="H430:I430"/>
    <mergeCell ref="J430:K430"/>
    <mergeCell ref="A420:B420"/>
    <mergeCell ref="C420:D420"/>
    <mergeCell ref="E420:I420"/>
    <mergeCell ref="J420:K420"/>
    <mergeCell ref="A421:B421"/>
    <mergeCell ref="C421:D421"/>
    <mergeCell ref="E421:I421"/>
    <mergeCell ref="A422:B422"/>
    <mergeCell ref="C422:D422"/>
    <mergeCell ref="E422:I422"/>
    <mergeCell ref="E441:F441"/>
    <mergeCell ref="E442:F442"/>
    <mergeCell ref="A451:B451"/>
    <mergeCell ref="C451:D451"/>
    <mergeCell ref="E451:I451"/>
    <mergeCell ref="J451:K451"/>
    <mergeCell ref="A452:B452"/>
    <mergeCell ref="C452:D452"/>
    <mergeCell ref="E452:I452"/>
    <mergeCell ref="J452:K452"/>
    <mergeCell ref="A432:K432"/>
    <mergeCell ref="A434:K434"/>
    <mergeCell ref="A435:K435"/>
    <mergeCell ref="A436:K436"/>
    <mergeCell ref="B437:K437"/>
    <mergeCell ref="C439:D439"/>
    <mergeCell ref="E439:F439"/>
    <mergeCell ref="C440:D440"/>
    <mergeCell ref="E440:F440"/>
    <mergeCell ref="A456:B456"/>
    <mergeCell ref="C456:D456"/>
    <mergeCell ref="E456:I456"/>
    <mergeCell ref="J456:K456"/>
    <mergeCell ref="A457:B457"/>
    <mergeCell ref="C457:D457"/>
    <mergeCell ref="E457:I457"/>
    <mergeCell ref="A458:B458"/>
    <mergeCell ref="C458:D458"/>
    <mergeCell ref="E458:I458"/>
    <mergeCell ref="A453:B453"/>
    <mergeCell ref="C453:D453"/>
    <mergeCell ref="E453:I453"/>
    <mergeCell ref="J453:K453"/>
    <mergeCell ref="A454:B454"/>
    <mergeCell ref="C454:D454"/>
    <mergeCell ref="E454:I454"/>
    <mergeCell ref="J454:K454"/>
    <mergeCell ref="A455:B455"/>
    <mergeCell ref="C455:D455"/>
    <mergeCell ref="E455:I455"/>
    <mergeCell ref="J455:K455"/>
    <mergeCell ref="A468:K468"/>
    <mergeCell ref="A470:K470"/>
    <mergeCell ref="A471:K471"/>
    <mergeCell ref="A472:K472"/>
    <mergeCell ref="B473:K473"/>
    <mergeCell ref="C475:D475"/>
    <mergeCell ref="E475:F475"/>
    <mergeCell ref="C476:D476"/>
    <mergeCell ref="E476:F476"/>
    <mergeCell ref="A460:B460"/>
    <mergeCell ref="C460:D460"/>
    <mergeCell ref="A463:B463"/>
    <mergeCell ref="C463:D463"/>
    <mergeCell ref="E463:I463"/>
    <mergeCell ref="J463:K463"/>
    <mergeCell ref="A466:G466"/>
    <mergeCell ref="H466:I466"/>
    <mergeCell ref="J466:K466"/>
    <mergeCell ref="J460:K460"/>
    <mergeCell ref="A489:B489"/>
    <mergeCell ref="C489:D489"/>
    <mergeCell ref="E489:I489"/>
    <mergeCell ref="J489:K489"/>
    <mergeCell ref="A490:B490"/>
    <mergeCell ref="C490:D490"/>
    <mergeCell ref="E490:I490"/>
    <mergeCell ref="J490:K490"/>
    <mergeCell ref="A491:B491"/>
    <mergeCell ref="C491:D491"/>
    <mergeCell ref="E491:I491"/>
    <mergeCell ref="J491:K491"/>
    <mergeCell ref="E477:F477"/>
    <mergeCell ref="E478:F478"/>
    <mergeCell ref="A487:B487"/>
    <mergeCell ref="C487:D487"/>
    <mergeCell ref="E487:I487"/>
    <mergeCell ref="J487:K487"/>
    <mergeCell ref="A488:B488"/>
    <mergeCell ref="C488:D488"/>
    <mergeCell ref="E488:I488"/>
    <mergeCell ref="J488:K488"/>
    <mergeCell ref="A496:B496"/>
    <mergeCell ref="C496:D496"/>
    <mergeCell ref="A499:B499"/>
    <mergeCell ref="C499:D499"/>
    <mergeCell ref="E499:I499"/>
    <mergeCell ref="J499:K499"/>
    <mergeCell ref="A502:G502"/>
    <mergeCell ref="H502:I502"/>
    <mergeCell ref="J502:K502"/>
    <mergeCell ref="A492:B492"/>
    <mergeCell ref="C492:D492"/>
    <mergeCell ref="E492:I492"/>
    <mergeCell ref="J492:K492"/>
    <mergeCell ref="A493:B493"/>
    <mergeCell ref="C493:D493"/>
    <mergeCell ref="E493:I493"/>
    <mergeCell ref="A494:B494"/>
    <mergeCell ref="C494:D494"/>
    <mergeCell ref="E494:I494"/>
    <mergeCell ref="J493:K493"/>
    <mergeCell ref="J494:K494"/>
    <mergeCell ref="A495:B495"/>
    <mergeCell ref="C495:D495"/>
    <mergeCell ref="E495:I495"/>
    <mergeCell ref="J495:K495"/>
    <mergeCell ref="J496:K496"/>
    <mergeCell ref="E513:F513"/>
    <mergeCell ref="E514:F514"/>
    <mergeCell ref="A523:B523"/>
    <mergeCell ref="C523:D523"/>
    <mergeCell ref="E523:I523"/>
    <mergeCell ref="J523:K523"/>
    <mergeCell ref="A524:B524"/>
    <mergeCell ref="C524:D524"/>
    <mergeCell ref="E524:I524"/>
    <mergeCell ref="J524:K524"/>
    <mergeCell ref="A504:K504"/>
    <mergeCell ref="A506:K506"/>
    <mergeCell ref="A507:K507"/>
    <mergeCell ref="A508:K508"/>
    <mergeCell ref="B509:K509"/>
    <mergeCell ref="C511:D511"/>
    <mergeCell ref="E511:F511"/>
    <mergeCell ref="C512:D512"/>
    <mergeCell ref="E512:F512"/>
    <mergeCell ref="A528:B528"/>
    <mergeCell ref="C528:D528"/>
    <mergeCell ref="E528:I528"/>
    <mergeCell ref="J528:K528"/>
    <mergeCell ref="A529:B529"/>
    <mergeCell ref="C529:D529"/>
    <mergeCell ref="E529:I529"/>
    <mergeCell ref="A530:B530"/>
    <mergeCell ref="C530:D530"/>
    <mergeCell ref="E530:I530"/>
    <mergeCell ref="A525:B525"/>
    <mergeCell ref="C525:D525"/>
    <mergeCell ref="E525:I525"/>
    <mergeCell ref="J525:K525"/>
    <mergeCell ref="A526:B526"/>
    <mergeCell ref="C526:D526"/>
    <mergeCell ref="E526:I526"/>
    <mergeCell ref="J526:K526"/>
    <mergeCell ref="A527:B527"/>
    <mergeCell ref="C527:D527"/>
    <mergeCell ref="E527:I527"/>
    <mergeCell ref="J527:K527"/>
    <mergeCell ref="J529:K529"/>
    <mergeCell ref="J530:K530"/>
    <mergeCell ref="J535:K535"/>
    <mergeCell ref="A538:G538"/>
    <mergeCell ref="H538:I538"/>
    <mergeCell ref="J538:K538"/>
    <mergeCell ref="A561:B561"/>
    <mergeCell ref="C561:D561"/>
    <mergeCell ref="E561:I561"/>
    <mergeCell ref="J561:K561"/>
    <mergeCell ref="A562:B562"/>
    <mergeCell ref="C562:D562"/>
    <mergeCell ref="E562:I562"/>
    <mergeCell ref="J562:K562"/>
    <mergeCell ref="A563:B563"/>
    <mergeCell ref="C563:D563"/>
    <mergeCell ref="E563:I563"/>
    <mergeCell ref="J563:K563"/>
    <mergeCell ref="E549:F549"/>
    <mergeCell ref="E550:F550"/>
    <mergeCell ref="A559:B559"/>
    <mergeCell ref="C559:D559"/>
    <mergeCell ref="E559:I559"/>
    <mergeCell ref="J559:K559"/>
    <mergeCell ref="A560:B560"/>
    <mergeCell ref="C560:D560"/>
    <mergeCell ref="E560:I560"/>
    <mergeCell ref="J560:K560"/>
    <mergeCell ref="A568:B568"/>
    <mergeCell ref="C568:D568"/>
    <mergeCell ref="A571:B571"/>
    <mergeCell ref="C571:D571"/>
    <mergeCell ref="E571:I571"/>
    <mergeCell ref="J571:K571"/>
    <mergeCell ref="A574:G574"/>
    <mergeCell ref="H574:I574"/>
    <mergeCell ref="J574:K574"/>
    <mergeCell ref="A564:B564"/>
    <mergeCell ref="C564:D564"/>
    <mergeCell ref="E564:I564"/>
    <mergeCell ref="J564:K564"/>
    <mergeCell ref="A565:B565"/>
    <mergeCell ref="C565:D565"/>
    <mergeCell ref="E565:I565"/>
    <mergeCell ref="A566:B566"/>
    <mergeCell ref="C566:D566"/>
    <mergeCell ref="E566:I566"/>
    <mergeCell ref="E585:F585"/>
    <mergeCell ref="E586:F586"/>
    <mergeCell ref="A595:B595"/>
    <mergeCell ref="C595:D595"/>
    <mergeCell ref="E595:I595"/>
    <mergeCell ref="J595:K595"/>
    <mergeCell ref="A596:B596"/>
    <mergeCell ref="C596:D596"/>
    <mergeCell ref="E596:I596"/>
    <mergeCell ref="J596:K596"/>
    <mergeCell ref="A576:K576"/>
    <mergeCell ref="A578:K578"/>
    <mergeCell ref="A579:K579"/>
    <mergeCell ref="A580:K580"/>
    <mergeCell ref="B581:K581"/>
    <mergeCell ref="C583:D583"/>
    <mergeCell ref="E583:F583"/>
    <mergeCell ref="C584:D584"/>
    <mergeCell ref="E584:F584"/>
    <mergeCell ref="A600:B600"/>
    <mergeCell ref="C600:D600"/>
    <mergeCell ref="E600:I600"/>
    <mergeCell ref="J600:K600"/>
    <mergeCell ref="A601:B601"/>
    <mergeCell ref="C601:D601"/>
    <mergeCell ref="E601:I601"/>
    <mergeCell ref="A602:B602"/>
    <mergeCell ref="C602:D602"/>
    <mergeCell ref="E602:I602"/>
    <mergeCell ref="A597:B597"/>
    <mergeCell ref="C597:D597"/>
    <mergeCell ref="E597:I597"/>
    <mergeCell ref="J597:K597"/>
    <mergeCell ref="A598:B598"/>
    <mergeCell ref="C598:D598"/>
    <mergeCell ref="E598:I598"/>
    <mergeCell ref="J598:K598"/>
    <mergeCell ref="A599:B599"/>
    <mergeCell ref="C599:D599"/>
    <mergeCell ref="E599:I599"/>
    <mergeCell ref="J599:K599"/>
    <mergeCell ref="A612:K612"/>
    <mergeCell ref="A614:K614"/>
    <mergeCell ref="A615:K615"/>
    <mergeCell ref="A616:K616"/>
    <mergeCell ref="B617:K617"/>
    <mergeCell ref="C619:D619"/>
    <mergeCell ref="E619:F619"/>
    <mergeCell ref="C620:D620"/>
    <mergeCell ref="E620:F620"/>
    <mergeCell ref="A604:B604"/>
    <mergeCell ref="C604:D604"/>
    <mergeCell ref="A607:B607"/>
    <mergeCell ref="C607:D607"/>
    <mergeCell ref="E607:I607"/>
    <mergeCell ref="J607:K607"/>
    <mergeCell ref="A610:G610"/>
    <mergeCell ref="H610:I610"/>
    <mergeCell ref="J610:K610"/>
    <mergeCell ref="J604:K604"/>
    <mergeCell ref="A633:B633"/>
    <mergeCell ref="C633:D633"/>
    <mergeCell ref="E633:I633"/>
    <mergeCell ref="J633:K633"/>
    <mergeCell ref="A634:B634"/>
    <mergeCell ref="C634:D634"/>
    <mergeCell ref="E634:I634"/>
    <mergeCell ref="J634:K634"/>
    <mergeCell ref="A635:B635"/>
    <mergeCell ref="C635:D635"/>
    <mergeCell ref="E635:I635"/>
    <mergeCell ref="J635:K635"/>
    <mergeCell ref="E621:F621"/>
    <mergeCell ref="E622:F622"/>
    <mergeCell ref="A631:B631"/>
    <mergeCell ref="C631:D631"/>
    <mergeCell ref="E631:I631"/>
    <mergeCell ref="J631:K631"/>
    <mergeCell ref="A632:B632"/>
    <mergeCell ref="C632:D632"/>
    <mergeCell ref="E632:I632"/>
    <mergeCell ref="J632:K632"/>
    <mergeCell ref="A640:B640"/>
    <mergeCell ref="C640:D640"/>
    <mergeCell ref="A643:B643"/>
    <mergeCell ref="C643:D643"/>
    <mergeCell ref="E643:I643"/>
    <mergeCell ref="J643:K643"/>
    <mergeCell ref="A646:G646"/>
    <mergeCell ref="H646:I646"/>
    <mergeCell ref="J646:K646"/>
    <mergeCell ref="A636:B636"/>
    <mergeCell ref="C636:D636"/>
    <mergeCell ref="E636:I636"/>
    <mergeCell ref="J636:K636"/>
    <mergeCell ref="A637:B637"/>
    <mergeCell ref="C637:D637"/>
    <mergeCell ref="E637:I637"/>
    <mergeCell ref="A638:B638"/>
    <mergeCell ref="C638:D638"/>
    <mergeCell ref="E638:I638"/>
    <mergeCell ref="J637:K637"/>
    <mergeCell ref="J638:K638"/>
    <mergeCell ref="A639:B639"/>
    <mergeCell ref="C639:D639"/>
    <mergeCell ref="E639:I639"/>
    <mergeCell ref="J639:K639"/>
    <mergeCell ref="J640:K640"/>
    <mergeCell ref="E657:F657"/>
    <mergeCell ref="E658:F658"/>
    <mergeCell ref="A667:B667"/>
    <mergeCell ref="C667:D667"/>
    <mergeCell ref="E667:I667"/>
    <mergeCell ref="J667:K667"/>
    <mergeCell ref="A668:B668"/>
    <mergeCell ref="C668:D668"/>
    <mergeCell ref="E668:I668"/>
    <mergeCell ref="J668:K668"/>
    <mergeCell ref="A648:K648"/>
    <mergeCell ref="A650:K650"/>
    <mergeCell ref="A651:K651"/>
    <mergeCell ref="A652:K652"/>
    <mergeCell ref="B653:K653"/>
    <mergeCell ref="C655:D655"/>
    <mergeCell ref="E655:F655"/>
    <mergeCell ref="C656:D656"/>
    <mergeCell ref="E656:F656"/>
    <mergeCell ref="A672:B672"/>
    <mergeCell ref="C672:D672"/>
    <mergeCell ref="E672:I672"/>
    <mergeCell ref="J672:K672"/>
    <mergeCell ref="A673:B673"/>
    <mergeCell ref="C673:D673"/>
    <mergeCell ref="E673:I673"/>
    <mergeCell ref="A674:B674"/>
    <mergeCell ref="C674:D674"/>
    <mergeCell ref="E674:I674"/>
    <mergeCell ref="A669:B669"/>
    <mergeCell ref="C669:D669"/>
    <mergeCell ref="E669:I669"/>
    <mergeCell ref="J669:K669"/>
    <mergeCell ref="A670:B670"/>
    <mergeCell ref="C670:D670"/>
    <mergeCell ref="E670:I670"/>
    <mergeCell ref="J670:K670"/>
    <mergeCell ref="A671:B671"/>
    <mergeCell ref="C671:D671"/>
    <mergeCell ref="E671:I671"/>
    <mergeCell ref="J671:K671"/>
    <mergeCell ref="J673:K673"/>
    <mergeCell ref="J674:K674"/>
    <mergeCell ref="J679:K679"/>
    <mergeCell ref="A682:G682"/>
    <mergeCell ref="H682:I682"/>
    <mergeCell ref="J682:K682"/>
    <mergeCell ref="A705:B705"/>
    <mergeCell ref="C705:D705"/>
    <mergeCell ref="E705:I705"/>
    <mergeCell ref="J705:K705"/>
    <mergeCell ref="A706:B706"/>
    <mergeCell ref="C706:D706"/>
    <mergeCell ref="E706:I706"/>
    <mergeCell ref="J706:K706"/>
    <mergeCell ref="A707:B707"/>
    <mergeCell ref="C707:D707"/>
    <mergeCell ref="E707:I707"/>
    <mergeCell ref="J707:K707"/>
    <mergeCell ref="E693:F693"/>
    <mergeCell ref="E694:F694"/>
    <mergeCell ref="A703:B703"/>
    <mergeCell ref="C703:D703"/>
    <mergeCell ref="E703:I703"/>
    <mergeCell ref="J703:K703"/>
    <mergeCell ref="A704:B704"/>
    <mergeCell ref="C704:D704"/>
    <mergeCell ref="E704:I704"/>
    <mergeCell ref="J704:K704"/>
    <mergeCell ref="A712:B712"/>
    <mergeCell ref="C712:D712"/>
    <mergeCell ref="A715:B715"/>
    <mergeCell ref="C715:D715"/>
    <mergeCell ref="E715:I715"/>
    <mergeCell ref="J715:K715"/>
    <mergeCell ref="A718:G718"/>
    <mergeCell ref="H718:I718"/>
    <mergeCell ref="J718:K718"/>
    <mergeCell ref="A708:B708"/>
    <mergeCell ref="C708:D708"/>
    <mergeCell ref="E708:I708"/>
    <mergeCell ref="J708:K708"/>
    <mergeCell ref="A709:B709"/>
    <mergeCell ref="C709:D709"/>
    <mergeCell ref="E709:I709"/>
    <mergeCell ref="A710:B710"/>
    <mergeCell ref="C710:D710"/>
    <mergeCell ref="E710:I710"/>
    <mergeCell ref="E729:F729"/>
    <mergeCell ref="E730:F730"/>
    <mergeCell ref="A739:B739"/>
    <mergeCell ref="C739:D739"/>
    <mergeCell ref="E739:I739"/>
    <mergeCell ref="J739:K739"/>
    <mergeCell ref="A740:B740"/>
    <mergeCell ref="C740:D740"/>
    <mergeCell ref="E740:I740"/>
    <mergeCell ref="J740:K740"/>
    <mergeCell ref="A720:K720"/>
    <mergeCell ref="A722:K722"/>
    <mergeCell ref="A723:K723"/>
    <mergeCell ref="A724:K724"/>
    <mergeCell ref="B725:K725"/>
    <mergeCell ref="C727:D727"/>
    <mergeCell ref="E727:F727"/>
    <mergeCell ref="C728:D728"/>
    <mergeCell ref="E728:F728"/>
    <mergeCell ref="A744:B744"/>
    <mergeCell ref="C744:D744"/>
    <mergeCell ref="E744:I744"/>
    <mergeCell ref="J744:K744"/>
    <mergeCell ref="A745:B745"/>
    <mergeCell ref="C745:D745"/>
    <mergeCell ref="E745:I745"/>
    <mergeCell ref="A746:B746"/>
    <mergeCell ref="C746:D746"/>
    <mergeCell ref="E746:I746"/>
    <mergeCell ref="A741:B741"/>
    <mergeCell ref="C741:D741"/>
    <mergeCell ref="E741:I741"/>
    <mergeCell ref="J741:K741"/>
    <mergeCell ref="A742:B742"/>
    <mergeCell ref="C742:D742"/>
    <mergeCell ref="E742:I742"/>
    <mergeCell ref="J742:K742"/>
    <mergeCell ref="A743:B743"/>
    <mergeCell ref="C743:D743"/>
    <mergeCell ref="E743:I743"/>
    <mergeCell ref="J743:K743"/>
    <mergeCell ref="A756:K756"/>
    <mergeCell ref="A758:K758"/>
    <mergeCell ref="A759:K759"/>
    <mergeCell ref="A760:K760"/>
    <mergeCell ref="B761:K761"/>
    <mergeCell ref="C763:D763"/>
    <mergeCell ref="E763:F763"/>
    <mergeCell ref="C764:D764"/>
    <mergeCell ref="E764:F764"/>
    <mergeCell ref="A748:B748"/>
    <mergeCell ref="C748:D748"/>
    <mergeCell ref="A751:B751"/>
    <mergeCell ref="C751:D751"/>
    <mergeCell ref="E751:I751"/>
    <mergeCell ref="J751:K751"/>
    <mergeCell ref="A754:G754"/>
    <mergeCell ref="H754:I754"/>
    <mergeCell ref="J754:K754"/>
    <mergeCell ref="J748:K748"/>
    <mergeCell ref="A777:B777"/>
    <mergeCell ref="C777:D777"/>
    <mergeCell ref="E777:I777"/>
    <mergeCell ref="J777:K777"/>
    <mergeCell ref="A778:B778"/>
    <mergeCell ref="C778:D778"/>
    <mergeCell ref="E778:I778"/>
    <mergeCell ref="J778:K778"/>
    <mergeCell ref="A779:B779"/>
    <mergeCell ref="C779:D779"/>
    <mergeCell ref="E779:I779"/>
    <mergeCell ref="J779:K779"/>
    <mergeCell ref="E765:F765"/>
    <mergeCell ref="E766:F766"/>
    <mergeCell ref="A775:B775"/>
    <mergeCell ref="C775:D775"/>
    <mergeCell ref="E775:I775"/>
    <mergeCell ref="J775:K775"/>
    <mergeCell ref="A776:B776"/>
    <mergeCell ref="C776:D776"/>
    <mergeCell ref="E776:I776"/>
    <mergeCell ref="J776:K776"/>
    <mergeCell ref="A784:B784"/>
    <mergeCell ref="C784:D784"/>
    <mergeCell ref="A787:B787"/>
    <mergeCell ref="C787:D787"/>
    <mergeCell ref="E787:I787"/>
    <mergeCell ref="J787:K787"/>
    <mergeCell ref="A790:G790"/>
    <mergeCell ref="H790:I790"/>
    <mergeCell ref="J790:K790"/>
    <mergeCell ref="A780:B780"/>
    <mergeCell ref="C780:D780"/>
    <mergeCell ref="E780:I780"/>
    <mergeCell ref="J780:K780"/>
    <mergeCell ref="A781:B781"/>
    <mergeCell ref="C781:D781"/>
    <mergeCell ref="E781:I781"/>
    <mergeCell ref="A782:B782"/>
    <mergeCell ref="C782:D782"/>
    <mergeCell ref="E782:I782"/>
    <mergeCell ref="J781:K781"/>
    <mergeCell ref="J782:K782"/>
    <mergeCell ref="A783:B783"/>
    <mergeCell ref="C783:D783"/>
    <mergeCell ref="E783:I783"/>
    <mergeCell ref="J783:K783"/>
    <mergeCell ref="J784:K784"/>
    <mergeCell ref="E801:F801"/>
    <mergeCell ref="E802:F802"/>
    <mergeCell ref="A811:B811"/>
    <mergeCell ref="C811:D811"/>
    <mergeCell ref="E811:I811"/>
    <mergeCell ref="J811:K811"/>
    <mergeCell ref="A812:B812"/>
    <mergeCell ref="C812:D812"/>
    <mergeCell ref="E812:I812"/>
    <mergeCell ref="J812:K812"/>
    <mergeCell ref="A792:K792"/>
    <mergeCell ref="A794:K794"/>
    <mergeCell ref="A795:K795"/>
    <mergeCell ref="A796:K796"/>
    <mergeCell ref="B797:K797"/>
    <mergeCell ref="C799:D799"/>
    <mergeCell ref="E799:F799"/>
    <mergeCell ref="C800:D800"/>
    <mergeCell ref="E800:F800"/>
    <mergeCell ref="A816:B816"/>
    <mergeCell ref="C816:D816"/>
    <mergeCell ref="E816:I816"/>
    <mergeCell ref="J816:K816"/>
    <mergeCell ref="A817:B817"/>
    <mergeCell ref="C817:D817"/>
    <mergeCell ref="E817:I817"/>
    <mergeCell ref="A818:B818"/>
    <mergeCell ref="C818:D818"/>
    <mergeCell ref="E818:I818"/>
    <mergeCell ref="A813:B813"/>
    <mergeCell ref="C813:D813"/>
    <mergeCell ref="E813:I813"/>
    <mergeCell ref="J813:K813"/>
    <mergeCell ref="A814:B814"/>
    <mergeCell ref="C814:D814"/>
    <mergeCell ref="E814:I814"/>
    <mergeCell ref="J814:K814"/>
    <mergeCell ref="A815:B815"/>
    <mergeCell ref="C815:D815"/>
    <mergeCell ref="E815:I815"/>
    <mergeCell ref="J815:K815"/>
    <mergeCell ref="J817:K817"/>
    <mergeCell ref="J818:K818"/>
    <mergeCell ref="J823:K823"/>
    <mergeCell ref="A826:G826"/>
    <mergeCell ref="H826:I826"/>
    <mergeCell ref="J826:K826"/>
    <mergeCell ref="A849:B849"/>
    <mergeCell ref="C849:D849"/>
    <mergeCell ref="E849:I849"/>
    <mergeCell ref="J849:K849"/>
    <mergeCell ref="A850:B850"/>
    <mergeCell ref="C850:D850"/>
    <mergeCell ref="E850:I850"/>
    <mergeCell ref="J850:K850"/>
    <mergeCell ref="A851:B851"/>
    <mergeCell ref="C851:D851"/>
    <mergeCell ref="E851:I851"/>
    <mergeCell ref="J851:K851"/>
    <mergeCell ref="E837:F837"/>
    <mergeCell ref="E838:F838"/>
    <mergeCell ref="A847:B847"/>
    <mergeCell ref="C847:D847"/>
    <mergeCell ref="E847:I847"/>
    <mergeCell ref="J847:K847"/>
    <mergeCell ref="A848:B848"/>
    <mergeCell ref="C848:D848"/>
    <mergeCell ref="E848:I848"/>
    <mergeCell ref="J848:K848"/>
    <mergeCell ref="A856:B856"/>
    <mergeCell ref="C856:D856"/>
    <mergeCell ref="A859:B859"/>
    <mergeCell ref="C859:D859"/>
    <mergeCell ref="E859:I859"/>
    <mergeCell ref="J859:K859"/>
    <mergeCell ref="A862:G862"/>
    <mergeCell ref="H862:I862"/>
    <mergeCell ref="J862:K862"/>
    <mergeCell ref="A852:B852"/>
    <mergeCell ref="C852:D852"/>
    <mergeCell ref="E852:I852"/>
    <mergeCell ref="J852:K852"/>
    <mergeCell ref="A853:B853"/>
    <mergeCell ref="C853:D853"/>
    <mergeCell ref="E853:I853"/>
    <mergeCell ref="A854:B854"/>
    <mergeCell ref="C854:D854"/>
    <mergeCell ref="E854:I854"/>
    <mergeCell ref="E873:F873"/>
    <mergeCell ref="E874:F874"/>
    <mergeCell ref="A883:B883"/>
    <mergeCell ref="C883:D883"/>
    <mergeCell ref="E883:I883"/>
    <mergeCell ref="J883:K883"/>
    <mergeCell ref="A884:B884"/>
    <mergeCell ref="C884:D884"/>
    <mergeCell ref="E884:I884"/>
    <mergeCell ref="J884:K884"/>
    <mergeCell ref="A864:K864"/>
    <mergeCell ref="A866:K866"/>
    <mergeCell ref="A867:K867"/>
    <mergeCell ref="A868:K868"/>
    <mergeCell ref="B869:K869"/>
    <mergeCell ref="C871:D871"/>
    <mergeCell ref="E871:F871"/>
    <mergeCell ref="C872:D872"/>
    <mergeCell ref="E872:F872"/>
    <mergeCell ref="A888:B888"/>
    <mergeCell ref="C888:D888"/>
    <mergeCell ref="E888:I888"/>
    <mergeCell ref="J888:K888"/>
    <mergeCell ref="A889:B889"/>
    <mergeCell ref="C889:D889"/>
    <mergeCell ref="E889:I889"/>
    <mergeCell ref="A890:B890"/>
    <mergeCell ref="C890:D890"/>
    <mergeCell ref="E890:I890"/>
    <mergeCell ref="A885:B885"/>
    <mergeCell ref="C885:D885"/>
    <mergeCell ref="E885:I885"/>
    <mergeCell ref="J885:K885"/>
    <mergeCell ref="A886:B886"/>
    <mergeCell ref="C886:D886"/>
    <mergeCell ref="E886:I886"/>
    <mergeCell ref="J886:K886"/>
    <mergeCell ref="A887:B887"/>
    <mergeCell ref="C887:D887"/>
    <mergeCell ref="E887:I887"/>
    <mergeCell ref="J887:K887"/>
    <mergeCell ref="A900:K900"/>
    <mergeCell ref="A902:K902"/>
    <mergeCell ref="A903:K903"/>
    <mergeCell ref="A904:K904"/>
    <mergeCell ref="B905:K905"/>
    <mergeCell ref="C907:D907"/>
    <mergeCell ref="E907:F907"/>
    <mergeCell ref="C908:D908"/>
    <mergeCell ref="E908:F908"/>
    <mergeCell ref="A892:B892"/>
    <mergeCell ref="C892:D892"/>
    <mergeCell ref="A895:B895"/>
    <mergeCell ref="C895:D895"/>
    <mergeCell ref="E895:I895"/>
    <mergeCell ref="J895:K895"/>
    <mergeCell ref="A898:G898"/>
    <mergeCell ref="H898:I898"/>
    <mergeCell ref="J898:K898"/>
    <mergeCell ref="J892:K892"/>
    <mergeCell ref="A921:B921"/>
    <mergeCell ref="C921:D921"/>
    <mergeCell ref="E921:I921"/>
    <mergeCell ref="J921:K921"/>
    <mergeCell ref="A922:B922"/>
    <mergeCell ref="C922:D922"/>
    <mergeCell ref="E922:I922"/>
    <mergeCell ref="J922:K922"/>
    <mergeCell ref="A923:B923"/>
    <mergeCell ref="C923:D923"/>
    <mergeCell ref="E923:I923"/>
    <mergeCell ref="J923:K923"/>
    <mergeCell ref="E909:F909"/>
    <mergeCell ref="E910:F910"/>
    <mergeCell ref="A919:B919"/>
    <mergeCell ref="C919:D919"/>
    <mergeCell ref="E919:I919"/>
    <mergeCell ref="J919:K919"/>
    <mergeCell ref="A920:B920"/>
    <mergeCell ref="C920:D920"/>
    <mergeCell ref="E920:I920"/>
    <mergeCell ref="J920:K920"/>
    <mergeCell ref="A928:B928"/>
    <mergeCell ref="C928:D928"/>
    <mergeCell ref="A931:B931"/>
    <mergeCell ref="C931:D931"/>
    <mergeCell ref="E931:I931"/>
    <mergeCell ref="J931:K931"/>
    <mergeCell ref="A934:G934"/>
    <mergeCell ref="H934:I934"/>
    <mergeCell ref="J934:K934"/>
    <mergeCell ref="A924:B924"/>
    <mergeCell ref="C924:D924"/>
    <mergeCell ref="E924:I924"/>
    <mergeCell ref="J924:K924"/>
    <mergeCell ref="A925:B925"/>
    <mergeCell ref="C925:D925"/>
    <mergeCell ref="E925:I925"/>
    <mergeCell ref="A926:B926"/>
    <mergeCell ref="C926:D926"/>
    <mergeCell ref="E926:I926"/>
    <mergeCell ref="J925:K925"/>
    <mergeCell ref="J926:K926"/>
    <mergeCell ref="A927:B927"/>
    <mergeCell ref="C927:D927"/>
    <mergeCell ref="E927:I927"/>
    <mergeCell ref="J927:K927"/>
    <mergeCell ref="J928:K928"/>
    <mergeCell ref="E945:F945"/>
    <mergeCell ref="E946:F946"/>
    <mergeCell ref="A955:B955"/>
    <mergeCell ref="C955:D955"/>
    <mergeCell ref="E955:I955"/>
    <mergeCell ref="J955:K955"/>
    <mergeCell ref="A956:B956"/>
    <mergeCell ref="C956:D956"/>
    <mergeCell ref="E956:I956"/>
    <mergeCell ref="J956:K956"/>
    <mergeCell ref="A936:K936"/>
    <mergeCell ref="A938:K938"/>
    <mergeCell ref="A939:K939"/>
    <mergeCell ref="A940:K940"/>
    <mergeCell ref="B941:K941"/>
    <mergeCell ref="C943:D943"/>
    <mergeCell ref="E943:F943"/>
    <mergeCell ref="C944:D944"/>
    <mergeCell ref="E944:F944"/>
    <mergeCell ref="A960:B960"/>
    <mergeCell ref="C960:D960"/>
    <mergeCell ref="E960:I960"/>
    <mergeCell ref="J960:K960"/>
    <mergeCell ref="A961:B961"/>
    <mergeCell ref="C961:D961"/>
    <mergeCell ref="E961:I961"/>
    <mergeCell ref="A962:B962"/>
    <mergeCell ref="C962:D962"/>
    <mergeCell ref="E962:I962"/>
    <mergeCell ref="A957:B957"/>
    <mergeCell ref="C957:D957"/>
    <mergeCell ref="E957:I957"/>
    <mergeCell ref="J957:K957"/>
    <mergeCell ref="A958:B958"/>
    <mergeCell ref="C958:D958"/>
    <mergeCell ref="E958:I958"/>
    <mergeCell ref="J958:K958"/>
    <mergeCell ref="A959:B959"/>
    <mergeCell ref="C959:D959"/>
    <mergeCell ref="E959:I959"/>
    <mergeCell ref="J959:K959"/>
    <mergeCell ref="J961:K961"/>
    <mergeCell ref="J962:K962"/>
    <mergeCell ref="J967:K967"/>
    <mergeCell ref="A970:G970"/>
    <mergeCell ref="H970:I970"/>
    <mergeCell ref="J970:K970"/>
    <mergeCell ref="A993:B993"/>
    <mergeCell ref="C993:D993"/>
    <mergeCell ref="E993:I993"/>
    <mergeCell ref="J993:K993"/>
    <mergeCell ref="A994:B994"/>
    <mergeCell ref="C994:D994"/>
    <mergeCell ref="E994:I994"/>
    <mergeCell ref="J994:K994"/>
    <mergeCell ref="A995:B995"/>
    <mergeCell ref="C995:D995"/>
    <mergeCell ref="E995:I995"/>
    <mergeCell ref="J995:K995"/>
    <mergeCell ref="E981:F981"/>
    <mergeCell ref="E982:F982"/>
    <mergeCell ref="A991:B991"/>
    <mergeCell ref="C991:D991"/>
    <mergeCell ref="E991:I991"/>
    <mergeCell ref="J991:K991"/>
    <mergeCell ref="A992:B992"/>
    <mergeCell ref="C992:D992"/>
    <mergeCell ref="E992:I992"/>
    <mergeCell ref="J992:K992"/>
    <mergeCell ref="A1000:B1000"/>
    <mergeCell ref="C1000:D1000"/>
    <mergeCell ref="A1003:B1003"/>
    <mergeCell ref="C1003:D1003"/>
    <mergeCell ref="E1003:I1003"/>
    <mergeCell ref="J1003:K1003"/>
    <mergeCell ref="A1006:G1006"/>
    <mergeCell ref="H1006:I1006"/>
    <mergeCell ref="J1006:K1006"/>
    <mergeCell ref="A996:B996"/>
    <mergeCell ref="C996:D996"/>
    <mergeCell ref="E996:I996"/>
    <mergeCell ref="J996:K996"/>
    <mergeCell ref="A997:B997"/>
    <mergeCell ref="C997:D997"/>
    <mergeCell ref="E997:I997"/>
    <mergeCell ref="A998:B998"/>
    <mergeCell ref="C998:D998"/>
    <mergeCell ref="E998:I998"/>
    <mergeCell ref="E1017:F1017"/>
    <mergeCell ref="E1018:F1018"/>
    <mergeCell ref="A1027:B1027"/>
    <mergeCell ref="C1027:D1027"/>
    <mergeCell ref="E1027:I1027"/>
    <mergeCell ref="J1027:K1027"/>
    <mergeCell ref="A1028:B1028"/>
    <mergeCell ref="C1028:D1028"/>
    <mergeCell ref="E1028:I1028"/>
    <mergeCell ref="J1028:K1028"/>
    <mergeCell ref="A1008:K1008"/>
    <mergeCell ref="A1010:K1010"/>
    <mergeCell ref="A1011:K1011"/>
    <mergeCell ref="A1012:K1012"/>
    <mergeCell ref="B1013:K1013"/>
    <mergeCell ref="C1015:D1015"/>
    <mergeCell ref="E1015:F1015"/>
    <mergeCell ref="C1016:D1016"/>
    <mergeCell ref="E1016:F1016"/>
    <mergeCell ref="A1032:B1032"/>
    <mergeCell ref="C1032:D1032"/>
    <mergeCell ref="E1032:I1032"/>
    <mergeCell ref="J1032:K1032"/>
    <mergeCell ref="A1033:B1033"/>
    <mergeCell ref="C1033:D1033"/>
    <mergeCell ref="E1033:I1033"/>
    <mergeCell ref="A1034:B1034"/>
    <mergeCell ref="C1034:D1034"/>
    <mergeCell ref="E1034:I1034"/>
    <mergeCell ref="A1029:B1029"/>
    <mergeCell ref="C1029:D1029"/>
    <mergeCell ref="E1029:I1029"/>
    <mergeCell ref="J1029:K1029"/>
    <mergeCell ref="A1030:B1030"/>
    <mergeCell ref="C1030:D1030"/>
    <mergeCell ref="E1030:I1030"/>
    <mergeCell ref="J1030:K1030"/>
    <mergeCell ref="A1031:B1031"/>
    <mergeCell ref="C1031:D1031"/>
    <mergeCell ref="E1031:I1031"/>
    <mergeCell ref="J1031:K1031"/>
    <mergeCell ref="A1044:K1044"/>
    <mergeCell ref="A1046:K1046"/>
    <mergeCell ref="A1047:K1047"/>
    <mergeCell ref="A1048:K1048"/>
    <mergeCell ref="B1049:K1049"/>
    <mergeCell ref="C1051:D1051"/>
    <mergeCell ref="E1051:F1051"/>
    <mergeCell ref="C1052:D1052"/>
    <mergeCell ref="E1052:F1052"/>
    <mergeCell ref="A1036:B1036"/>
    <mergeCell ref="C1036:D1036"/>
    <mergeCell ref="A1039:B1039"/>
    <mergeCell ref="C1039:D1039"/>
    <mergeCell ref="E1039:I1039"/>
    <mergeCell ref="J1039:K1039"/>
    <mergeCell ref="A1042:G1042"/>
    <mergeCell ref="H1042:I1042"/>
    <mergeCell ref="J1042:K1042"/>
    <mergeCell ref="J1036:K1036"/>
    <mergeCell ref="A1065:B1065"/>
    <mergeCell ref="C1065:D1065"/>
    <mergeCell ref="E1065:I1065"/>
    <mergeCell ref="J1065:K1065"/>
    <mergeCell ref="A1066:B1066"/>
    <mergeCell ref="C1066:D1066"/>
    <mergeCell ref="E1066:I1066"/>
    <mergeCell ref="J1066:K1066"/>
    <mergeCell ref="A1067:B1067"/>
    <mergeCell ref="C1067:D1067"/>
    <mergeCell ref="E1067:I1067"/>
    <mergeCell ref="J1067:K1067"/>
    <mergeCell ref="E1053:F1053"/>
    <mergeCell ref="E1054:F1054"/>
    <mergeCell ref="A1063:B1063"/>
    <mergeCell ref="C1063:D1063"/>
    <mergeCell ref="E1063:I1063"/>
    <mergeCell ref="J1063:K1063"/>
    <mergeCell ref="A1064:B1064"/>
    <mergeCell ref="C1064:D1064"/>
    <mergeCell ref="E1064:I1064"/>
    <mergeCell ref="J1064:K1064"/>
    <mergeCell ref="A1080:K1080"/>
    <mergeCell ref="A1072:B1072"/>
    <mergeCell ref="C1072:D1072"/>
    <mergeCell ref="A1075:B1075"/>
    <mergeCell ref="C1075:D1075"/>
    <mergeCell ref="E1075:I1075"/>
    <mergeCell ref="J1075:K1075"/>
    <mergeCell ref="A1078:G1078"/>
    <mergeCell ref="H1078:I1078"/>
    <mergeCell ref="J1078:K1078"/>
    <mergeCell ref="A1068:B1068"/>
    <mergeCell ref="C1068:D1068"/>
    <mergeCell ref="E1068:I1068"/>
    <mergeCell ref="J1068:K1068"/>
    <mergeCell ref="A1069:B1069"/>
    <mergeCell ref="C1069:D1069"/>
    <mergeCell ref="E1069:I1069"/>
    <mergeCell ref="A1070:B1070"/>
    <mergeCell ref="C1070:D1070"/>
    <mergeCell ref="E1070:I1070"/>
    <mergeCell ref="J1069:K1069"/>
    <mergeCell ref="J1070:K1070"/>
    <mergeCell ref="A1071:B1071"/>
    <mergeCell ref="C1071:D1071"/>
    <mergeCell ref="E1071:I1071"/>
    <mergeCell ref="J1071:K1071"/>
    <mergeCell ref="J1072:K1072"/>
  </mergeCells>
  <dataValidations count="1">
    <dataValidation type="list" allowBlank="1" showInputMessage="1" showErrorMessage="1" sqref="E1:F1" xr:uid="{0F6FDCE1-04DA-40DC-9A3D-512B6F98495A}">
      <formula1>"Apr-2025,May-2025,Jun-2025,Jul-2025,Aug-2025,Sep-2025,Oct-2025,Nov-2025,Dec-2025,Jan-2026,Feb-2026,Mar-2026"</formula1>
    </dataValidation>
  </dataValidations>
  <printOptions horizontalCentered="1"/>
  <pageMargins left="0.51181102362204722" right="0.23622047244094491" top="0.51181102362204722" bottom="0.23622047244094491" header="0.55118110236220474" footer="0.31496062992125984"/>
  <pageSetup scale="88" orientation="portrait" r:id="rId1"/>
  <headerFooter scaleWithDoc="0">
    <oddHeader>&amp;L  &amp;G</oddHeader>
  </headerFooter>
  <rowBreaks count="29" manualBreakCount="29">
    <brk id="37" max="16383" man="1"/>
    <brk id="73" max="16383" man="1"/>
    <brk id="109" max="16383" man="1"/>
    <brk id="145" max="16383" man="1"/>
    <brk id="181" max="16383" man="1"/>
    <brk id="217" max="16383" man="1"/>
    <brk id="253" max="16383" man="1"/>
    <brk id="289" max="16383" man="1"/>
    <brk id="325" max="16383" man="1"/>
    <brk id="361" max="16383" man="1"/>
    <brk id="397" max="16383" man="1"/>
    <brk id="433" max="16383" man="1"/>
    <brk id="469" max="16383" man="1"/>
    <brk id="505" max="16383" man="1"/>
    <brk id="541" max="16383" man="1"/>
    <brk id="577" max="16383" man="1"/>
    <brk id="613" max="16383" man="1"/>
    <brk id="649" max="16383" man="1"/>
    <brk id="685" max="16383" man="1"/>
    <brk id="721" max="16383" man="1"/>
    <brk id="757" max="16383" man="1"/>
    <brk id="793" max="16383" man="1"/>
    <brk id="829" max="16383" man="1"/>
    <brk id="865" max="16383" man="1"/>
    <brk id="901" max="16383" man="1"/>
    <brk id="937" max="16383" man="1"/>
    <brk id="973" max="16383" man="1"/>
    <brk id="1009" max="16383" man="1"/>
    <brk id="1045" max="16383" man="1"/>
  </row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89EF-7BC7-41E8-8AC1-9F5EAAC7E29D}">
  <sheetPr codeName="Sheet3">
    <tabColor rgb="FFFFC000"/>
    <pageSetUpPr fitToPage="1"/>
  </sheetPr>
  <dimension ref="A1:N39"/>
  <sheetViews>
    <sheetView showGridLines="0" view="pageBreakPreview" zoomScale="90" zoomScaleNormal="100" zoomScaleSheetLayoutView="90" workbookViewId="0">
      <selection activeCell="T21" sqref="T21"/>
    </sheetView>
  </sheetViews>
  <sheetFormatPr defaultColWidth="8.88671875" defaultRowHeight="12" zeroHeight="1" x14ac:dyDescent="0.3"/>
  <cols>
    <col min="1" max="1" width="16.6640625" style="3" customWidth="1"/>
    <col min="2" max="2" width="24.6640625" style="1" customWidth="1"/>
    <col min="3" max="4" width="6.6640625" style="1" customWidth="1"/>
    <col min="5" max="5" width="11.6640625" style="3" customWidth="1"/>
    <col min="6" max="6" width="3.6640625" style="3" customWidth="1"/>
    <col min="7" max="7" width="13.6640625" style="1" customWidth="1"/>
    <col min="8" max="8" width="6.6640625" style="1" customWidth="1"/>
    <col min="9" max="9" width="7.6640625" style="1" customWidth="1"/>
    <col min="10" max="10" width="6.6640625" style="1" customWidth="1"/>
    <col min="11" max="11" width="8.109375" style="1" customWidth="1"/>
    <col min="12" max="12" width="8.88671875" style="1" customWidth="1"/>
    <col min="13" max="13" width="10.44140625" style="88" bestFit="1" customWidth="1"/>
    <col min="14" max="14" width="7.109375" style="88" customWidth="1"/>
    <col min="15" max="15" width="8.88671875" style="1" customWidth="1"/>
    <col min="16" max="16384" width="8.88671875" style="1"/>
  </cols>
  <sheetData>
    <row r="1" spans="1:14" s="113" customFormat="1" ht="60" customHeight="1" x14ac:dyDescent="0.3">
      <c r="C1" s="354" t="s">
        <v>84</v>
      </c>
      <c r="D1" s="354"/>
      <c r="E1" s="353">
        <v>45839</v>
      </c>
      <c r="F1" s="353"/>
      <c r="M1" s="131"/>
      <c r="N1" s="132"/>
    </row>
    <row r="2" spans="1:14" s="2" customFormat="1" ht="19.95" customHeight="1" x14ac:dyDescent="0.3">
      <c r="A2" s="338" t="s">
        <v>107</v>
      </c>
      <c r="B2" s="339"/>
      <c r="C2" s="339"/>
      <c r="D2" s="339"/>
      <c r="E2" s="339"/>
      <c r="F2" s="339"/>
      <c r="G2" s="339"/>
      <c r="H2" s="339"/>
      <c r="I2" s="339"/>
      <c r="J2" s="339"/>
      <c r="K2" s="340"/>
      <c r="L2" s="1"/>
      <c r="M2" s="86"/>
      <c r="N2" s="87"/>
    </row>
    <row r="3" spans="1:14" s="2" customFormat="1" ht="15" customHeight="1" x14ac:dyDescent="0.3">
      <c r="A3" s="341" t="s">
        <v>180</v>
      </c>
      <c r="B3" s="342"/>
      <c r="C3" s="342"/>
      <c r="D3" s="342"/>
      <c r="E3" s="342"/>
      <c r="F3" s="342"/>
      <c r="G3" s="342"/>
      <c r="H3" s="342"/>
      <c r="I3" s="342"/>
      <c r="J3" s="342"/>
      <c r="K3" s="343"/>
      <c r="L3" s="1"/>
      <c r="M3" s="86"/>
      <c r="N3" s="88"/>
    </row>
    <row r="4" spans="1:14" s="2" customFormat="1" ht="15" customHeight="1" x14ac:dyDescent="0.3">
      <c r="A4" s="344" t="s">
        <v>72</v>
      </c>
      <c r="B4" s="345"/>
      <c r="C4" s="345"/>
      <c r="D4" s="345"/>
      <c r="E4" s="345"/>
      <c r="F4" s="345"/>
      <c r="G4" s="345"/>
      <c r="H4" s="345"/>
      <c r="I4" s="345"/>
      <c r="J4" s="345"/>
      <c r="K4" s="346"/>
      <c r="L4" s="1"/>
      <c r="M4" s="86"/>
      <c r="N4" s="88"/>
    </row>
    <row r="5" spans="1:14" s="2" customFormat="1" ht="4.95" customHeight="1" x14ac:dyDescent="0.3">
      <c r="A5" s="92"/>
      <c r="B5" s="347"/>
      <c r="C5" s="347"/>
      <c r="D5" s="347"/>
      <c r="E5" s="347"/>
      <c r="F5" s="347"/>
      <c r="G5" s="347"/>
      <c r="H5" s="347"/>
      <c r="I5" s="347"/>
      <c r="J5" s="347"/>
      <c r="K5" s="348"/>
      <c r="L5" s="1"/>
      <c r="M5" s="88"/>
      <c r="N5" s="88"/>
    </row>
    <row r="6" spans="1:14" s="2" customFormat="1" ht="3" customHeight="1" x14ac:dyDescent="0.3">
      <c r="A6" s="93"/>
      <c r="B6" s="94"/>
      <c r="C6" s="94"/>
      <c r="D6" s="94"/>
      <c r="E6" s="95"/>
      <c r="F6" s="95"/>
      <c r="G6" s="94"/>
      <c r="H6" s="94"/>
      <c r="I6" s="94"/>
      <c r="J6" s="94"/>
      <c r="K6" s="96"/>
      <c r="L6" s="1"/>
      <c r="M6" s="88"/>
      <c r="N6" s="88"/>
    </row>
    <row r="7" spans="1:14" s="2" customFormat="1" x14ac:dyDescent="0.3">
      <c r="A7" s="123" t="s">
        <v>68</v>
      </c>
      <c r="B7" s="124" t="str">
        <f>VLOOKUP($B$8,Salary_Master_2,3,FALSE)</f>
        <v>EW 064</v>
      </c>
      <c r="C7" s="349" t="s">
        <v>21</v>
      </c>
      <c r="D7" s="349"/>
      <c r="E7" s="350">
        <f>IF($E$1="","",$E$1)</f>
        <v>45839</v>
      </c>
      <c r="F7" s="350"/>
      <c r="G7" s="97" t="s">
        <v>22</v>
      </c>
      <c r="H7" s="98">
        <f ca="1">VLOOKUP($B$8,INDIRECT(VLOOKUP($E$7,$M$2:$N$20,2,FALSE)),3,FALSE)</f>
        <v>21</v>
      </c>
      <c r="I7" s="99"/>
      <c r="J7" s="100" t="s">
        <v>27</v>
      </c>
      <c r="K7" s="101"/>
      <c r="L7" s="1"/>
      <c r="M7" s="86">
        <v>45748</v>
      </c>
      <c r="N7" s="88" t="s">
        <v>202</v>
      </c>
    </row>
    <row r="8" spans="1:14" s="2" customFormat="1" x14ac:dyDescent="0.3">
      <c r="A8" s="123" t="s">
        <v>19</v>
      </c>
      <c r="B8" s="271" t="s">
        <v>128</v>
      </c>
      <c r="C8" s="351" t="s">
        <v>1</v>
      </c>
      <c r="D8" s="351"/>
      <c r="E8" s="352">
        <f ca="1">SUM($H$7:$H$10)</f>
        <v>21</v>
      </c>
      <c r="F8" s="352"/>
      <c r="G8" s="97" t="s">
        <v>24</v>
      </c>
      <c r="H8" s="102">
        <f ca="1">VLOOKUP($B$8,INDIRECT(VLOOKUP($E$7,$M$2:$N$20,2,FALSE)),4,FALSE)</f>
        <v>0</v>
      </c>
      <c r="I8" s="100"/>
      <c r="J8" s="103" t="s">
        <v>28</v>
      </c>
      <c r="K8" s="101">
        <f ca="1">VLOOKUP($B$8,INDIRECT(VLOOKUP($E$7,$M$2:$N$20,2,FALSE)),31,FALSE)</f>
        <v>0</v>
      </c>
      <c r="L8" s="1"/>
      <c r="M8" s="86">
        <v>45778</v>
      </c>
      <c r="N8" s="88" t="s">
        <v>203</v>
      </c>
    </row>
    <row r="9" spans="1:14" s="2" customFormat="1" x14ac:dyDescent="0.3">
      <c r="A9" s="123" t="s">
        <v>0</v>
      </c>
      <c r="B9" s="124" t="str">
        <f>VLOOKUP($B$8,Salary_Master_2,4,FALSE)</f>
        <v>Service Engineer</v>
      </c>
      <c r="C9" s="124"/>
      <c r="D9" s="103" t="s">
        <v>70</v>
      </c>
      <c r="E9" s="337">
        <f>VLOOKUP($B$8,Salary_Master_2,9,FALSE)</f>
        <v>101315235480</v>
      </c>
      <c r="F9" s="337"/>
      <c r="G9" s="97" t="s">
        <v>25</v>
      </c>
      <c r="H9" s="102">
        <f ca="1">VLOOKUP($B$8,INDIRECT(VLOOKUP($E$7,$M$2:$N$20,2,FALSE)),5,FALSE)</f>
        <v>0</v>
      </c>
      <c r="I9" s="97"/>
      <c r="J9" s="103" t="s">
        <v>29</v>
      </c>
      <c r="K9" s="101">
        <f ca="1">VLOOKUP($B$8,INDIRECT(VLOOKUP($E$7,$M$2:$N$20,2,FALSE)),32,FALSE)</f>
        <v>4</v>
      </c>
      <c r="L9" s="1"/>
      <c r="M9" s="86">
        <v>45809</v>
      </c>
      <c r="N9" s="88" t="s">
        <v>204</v>
      </c>
    </row>
    <row r="10" spans="1:14" s="2" customFormat="1" x14ac:dyDescent="0.3">
      <c r="A10" s="123" t="s">
        <v>20</v>
      </c>
      <c r="B10" s="124" t="str">
        <f>VLOOKUP($B$8,Salary_Master_2,5,FALSE)</f>
        <v>Service</v>
      </c>
      <c r="C10" s="124"/>
      <c r="D10" s="103" t="s">
        <v>71</v>
      </c>
      <c r="E10" s="337" t="str">
        <f>VLOOKUP($B$8,Salary_Master_2,10,FALSE)</f>
        <v>NA</v>
      </c>
      <c r="F10" s="337"/>
      <c r="G10" s="97" t="s">
        <v>26</v>
      </c>
      <c r="H10" s="102">
        <f ca="1">VLOOKUP($B$8,INDIRECT(VLOOKUP($E$7,$M$2:$N$20,2,FALSE)),6,FALSE)</f>
        <v>0</v>
      </c>
      <c r="I10" s="97"/>
      <c r="J10" s="103" t="s">
        <v>30</v>
      </c>
      <c r="K10" s="101">
        <f ca="1">VLOOKUP($B$8,INDIRECT(VLOOKUP($E$7,$M$2:$N$20,2,FALSE)),33,FALSE)</f>
        <v>7</v>
      </c>
      <c r="L10" s="1"/>
      <c r="M10" s="86">
        <v>45839</v>
      </c>
      <c r="N10" s="88" t="s">
        <v>205</v>
      </c>
    </row>
    <row r="11" spans="1:14" s="2" customFormat="1" x14ac:dyDescent="0.3">
      <c r="A11" s="123" t="s">
        <v>69</v>
      </c>
      <c r="B11" s="124" t="str">
        <f>VLOOKUP($B$8,Salary_Master_2,6,FALSE)</f>
        <v>Koparkhairne Factory</v>
      </c>
      <c r="C11" s="124"/>
      <c r="D11" s="104"/>
      <c r="E11" s="105"/>
      <c r="F11" s="105"/>
      <c r="G11" s="97" t="s">
        <v>23</v>
      </c>
      <c r="H11" s="102">
        <f ca="1">VLOOKUP($B$8,INDIRECT(VLOOKUP($E$7,$M$2:$N$20,2,FALSE)),8,FALSE)</f>
        <v>10</v>
      </c>
      <c r="I11" s="97"/>
      <c r="J11" s="125"/>
      <c r="K11" s="101"/>
      <c r="L11" s="1"/>
      <c r="M11" s="86">
        <v>45870</v>
      </c>
      <c r="N11" s="88" t="s">
        <v>206</v>
      </c>
    </row>
    <row r="12" spans="1:14" s="2" customFormat="1" x14ac:dyDescent="0.3">
      <c r="A12" s="123" t="s">
        <v>32</v>
      </c>
      <c r="B12" s="106">
        <f>VLOOKUP($B$8,Salary_Master_2,7,FALSE)</f>
        <v>45215</v>
      </c>
      <c r="C12" s="106"/>
      <c r="D12" s="104"/>
      <c r="E12" s="105"/>
      <c r="F12" s="105"/>
      <c r="G12" s="97" t="s">
        <v>31</v>
      </c>
      <c r="H12" s="102">
        <f ca="1">VLOOKUP($B$8,INDIRECT(VLOOKUP($E$7,$M$2:$N$20,2,FALSE)),9,FALSE)</f>
        <v>0</v>
      </c>
      <c r="I12" s="97"/>
      <c r="J12" s="125"/>
      <c r="K12" s="101"/>
      <c r="L12" s="1"/>
      <c r="M12" s="86">
        <v>45901</v>
      </c>
      <c r="N12" s="88" t="s">
        <v>207</v>
      </c>
    </row>
    <row r="13" spans="1:14" s="2" customFormat="1" ht="3" customHeight="1" x14ac:dyDescent="0.3">
      <c r="A13" s="108"/>
      <c r="B13" s="109"/>
      <c r="C13" s="109"/>
      <c r="D13" s="109"/>
      <c r="E13" s="110"/>
      <c r="F13" s="110"/>
      <c r="G13" s="109"/>
      <c r="H13" s="109"/>
      <c r="I13" s="111"/>
      <c r="J13" s="111"/>
      <c r="K13" s="112"/>
      <c r="L13" s="1"/>
      <c r="M13" s="89">
        <v>45931</v>
      </c>
      <c r="N13" s="88" t="s">
        <v>208</v>
      </c>
    </row>
    <row r="14" spans="1:14" s="2" customFormat="1" ht="3" customHeight="1" x14ac:dyDescent="0.3">
      <c r="A14" s="123"/>
      <c r="B14" s="113"/>
      <c r="C14" s="113"/>
      <c r="D14" s="113"/>
      <c r="E14" s="124"/>
      <c r="F14" s="124"/>
      <c r="G14" s="113"/>
      <c r="H14" s="113"/>
      <c r="I14" s="114"/>
      <c r="J14" s="114"/>
      <c r="K14" s="115"/>
      <c r="L14" s="1"/>
      <c r="M14" s="89">
        <v>45962</v>
      </c>
      <c r="N14" s="88" t="s">
        <v>209</v>
      </c>
    </row>
    <row r="15" spans="1:14" ht="3" customHeight="1" x14ac:dyDescent="0.3">
      <c r="A15" s="116"/>
      <c r="B15" s="117"/>
      <c r="C15" s="117"/>
      <c r="D15" s="115"/>
      <c r="E15" s="118"/>
      <c r="F15" s="118"/>
      <c r="G15" s="117"/>
      <c r="H15" s="117"/>
      <c r="I15" s="119"/>
      <c r="J15" s="119"/>
      <c r="K15" s="115"/>
      <c r="M15" s="89">
        <v>45992</v>
      </c>
      <c r="N15" s="88" t="s">
        <v>210</v>
      </c>
    </row>
    <row r="16" spans="1:14" ht="12" customHeight="1" x14ac:dyDescent="0.3">
      <c r="A16" s="120" t="s">
        <v>4</v>
      </c>
      <c r="B16" s="113"/>
      <c r="C16" s="113"/>
      <c r="D16" s="121" t="s">
        <v>5</v>
      </c>
      <c r="E16" s="122" t="s">
        <v>6</v>
      </c>
      <c r="F16" s="122"/>
      <c r="G16" s="113"/>
      <c r="H16" s="113"/>
      <c r="I16" s="113"/>
      <c r="J16" s="113"/>
      <c r="K16" s="121" t="s">
        <v>5</v>
      </c>
      <c r="M16" s="86">
        <v>46023</v>
      </c>
      <c r="N16" s="88" t="s">
        <v>211</v>
      </c>
    </row>
    <row r="17" spans="1:14" ht="3" customHeight="1" x14ac:dyDescent="0.3">
      <c r="A17" s="108"/>
      <c r="B17" s="109"/>
      <c r="C17" s="109"/>
      <c r="D17" s="112"/>
      <c r="E17" s="110"/>
      <c r="F17" s="110"/>
      <c r="G17" s="109"/>
      <c r="H17" s="109"/>
      <c r="I17" s="111"/>
      <c r="J17" s="111"/>
      <c r="K17" s="112"/>
      <c r="M17" s="89">
        <v>46054</v>
      </c>
      <c r="N17" s="88" t="s">
        <v>212</v>
      </c>
    </row>
    <row r="18" spans="1:14" ht="3" customHeight="1" x14ac:dyDescent="0.3">
      <c r="A18" s="123"/>
      <c r="B18" s="113"/>
      <c r="C18" s="113"/>
      <c r="D18" s="101"/>
      <c r="E18" s="124"/>
      <c r="F18" s="124"/>
      <c r="G18" s="113"/>
      <c r="H18" s="113"/>
      <c r="I18" s="114"/>
      <c r="J18" s="114"/>
      <c r="K18" s="101"/>
      <c r="M18" s="89">
        <v>46082</v>
      </c>
      <c r="N18" s="88" t="s">
        <v>213</v>
      </c>
    </row>
    <row r="19" spans="1:14" ht="12" customHeight="1" x14ac:dyDescent="0.3">
      <c r="A19" s="324" t="s">
        <v>7</v>
      </c>
      <c r="B19" s="325"/>
      <c r="C19" s="326">
        <f ca="1">VLOOKUP($B$8,INDIRECT(VLOOKUP($E$7,$M$2:$N$20,2,FALSE)),13,FALSE)</f>
        <v>7790</v>
      </c>
      <c r="D19" s="327"/>
      <c r="E19" s="324" t="s">
        <v>8</v>
      </c>
      <c r="F19" s="325"/>
      <c r="G19" s="325"/>
      <c r="H19" s="325"/>
      <c r="I19" s="325"/>
      <c r="J19" s="326">
        <f ca="1">VLOOKUP($B$8,INDIRECT(VLOOKUP($E$7,$M$2:$N$20,2,FALSE)),22,FALSE)</f>
        <v>1800</v>
      </c>
      <c r="K19" s="327"/>
      <c r="M19" s="86"/>
    </row>
    <row r="20" spans="1:14" ht="12" customHeight="1" x14ac:dyDescent="0.3">
      <c r="A20" s="324" t="s">
        <v>9</v>
      </c>
      <c r="B20" s="325"/>
      <c r="C20" s="326">
        <f ca="1">VLOOKUP($B$8,INDIRECT(VLOOKUP($E$7,$M$2:$N$20,2,FALSE)),14,FALSE)</f>
        <v>3116</v>
      </c>
      <c r="D20" s="327"/>
      <c r="E20" s="324" t="s">
        <v>94</v>
      </c>
      <c r="F20" s="325"/>
      <c r="G20" s="325"/>
      <c r="H20" s="325"/>
      <c r="I20" s="325"/>
      <c r="J20" s="326">
        <f ca="1">VLOOKUP($B$8,INDIRECT(VLOOKUP($E$7,$M$2:$N$20,2,FALSE)),23,FALSE)</f>
        <v>1800</v>
      </c>
      <c r="K20" s="327"/>
      <c r="M20" s="86"/>
    </row>
    <row r="21" spans="1:14" ht="12" customHeight="1" x14ac:dyDescent="0.3">
      <c r="A21" s="324" t="s">
        <v>11</v>
      </c>
      <c r="B21" s="325"/>
      <c r="C21" s="326">
        <f ca="1">VLOOKUP($B$8,INDIRECT(VLOOKUP($E$7,$M$2:$N$20,2,FALSE)),15,FALSE)</f>
        <v>1084</v>
      </c>
      <c r="D21" s="327"/>
      <c r="E21" s="324" t="s">
        <v>10</v>
      </c>
      <c r="F21" s="325"/>
      <c r="G21" s="325"/>
      <c r="H21" s="325"/>
      <c r="I21" s="325"/>
      <c r="J21" s="326">
        <f ca="1">VLOOKUP($B$8,INDIRECT(VLOOKUP($E$7,$M$2:$N$20,2,FALSE)),24,FALSE)</f>
        <v>0</v>
      </c>
      <c r="K21" s="327"/>
      <c r="M21" s="87"/>
      <c r="N21" s="86"/>
    </row>
    <row r="22" spans="1:14" ht="12" customHeight="1" x14ac:dyDescent="0.3">
      <c r="A22" s="324" t="s">
        <v>3</v>
      </c>
      <c r="B22" s="325"/>
      <c r="C22" s="326">
        <f ca="1">VLOOKUP($B$8,INDIRECT(VLOOKUP($E$7,$M$2:$N$20,2,FALSE)),16,FALSE)</f>
        <v>649</v>
      </c>
      <c r="D22" s="327"/>
      <c r="E22" s="324" t="s">
        <v>93</v>
      </c>
      <c r="F22" s="325"/>
      <c r="G22" s="325"/>
      <c r="H22" s="325"/>
      <c r="I22" s="325"/>
      <c r="J22" s="326">
        <f ca="1">VLOOKUP($B$8,INDIRECT(VLOOKUP($E$7,$M$2:$N$20,2,FALSE)),25,FALSE)</f>
        <v>0</v>
      </c>
      <c r="K22" s="327"/>
      <c r="M22" s="87"/>
      <c r="N22" s="89"/>
    </row>
    <row r="23" spans="1:14" ht="12" customHeight="1" x14ac:dyDescent="0.3">
      <c r="A23" s="324" t="s">
        <v>13</v>
      </c>
      <c r="B23" s="325"/>
      <c r="C23" s="326">
        <f ca="1">VLOOKUP($B$8,INDIRECT(VLOOKUP($E$7,$M$2:$N$20,2,FALSE)),17,FALSE)</f>
        <v>9174</v>
      </c>
      <c r="D23" s="327"/>
      <c r="E23" s="324" t="s">
        <v>12</v>
      </c>
      <c r="F23" s="325"/>
      <c r="G23" s="325"/>
      <c r="H23" s="325"/>
      <c r="I23" s="325"/>
      <c r="J23" s="326">
        <f ca="1">VLOOKUP($B$8,INDIRECT(VLOOKUP($E$7,$M$2:$N$20,2,FALSE)),26,FALSE)</f>
        <v>200</v>
      </c>
      <c r="K23" s="327"/>
      <c r="M23" s="88" t="s">
        <v>73</v>
      </c>
      <c r="N23" s="88" t="str">
        <f ca="1">IF(VLOOKUP($B8,INDIRECT(VLOOKUP($E7,$M$2:$N$20,2,FALSE)),38,FALSE)&gt;0,"Yes","No")</f>
        <v>No</v>
      </c>
    </row>
    <row r="24" spans="1:14" ht="12" customHeight="1" x14ac:dyDescent="0.3">
      <c r="A24" s="324" t="str">
        <f ca="1">IF($J19&gt;0,"Other Allowance",IF(VLOOKUP($B8,INDIRECT(VLOOKUP($E7,$M$2:$N$20,2,FALSE)),44,FALSE)=0,"",IF($E7=DATE(2025,6,1),"Arrears of Apr &amp; May-2025","")))</f>
        <v>Other Allowance</v>
      </c>
      <c r="B24" s="325"/>
      <c r="C24" s="326" cm="1">
        <f t="array" aca="1" ref="C24" ca="1">_xlfn.IFS($A24="","",$A24="Other Allowance",VLOOKUP($B8,INDIRECT(VLOOKUP($E7,$M$2:$N$20,2,FALSE)),18,FALSE),$A24="Arrears of Apr &amp; May-2025",VLOOKUP($B8,INDIRECT(VLOOKUP($E7,$M$2:$N$20,2,FALSE)),44,FALSE))</f>
        <v>1800</v>
      </c>
      <c r="D24" s="327"/>
      <c r="E24" s="324" t="str" cm="1">
        <f t="array" aca="1" ref="E24" ca="1">_xlfn.IFS(N23="Yes",M23,N24="Yes",M24,TRUE,"")</f>
        <v/>
      </c>
      <c r="F24" s="325"/>
      <c r="G24" s="325"/>
      <c r="H24" s="325"/>
      <c r="I24" s="325"/>
      <c r="J24" s="335" t="str" cm="1">
        <f t="array" aca="1" ref="J24" ca="1">IF(E24="","",_xlfn.IFS(N23="Yes",VLOOKUP($B$8,INDIRECT(VLOOKUP($E$7,$M$2:$N$20,2,FALSE)),27,FALSE),N24="Yes",VLOOKUP($B$8,INDIRECT(VLOOKUP($E$7,$M$2:$N$20,2,FALSE)),28,FALSE)))</f>
        <v/>
      </c>
      <c r="K24" s="336"/>
      <c r="M24" s="88" t="s">
        <v>14</v>
      </c>
      <c r="N24" s="88" t="str">
        <f ca="1">IF(VLOOKUP($B8,INDIRECT(VLOOKUP($E$7,$M$2:$N$20,2,FALSE)),39,FALSE)&gt;0,"Yes","No")</f>
        <v>No</v>
      </c>
    </row>
    <row r="25" spans="1:14" ht="12" customHeight="1" x14ac:dyDescent="0.3">
      <c r="A25" s="324" t="str" cm="1">
        <f t="array" aca="1" ref="A25" ca="1">_xlfn.IFS($A24="","",$A24="Other Allowance","EPF",$A24="Arrears of Apr &amp; May-2025","",VLOOKUP($B8,INDIRECT(VLOOKUP($E7,$M$2:$N$20,2,FALSE)),44,FALSE)=0,"",$E7=DATE(2025,6,1),"Arrears of Apr &amp; May-2025")</f>
        <v>EPF</v>
      </c>
      <c r="B25" s="325"/>
      <c r="C25" s="326" cm="1">
        <f t="array" aca="1" ref="C25" ca="1">_xlfn.IFS($A25="","",$A25="EPF",VLOOKUP($B8,INDIRECT(VLOOKUP($E7,$M$2:$N$20,2,FALSE)),19,FALSE),$A25="Arrears of Apr &amp; May-2025",VLOOKUP($B8,INDIRECT(VLOOKUP($E7,$M$2:$N$20,2,FALSE)),44,FALSE))</f>
        <v>1800</v>
      </c>
      <c r="D25" s="327"/>
      <c r="E25" s="324" t="str" cm="1">
        <f t="array" aca="1" ref="E25" ca="1">_xlfn.IFS(N24="No","",N23="Yes",M24,TRUE,"")</f>
        <v/>
      </c>
      <c r="F25" s="325"/>
      <c r="G25" s="325"/>
      <c r="H25" s="325"/>
      <c r="I25" s="325"/>
      <c r="J25" s="335" t="str">
        <f ca="1">IF(E25="","",VLOOKUP($B$8,INDIRECT(VLOOKUP($E$7,$M$2:$N$20,2,FALSE)),28,FALSE))</f>
        <v/>
      </c>
      <c r="K25" s="336"/>
      <c r="M25" s="130"/>
    </row>
    <row r="26" spans="1:14" ht="12" customHeight="1" x14ac:dyDescent="0.3">
      <c r="A26" s="324" t="str">
        <f ca="1">IF($J21&gt;0,"ESIC (Employer)",IF($A25="","",IF(VLOOKUP($B8,INDIRECT(VLOOKUP($E7,$M$2:$N$20,2,FALSE)),44,FALSE)="","",IF($E7=DATE(2025,6,1),"Arrears of Apr &amp; May-2025",""))))</f>
        <v/>
      </c>
      <c r="B26" s="325"/>
      <c r="C26" s="326" t="str" cm="1">
        <f t="array" aca="1" ref="C26" ca="1">_xlfn.IFS($A26="","",$A26="ESIC (Employer)",VLOOKUP($B8,INDIRECT(VLOOKUP($E7,$M$2:$N$20,2,FALSE)),20,FALSE),$A26="Arrears of Apr &amp; May-2025",VLOOKUP($B8,INDIRECT(VLOOKUP($E7,$M$2:$N$20,2,FALSE)),44,FALSE))</f>
        <v/>
      </c>
      <c r="D26" s="327"/>
      <c r="E26" s="324"/>
      <c r="F26" s="325"/>
      <c r="G26" s="325"/>
      <c r="H26" s="325"/>
      <c r="I26" s="325"/>
      <c r="J26" s="335"/>
      <c r="K26" s="336"/>
    </row>
    <row r="27" spans="1:14" ht="12" customHeight="1" x14ac:dyDescent="0.3">
      <c r="A27" s="324" t="str">
        <f ca="1">IF($A26="","",IF(VLOOKUP($B8,INDIRECT(VLOOKUP($E7,$M$2:$N$20,2,FALSE)),44,FALSE)=0,"",IF($A26="Arrears of Apr &amp; May-2025","",IF($E7=DATE(2025,6,1),"Arrears of Apr &amp; May-2025",""))))</f>
        <v/>
      </c>
      <c r="B27" s="325"/>
      <c r="C27" s="326" t="str" cm="1">
        <f t="array" aca="1" ref="C27" ca="1">_xlfn.IFS($A27="","",$A27="Arrears of Apr &amp; May-2025",VLOOKUP($B8,INDIRECT(VLOOKUP($E7,$M$2:$N$20,2,FALSE)),44,FALSE))</f>
        <v/>
      </c>
      <c r="D27" s="327"/>
      <c r="E27" s="324"/>
      <c r="F27" s="325"/>
      <c r="G27" s="325"/>
      <c r="H27" s="325"/>
      <c r="I27" s="325"/>
      <c r="J27" s="335"/>
      <c r="K27" s="336"/>
    </row>
    <row r="28" spans="1:14" ht="12" customHeight="1" x14ac:dyDescent="0.3">
      <c r="A28" s="324"/>
      <c r="B28" s="325"/>
      <c r="C28" s="326"/>
      <c r="D28" s="327"/>
      <c r="E28" s="124"/>
      <c r="F28" s="124"/>
      <c r="G28" s="124"/>
      <c r="H28" s="124"/>
      <c r="I28" s="124"/>
      <c r="J28" s="335"/>
      <c r="K28" s="336"/>
    </row>
    <row r="29" spans="1:14" ht="3" customHeight="1" x14ac:dyDescent="0.3">
      <c r="A29" s="108"/>
      <c r="B29" s="109"/>
      <c r="C29" s="109"/>
      <c r="D29" s="112"/>
      <c r="E29" s="110"/>
      <c r="F29" s="110"/>
      <c r="G29" s="109"/>
      <c r="H29" s="109"/>
      <c r="I29" s="111"/>
      <c r="J29" s="111"/>
      <c r="K29" s="112"/>
    </row>
    <row r="30" spans="1:14" ht="3" customHeight="1" x14ac:dyDescent="0.3">
      <c r="A30" s="123"/>
      <c r="B30" s="113"/>
      <c r="C30" s="113"/>
      <c r="D30" s="101"/>
      <c r="E30" s="124"/>
      <c r="F30" s="124"/>
      <c r="G30" s="113"/>
      <c r="H30" s="113"/>
      <c r="I30" s="114"/>
      <c r="J30" s="114"/>
      <c r="K30" s="101"/>
    </row>
    <row r="31" spans="1:14" s="4" customFormat="1" ht="19.95" customHeight="1" x14ac:dyDescent="0.3">
      <c r="A31" s="328" t="s">
        <v>15</v>
      </c>
      <c r="B31" s="329"/>
      <c r="C31" s="330">
        <f ca="1">SUM(C19:D30)</f>
        <v>25413</v>
      </c>
      <c r="D31" s="331"/>
      <c r="E31" s="328" t="s">
        <v>16</v>
      </c>
      <c r="F31" s="329"/>
      <c r="G31" s="329"/>
      <c r="H31" s="329"/>
      <c r="I31" s="329"/>
      <c r="J31" s="330">
        <f ca="1">SUM(J19:K27)</f>
        <v>3800</v>
      </c>
      <c r="K31" s="331"/>
      <c r="M31" s="129"/>
      <c r="N31" s="90"/>
    </row>
    <row r="32" spans="1:14" ht="3" customHeight="1" x14ac:dyDescent="0.3">
      <c r="A32" s="108"/>
      <c r="B32" s="109"/>
      <c r="C32" s="109"/>
      <c r="D32" s="112"/>
      <c r="E32" s="110"/>
      <c r="F32" s="110"/>
      <c r="G32" s="109"/>
      <c r="H32" s="109"/>
      <c r="I32" s="111"/>
      <c r="J32" s="111"/>
      <c r="K32" s="112"/>
    </row>
    <row r="33" spans="1:14" ht="3" customHeight="1" x14ac:dyDescent="0.3">
      <c r="A33" s="123"/>
      <c r="B33" s="113"/>
      <c r="C33" s="113"/>
      <c r="D33" s="117"/>
      <c r="E33" s="118"/>
      <c r="F33" s="124"/>
      <c r="G33" s="113"/>
      <c r="H33" s="126"/>
      <c r="I33" s="119"/>
      <c r="J33" s="119"/>
      <c r="K33" s="115"/>
    </row>
    <row r="34" spans="1:14" s="5" customFormat="1" ht="19.95" customHeight="1" x14ac:dyDescent="0.3">
      <c r="A34" s="328" t="str" cm="1">
        <f t="array" aca="1" ref="A34" ca="1">mgm(J34)</f>
        <v>Rupees Twenty One Thousand Six Hundred Thirteen Only</v>
      </c>
      <c r="B34" s="329"/>
      <c r="C34" s="329"/>
      <c r="D34" s="329"/>
      <c r="E34" s="329"/>
      <c r="F34" s="329"/>
      <c r="G34" s="332"/>
      <c r="H34" s="333" t="s">
        <v>17</v>
      </c>
      <c r="I34" s="334"/>
      <c r="J34" s="330">
        <f ca="1">C31-J31</f>
        <v>21613</v>
      </c>
      <c r="K34" s="331"/>
      <c r="L34" s="205"/>
      <c r="M34" s="90"/>
      <c r="N34" s="90"/>
    </row>
    <row r="35" spans="1:14" ht="3" customHeight="1" x14ac:dyDescent="0.3">
      <c r="A35" s="108"/>
      <c r="B35" s="109"/>
      <c r="C35" s="109"/>
      <c r="D35" s="109"/>
      <c r="E35" s="110"/>
      <c r="F35" s="110"/>
      <c r="G35" s="109"/>
      <c r="H35" s="127"/>
      <c r="I35" s="111"/>
      <c r="J35" s="111"/>
      <c r="K35" s="112"/>
    </row>
    <row r="36" spans="1:14" ht="19.95" customHeight="1" x14ac:dyDescent="0.3">
      <c r="A36" s="323" t="s">
        <v>18</v>
      </c>
      <c r="B36" s="323"/>
      <c r="C36" s="323"/>
      <c r="D36" s="323"/>
      <c r="E36" s="323"/>
      <c r="F36" s="323"/>
      <c r="G36" s="323"/>
      <c r="H36" s="323"/>
      <c r="I36" s="323"/>
      <c r="J36" s="323"/>
      <c r="K36" s="323"/>
    </row>
    <row r="37" spans="1:14" s="88" customFormat="1" ht="9.6" hidden="1" x14ac:dyDescent="0.3">
      <c r="A37" s="91">
        <v>16</v>
      </c>
      <c r="B37" s="88">
        <v>24</v>
      </c>
      <c r="C37" s="88">
        <v>6</v>
      </c>
      <c r="D37" s="88">
        <v>6</v>
      </c>
      <c r="E37" s="91">
        <v>11</v>
      </c>
      <c r="F37" s="91">
        <v>3</v>
      </c>
      <c r="G37" s="88">
        <v>13</v>
      </c>
      <c r="H37" s="88">
        <v>6</v>
      </c>
      <c r="I37" s="88">
        <v>7</v>
      </c>
      <c r="J37" s="88">
        <v>6</v>
      </c>
      <c r="K37" s="88">
        <v>6</v>
      </c>
    </row>
    <row r="38" spans="1:14" s="88" customFormat="1" ht="9.6" hidden="1" x14ac:dyDescent="0.3">
      <c r="A38" s="91">
        <f>SUM(A37:D37)</f>
        <v>52</v>
      </c>
      <c r="E38" s="91">
        <f>SUM(E37:K37)</f>
        <v>52</v>
      </c>
      <c r="F38" s="91"/>
    </row>
    <row r="39" spans="1:14" x14ac:dyDescent="0.3"/>
  </sheetData>
  <sheetProtection algorithmName="SHA-512" hashValue="r4W5zPYaEBbe6kF3HhdMRfGyDh+PhqCuuMSXR9UAUZCol5ZHR44lYQpRdJ7y3yHMhYmlyqAZVuYXVsagLH12hw==" saltValue="X9zTemKZvx6Xw2uMF3sDBg==" spinCount="100000" sheet="1" objects="1" scenarios="1"/>
  <mergeCells count="59">
    <mergeCell ref="A28:B28"/>
    <mergeCell ref="J34:K34"/>
    <mergeCell ref="E7:F7"/>
    <mergeCell ref="E8:F8"/>
    <mergeCell ref="E9:F9"/>
    <mergeCell ref="E10:F10"/>
    <mergeCell ref="H34:I34"/>
    <mergeCell ref="E19:I19"/>
    <mergeCell ref="E20:I20"/>
    <mergeCell ref="J24:K24"/>
    <mergeCell ref="A34:G34"/>
    <mergeCell ref="C7:D7"/>
    <mergeCell ref="C8:D8"/>
    <mergeCell ref="C31:D31"/>
    <mergeCell ref="A31:B31"/>
    <mergeCell ref="E31:I31"/>
    <mergeCell ref="E27:I27"/>
    <mergeCell ref="A19:B19"/>
    <mergeCell ref="A20:B20"/>
    <mergeCell ref="A21:B21"/>
    <mergeCell ref="A22:B22"/>
    <mergeCell ref="A23:B23"/>
    <mergeCell ref="A27:B27"/>
    <mergeCell ref="E22:I22"/>
    <mergeCell ref="E23:I23"/>
    <mergeCell ref="E24:I24"/>
    <mergeCell ref="E25:I25"/>
    <mergeCell ref="A36:K36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J19:K19"/>
    <mergeCell ref="J20:K20"/>
    <mergeCell ref="J21:K21"/>
    <mergeCell ref="J22:K22"/>
    <mergeCell ref="J23:K23"/>
    <mergeCell ref="J31:K31"/>
    <mergeCell ref="C28:D28"/>
    <mergeCell ref="J27:K27"/>
    <mergeCell ref="J28:K28"/>
    <mergeCell ref="E21:I21"/>
    <mergeCell ref="C1:D1"/>
    <mergeCell ref="E1:F1"/>
    <mergeCell ref="B5:K5"/>
    <mergeCell ref="A2:K2"/>
    <mergeCell ref="A3:K3"/>
    <mergeCell ref="A4:K4"/>
    <mergeCell ref="E26:I26"/>
    <mergeCell ref="J25:K25"/>
    <mergeCell ref="J26:K26"/>
    <mergeCell ref="A24:B24"/>
    <mergeCell ref="A25:B25"/>
    <mergeCell ref="A26:B26"/>
  </mergeCells>
  <dataValidations count="1">
    <dataValidation type="list" allowBlank="1" showInputMessage="1" showErrorMessage="1" sqref="E1:F1" xr:uid="{AA56744C-209C-4AEA-B6B6-79499B8B13C1}">
      <formula1>"Apr-2025,May-2025,Jun-2025,Jul-2025,Aug-2025,Sep-2025,Oct-2025,Nov-2025,Dec-2025,Jan-2026,Feb-2026,Mar-2026"</formula1>
    </dataValidation>
  </dataValidations>
  <printOptions horizontalCentered="1"/>
  <pageMargins left="0.51181102362204722" right="0.23622047244094491" top="0.51181102362204722" bottom="0.23622047244094491" header="0.55118110236220474" footer="0.31496062992125984"/>
  <pageSetup scale="87" orientation="portrait" r:id="rId1"/>
  <headerFooter>
    <oddHeader>&amp;L  &amp;G</oddHeader>
  </headerFooter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3BC74F-7949-4A1D-8B43-D0659CCBDAA3}">
          <x14:formula1>
            <xm:f>Salary_Master!$B$5:$B$39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1BB4-66C2-4250-93EE-44B67FBBA1A7}">
  <sheetPr codeName="Sheet41">
    <tabColor rgb="FFFFFF00"/>
    <pageSetUpPr fitToPage="1"/>
  </sheetPr>
  <dimension ref="A1:AP41"/>
  <sheetViews>
    <sheetView workbookViewId="0">
      <pane xSplit="3" ySplit="4" topLeftCell="S25" activePane="bottomRight" state="frozen"/>
      <selection activeCell="M36" sqref="M36"/>
      <selection pane="topRight" activeCell="M36" sqref="M36"/>
      <selection pane="bottomLeft" activeCell="M36" sqref="M36"/>
      <selection pane="bottomRight" activeCell="AI4" sqref="AI4"/>
    </sheetView>
  </sheetViews>
  <sheetFormatPr defaultColWidth="8.88671875" defaultRowHeight="13.2" x14ac:dyDescent="0.3"/>
  <cols>
    <col min="1" max="1" width="4" style="14" bestFit="1" customWidth="1"/>
    <col min="2" max="2" width="22.33203125" style="14" bestFit="1" customWidth="1"/>
    <col min="3" max="3" width="0.44140625" style="14" customWidth="1"/>
    <col min="4" max="4" width="9" style="14" customWidth="1"/>
    <col min="5" max="5" width="17.6640625" style="14" customWidth="1"/>
    <col min="6" max="6" width="10" style="14" bestFit="1" customWidth="1"/>
    <col min="7" max="7" width="11.6640625" style="14" customWidth="1"/>
    <col min="8" max="8" width="10.44140625" style="53" bestFit="1" customWidth="1"/>
    <col min="9" max="9" width="6.44140625" style="14" customWidth="1"/>
    <col min="10" max="10" width="13.109375" style="14" bestFit="1" customWidth="1"/>
    <col min="11" max="11" width="11" style="14" bestFit="1" customWidth="1"/>
    <col min="12" max="12" width="12.88671875" style="14" bestFit="1" customWidth="1"/>
    <col min="13" max="13" width="7.6640625" style="14" bestFit="1" customWidth="1"/>
    <col min="14" max="14" width="8.6640625" style="222" bestFit="1" customWidth="1"/>
    <col min="15" max="16" width="5.6640625" style="14" customWidth="1"/>
    <col min="17" max="17" width="0.44140625" style="14" customWidth="1"/>
    <col min="18" max="18" width="12" style="14" customWidth="1"/>
    <col min="19" max="19" width="9.6640625" style="14" bestFit="1" customWidth="1"/>
    <col min="20" max="21" width="9.88671875" style="14" customWidth="1"/>
    <col min="22" max="26" width="9.6640625" style="14" customWidth="1"/>
    <col min="27" max="28" width="8.6640625" style="14" customWidth="1"/>
    <col min="29" max="30" width="7.44140625" style="14" customWidth="1"/>
    <col min="31" max="31" width="7.88671875" style="14" customWidth="1"/>
    <col min="32" max="33" width="9.6640625" style="14" customWidth="1"/>
    <col min="34" max="34" width="11.33203125" style="14" customWidth="1"/>
    <col min="35" max="35" width="12.77734375" style="245" customWidth="1"/>
    <col min="36" max="36" width="9.6640625" style="14" customWidth="1"/>
    <col min="37" max="37" width="10.44140625" style="14" customWidth="1"/>
    <col min="38" max="40" width="9.6640625" style="14" customWidth="1"/>
    <col min="41" max="41" width="9.6640625" style="14" bestFit="1" customWidth="1"/>
    <col min="42" max="42" width="9.44140625" style="14" bestFit="1" customWidth="1"/>
    <col min="43" max="16384" width="8.88671875" style="14"/>
  </cols>
  <sheetData>
    <row r="1" spans="1:42" ht="24.6" x14ac:dyDescent="0.3">
      <c r="A1" s="355" t="s">
        <v>107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320"/>
    </row>
    <row r="2" spans="1:42" ht="18.600000000000001" x14ac:dyDescent="0.3">
      <c r="A2" s="357" t="s">
        <v>201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320"/>
    </row>
    <row r="3" spans="1:42" ht="4.95" customHeight="1" thickBot="1" x14ac:dyDescent="0.35">
      <c r="A3" s="16"/>
      <c r="B3" s="17"/>
      <c r="C3" s="17"/>
      <c r="D3" s="17"/>
      <c r="E3" s="17"/>
      <c r="F3" s="17"/>
      <c r="G3" s="17"/>
      <c r="H3" s="18"/>
      <c r="I3" s="17"/>
      <c r="J3" s="17"/>
      <c r="K3" s="17"/>
      <c r="L3" s="17"/>
      <c r="M3" s="17"/>
      <c r="N3" s="213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320"/>
    </row>
    <row r="4" spans="1:42" s="26" customFormat="1" ht="40.200000000000003" thickBot="1" x14ac:dyDescent="0.35">
      <c r="A4" s="58" t="s">
        <v>58</v>
      </c>
      <c r="B4" s="59" t="s">
        <v>59</v>
      </c>
      <c r="C4" s="59"/>
      <c r="D4" s="59" t="s">
        <v>33</v>
      </c>
      <c r="E4" s="59" t="s">
        <v>34</v>
      </c>
      <c r="F4" s="59" t="s">
        <v>35</v>
      </c>
      <c r="G4" s="59" t="s">
        <v>36</v>
      </c>
      <c r="H4" s="60" t="s">
        <v>37</v>
      </c>
      <c r="I4" s="59" t="s">
        <v>38</v>
      </c>
      <c r="J4" s="59" t="s">
        <v>39</v>
      </c>
      <c r="K4" s="59" t="s">
        <v>40</v>
      </c>
      <c r="L4" s="59" t="s">
        <v>41</v>
      </c>
      <c r="M4" s="54" t="s">
        <v>42</v>
      </c>
      <c r="N4" s="214" t="s">
        <v>43</v>
      </c>
      <c r="O4" s="6" t="s">
        <v>44</v>
      </c>
      <c r="P4" s="7" t="s">
        <v>45</v>
      </c>
      <c r="Q4" s="19"/>
      <c r="R4" s="20" t="s">
        <v>60</v>
      </c>
      <c r="S4" s="21" t="s">
        <v>61</v>
      </c>
      <c r="T4" s="22" t="s">
        <v>2</v>
      </c>
      <c r="U4" s="21" t="s">
        <v>3</v>
      </c>
      <c r="V4" s="21" t="s">
        <v>13</v>
      </c>
      <c r="W4" s="21" t="s">
        <v>91</v>
      </c>
      <c r="X4" s="21" t="s">
        <v>92</v>
      </c>
      <c r="Y4" s="202" t="s">
        <v>93</v>
      </c>
      <c r="Z4" s="23" t="s">
        <v>63</v>
      </c>
      <c r="AA4" s="23" t="s">
        <v>8</v>
      </c>
      <c r="AB4" s="23" t="s">
        <v>94</v>
      </c>
      <c r="AC4" s="24" t="s">
        <v>10</v>
      </c>
      <c r="AD4" s="24" t="s">
        <v>95</v>
      </c>
      <c r="AE4" s="23" t="s">
        <v>64</v>
      </c>
      <c r="AF4" s="23" t="s">
        <v>65</v>
      </c>
      <c r="AG4" s="23" t="s">
        <v>66</v>
      </c>
      <c r="AH4" s="25" t="s">
        <v>67</v>
      </c>
      <c r="AI4" s="319" t="s">
        <v>231</v>
      </c>
      <c r="AK4" s="26" t="s">
        <v>105</v>
      </c>
    </row>
    <row r="5" spans="1:42" s="33" customFormat="1" ht="25.2" customHeight="1" x14ac:dyDescent="0.3">
      <c r="A5" s="61">
        <v>1</v>
      </c>
      <c r="B5" s="266" t="s">
        <v>108</v>
      </c>
      <c r="C5" s="62"/>
      <c r="D5" s="266" t="s">
        <v>133</v>
      </c>
      <c r="E5" s="266" t="s">
        <v>134</v>
      </c>
      <c r="F5" s="266" t="s">
        <v>46</v>
      </c>
      <c r="G5" s="266" t="s">
        <v>85</v>
      </c>
      <c r="H5" s="267">
        <v>33604</v>
      </c>
      <c r="I5" s="62" t="s">
        <v>51</v>
      </c>
      <c r="J5" s="67" t="s">
        <v>87</v>
      </c>
      <c r="K5" s="68" t="s">
        <v>87</v>
      </c>
      <c r="L5" s="63"/>
      <c r="M5" s="55" t="s">
        <v>48</v>
      </c>
      <c r="N5" s="215"/>
      <c r="O5" s="8" t="s">
        <v>50</v>
      </c>
      <c r="P5" s="9" t="s">
        <v>50</v>
      </c>
      <c r="Q5" s="27"/>
      <c r="R5" s="190">
        <f>17500+2500</f>
        <v>20000</v>
      </c>
      <c r="S5" s="189" cm="1">
        <f t="array" ref="S5">_xlfn.IFS(R5&gt;17000,R5*50%,R5&lt;10500,R5*20%,R5&lt;17000,R5*40%)</f>
        <v>10000</v>
      </c>
      <c r="T5" s="189">
        <v>1600</v>
      </c>
      <c r="U5" s="189">
        <f t="shared" ref="U5:U34" si="0">ROUND(R5/12,0)</f>
        <v>1667</v>
      </c>
      <c r="V5" s="189">
        <f>40733</f>
        <v>40733</v>
      </c>
      <c r="W5" s="189">
        <f t="shared" ref="W5:W39" si="1">IF(B5="Sagar Kadam",0,IF(B5="Rahul Jadhav",0,ROUND(IF(O5="Yes",IF((AJ5-S5)&gt;15000,1800,SUM(AJ5-S5)*12%),0)+IF(P5="Yes",AJ5*0.75%,0),0)))</f>
        <v>0</v>
      </c>
      <c r="X5" s="189">
        <f t="shared" ref="X5:X39" si="2">IF(B5="Sagar Kadam",0,IF(B5="Rahul Jadhav",0,ROUND(IF(O5="Yes",IF((AJ5-S5)&gt;15000,1800,SUM(AJ5-S5)*12%),),)))</f>
        <v>0</v>
      </c>
      <c r="Y5" s="28">
        <f t="shared" ref="Y5:Y36" si="3">IF(B5="Sagar Kadam",0,IF(B5="Rahul Jadhav",0,ROUND(IF(P5="Yes",AJ5*3.25%,0),0)))</f>
        <v>0</v>
      </c>
      <c r="Z5" s="29">
        <f t="shared" ref="Z5:Z32" si="4">ROUND(SUM(R5:Y5),0)</f>
        <v>74000</v>
      </c>
      <c r="AA5" s="29">
        <f t="shared" ref="AA5:AA32" si="5">ROUND(IF(O5="Yes",IF((Z5-S5)&gt;15000,1800,SUM(Z5-S5)*12%),),)</f>
        <v>0</v>
      </c>
      <c r="AB5" s="29">
        <f t="shared" ref="AB5:AB32" si="6">IF(B5="Sagar Kadam",0,IF(B5="Rahul Jadhav",0,ROUND(IF(O5="Yes",IF((Z5-S5)&gt;15000,1800,SUM(Z5-S5)*12%),),)))</f>
        <v>0</v>
      </c>
      <c r="AC5" s="29">
        <f t="shared" ref="AC5:AC32" si="7">ROUND(IF(P5="Yes",Z5*0.75%,0),0)</f>
        <v>0</v>
      </c>
      <c r="AD5" s="29">
        <f t="shared" ref="AD5:AD32" si="8">IF(B5="Sagar Kadam",0,IF(B5="Rahul Jadhav",0,ROUND(IF(P5="Yes",Z5*3.25%,0),0)))</f>
        <v>0</v>
      </c>
      <c r="AE5" s="29">
        <f t="shared" ref="AE5:AE32" si="9">IF(I5="Female",IF(Z5&gt;24999,200,0),IF(Z5&gt;7500,200,0))</f>
        <v>200</v>
      </c>
      <c r="AF5" s="29">
        <f t="shared" ref="AF5:AF32" si="10">ROUND(Z5-SUM(AA5:AE5),0)</f>
        <v>73800</v>
      </c>
      <c r="AG5" s="31">
        <f t="shared" ref="AG5:AG32" si="11">ROUND(Z5,0)</f>
        <v>74000</v>
      </c>
      <c r="AH5" s="32">
        <f t="shared" ref="AH5:AH32" si="12">AG5*12</f>
        <v>888000</v>
      </c>
      <c r="AI5" s="321"/>
      <c r="AJ5" s="128">
        <v>74000</v>
      </c>
      <c r="AK5" s="128">
        <v>74000</v>
      </c>
      <c r="AL5" s="204"/>
      <c r="AM5" s="128"/>
      <c r="AN5" s="128"/>
      <c r="AO5" s="128"/>
      <c r="AP5" s="128"/>
    </row>
    <row r="6" spans="1:42" s="33" customFormat="1" ht="25.2" customHeight="1" x14ac:dyDescent="0.3">
      <c r="A6" s="64">
        <v>2</v>
      </c>
      <c r="B6" s="70" t="s">
        <v>109</v>
      </c>
      <c r="C6" s="65"/>
      <c r="D6" s="70" t="s">
        <v>135</v>
      </c>
      <c r="E6" s="70" t="s">
        <v>136</v>
      </c>
      <c r="F6" s="70" t="s">
        <v>46</v>
      </c>
      <c r="G6" s="70" t="s">
        <v>85</v>
      </c>
      <c r="H6" s="71">
        <v>35947</v>
      </c>
      <c r="I6" s="65" t="s">
        <v>51</v>
      </c>
      <c r="J6" s="63" t="s">
        <v>187</v>
      </c>
      <c r="K6" s="63" t="s">
        <v>87</v>
      </c>
      <c r="L6" s="69"/>
      <c r="M6" s="55" t="s">
        <v>48</v>
      </c>
      <c r="N6" s="215"/>
      <c r="O6" s="8" t="s">
        <v>50</v>
      </c>
      <c r="P6" s="11" t="s">
        <v>50</v>
      </c>
      <c r="Q6" s="35"/>
      <c r="R6" s="40">
        <f>10000+1500</f>
        <v>11500</v>
      </c>
      <c r="S6" s="189" cm="1">
        <f t="array" ref="S6">_xlfn.IFS(R6&gt;17000,R6*50%,R6&lt;10500,R6*20%,R6&lt;17000,R6*40%)</f>
        <v>4600</v>
      </c>
      <c r="T6" s="189">
        <v>1600</v>
      </c>
      <c r="U6" s="189">
        <f t="shared" si="0"/>
        <v>958</v>
      </c>
      <c r="V6" s="41">
        <f>16842</f>
        <v>16842</v>
      </c>
      <c r="W6" s="189">
        <f t="shared" si="1"/>
        <v>0</v>
      </c>
      <c r="X6" s="189">
        <f t="shared" si="2"/>
        <v>0</v>
      </c>
      <c r="Y6" s="28">
        <f t="shared" si="3"/>
        <v>0</v>
      </c>
      <c r="Z6" s="29">
        <f t="shared" si="4"/>
        <v>35500</v>
      </c>
      <c r="AA6" s="29">
        <f t="shared" si="5"/>
        <v>0</v>
      </c>
      <c r="AB6" s="29">
        <f t="shared" si="6"/>
        <v>0</v>
      </c>
      <c r="AC6" s="29">
        <f t="shared" si="7"/>
        <v>0</v>
      </c>
      <c r="AD6" s="29">
        <f t="shared" si="8"/>
        <v>0</v>
      </c>
      <c r="AE6" s="29">
        <f t="shared" si="9"/>
        <v>200</v>
      </c>
      <c r="AF6" s="30">
        <f t="shared" si="10"/>
        <v>35300</v>
      </c>
      <c r="AG6" s="29">
        <f t="shared" si="11"/>
        <v>35500</v>
      </c>
      <c r="AH6" s="38">
        <f t="shared" si="12"/>
        <v>426000</v>
      </c>
      <c r="AI6" s="321"/>
      <c r="AJ6" s="128">
        <v>35500</v>
      </c>
      <c r="AK6" s="128">
        <v>35500</v>
      </c>
      <c r="AL6" s="204"/>
      <c r="AM6" s="128"/>
      <c r="AN6" s="128"/>
      <c r="AO6" s="128"/>
      <c r="AP6" s="128"/>
    </row>
    <row r="7" spans="1:42" s="33" customFormat="1" ht="25.2" customHeight="1" x14ac:dyDescent="0.3">
      <c r="A7" s="64">
        <v>3</v>
      </c>
      <c r="B7" s="65" t="s">
        <v>110</v>
      </c>
      <c r="C7" s="70"/>
      <c r="D7" s="65" t="s">
        <v>137</v>
      </c>
      <c r="E7" s="65" t="s">
        <v>138</v>
      </c>
      <c r="F7" s="65" t="s">
        <v>55</v>
      </c>
      <c r="G7" s="65" t="s">
        <v>54</v>
      </c>
      <c r="H7" s="66">
        <v>37218</v>
      </c>
      <c r="I7" s="70" t="s">
        <v>51</v>
      </c>
      <c r="J7" s="79" t="s">
        <v>87</v>
      </c>
      <c r="K7" s="69" t="s">
        <v>87</v>
      </c>
      <c r="L7" s="63"/>
      <c r="M7" s="55" t="s">
        <v>48</v>
      </c>
      <c r="N7" s="216"/>
      <c r="O7" s="8" t="s">
        <v>50</v>
      </c>
      <c r="P7" s="9" t="s">
        <v>50</v>
      </c>
      <c r="Q7" s="39"/>
      <c r="R7" s="190">
        <f>17500+2500</f>
        <v>20000</v>
      </c>
      <c r="S7" s="189" cm="1">
        <f t="array" ref="S7">_xlfn.IFS(R7&gt;17000,R7*50%,R7&lt;10500,R7*20%,R7&lt;17000,R7*40%)</f>
        <v>10000</v>
      </c>
      <c r="T7" s="189">
        <v>1600</v>
      </c>
      <c r="U7" s="189">
        <f t="shared" si="0"/>
        <v>1667</v>
      </c>
      <c r="V7" s="37">
        <f>24233</f>
        <v>24233</v>
      </c>
      <c r="W7" s="189">
        <f t="shared" si="1"/>
        <v>0</v>
      </c>
      <c r="X7" s="189">
        <f t="shared" si="2"/>
        <v>0</v>
      </c>
      <c r="Y7" s="28">
        <f t="shared" si="3"/>
        <v>0</v>
      </c>
      <c r="Z7" s="29">
        <f t="shared" si="4"/>
        <v>57500</v>
      </c>
      <c r="AA7" s="29">
        <f t="shared" si="5"/>
        <v>0</v>
      </c>
      <c r="AB7" s="29">
        <f t="shared" si="6"/>
        <v>0</v>
      </c>
      <c r="AC7" s="29">
        <f t="shared" si="7"/>
        <v>0</v>
      </c>
      <c r="AD7" s="29">
        <f t="shared" si="8"/>
        <v>0</v>
      </c>
      <c r="AE7" s="29">
        <f t="shared" si="9"/>
        <v>200</v>
      </c>
      <c r="AF7" s="30">
        <f t="shared" si="10"/>
        <v>57300</v>
      </c>
      <c r="AG7" s="29">
        <f t="shared" si="11"/>
        <v>57500</v>
      </c>
      <c r="AH7" s="38">
        <f t="shared" si="12"/>
        <v>690000</v>
      </c>
      <c r="AI7" s="321"/>
      <c r="AJ7" s="128">
        <v>57500</v>
      </c>
      <c r="AK7" s="128">
        <v>57500</v>
      </c>
      <c r="AL7" s="204"/>
      <c r="AM7" s="128"/>
      <c r="AN7" s="128"/>
      <c r="AO7" s="128"/>
      <c r="AP7" s="128"/>
    </row>
    <row r="8" spans="1:42" s="33" customFormat="1" ht="25.2" customHeight="1" x14ac:dyDescent="0.3">
      <c r="A8" s="64">
        <v>4</v>
      </c>
      <c r="B8" s="65" t="s">
        <v>111</v>
      </c>
      <c r="C8" s="65"/>
      <c r="D8" s="65" t="s">
        <v>139</v>
      </c>
      <c r="E8" s="65" t="s">
        <v>140</v>
      </c>
      <c r="F8" s="65" t="s">
        <v>46</v>
      </c>
      <c r="G8" s="65" t="s">
        <v>85</v>
      </c>
      <c r="H8" s="66">
        <v>38166</v>
      </c>
      <c r="I8" s="65" t="s">
        <v>51</v>
      </c>
      <c r="J8" s="67">
        <v>100333067161</v>
      </c>
      <c r="K8" s="67" t="s">
        <v>87</v>
      </c>
      <c r="L8" s="74"/>
      <c r="M8" s="55" t="s">
        <v>48</v>
      </c>
      <c r="N8" s="217"/>
      <c r="O8" s="10" t="s">
        <v>49</v>
      </c>
      <c r="P8" s="11" t="s">
        <v>50</v>
      </c>
      <c r="Q8" s="35"/>
      <c r="R8" s="40">
        <f>10000+1500</f>
        <v>11500</v>
      </c>
      <c r="S8" s="189" cm="1">
        <f t="array" ref="S8">_xlfn.IFS(R8&gt;17000,R8*50%,R8&lt;10500,R8*20%,R8&lt;17000,R8*40%)</f>
        <v>4600</v>
      </c>
      <c r="T8" s="189">
        <v>1600</v>
      </c>
      <c r="U8" s="189">
        <f t="shared" si="0"/>
        <v>958</v>
      </c>
      <c r="V8" s="37">
        <f>4742</f>
        <v>4742</v>
      </c>
      <c r="W8" s="189">
        <f t="shared" si="1"/>
        <v>1800</v>
      </c>
      <c r="X8" s="189">
        <f t="shared" si="2"/>
        <v>1800</v>
      </c>
      <c r="Y8" s="28">
        <f t="shared" si="3"/>
        <v>0</v>
      </c>
      <c r="Z8" s="29">
        <f t="shared" si="4"/>
        <v>27000</v>
      </c>
      <c r="AA8" s="29">
        <f t="shared" si="5"/>
        <v>1800</v>
      </c>
      <c r="AB8" s="29">
        <f t="shared" si="6"/>
        <v>1800</v>
      </c>
      <c r="AC8" s="29">
        <f t="shared" si="7"/>
        <v>0</v>
      </c>
      <c r="AD8" s="29">
        <f t="shared" si="8"/>
        <v>0</v>
      </c>
      <c r="AE8" s="29">
        <f t="shared" si="9"/>
        <v>200</v>
      </c>
      <c r="AF8" s="30">
        <f t="shared" si="10"/>
        <v>23200</v>
      </c>
      <c r="AG8" s="29">
        <f t="shared" si="11"/>
        <v>27000</v>
      </c>
      <c r="AH8" s="38">
        <f t="shared" si="12"/>
        <v>324000</v>
      </c>
      <c r="AI8" s="321"/>
      <c r="AJ8" s="128">
        <v>27000</v>
      </c>
      <c r="AK8" s="128">
        <v>27000</v>
      </c>
      <c r="AL8" s="204"/>
      <c r="AM8" s="128"/>
      <c r="AN8" s="128"/>
      <c r="AO8" s="128"/>
      <c r="AP8" s="128"/>
    </row>
    <row r="9" spans="1:42" s="33" customFormat="1" ht="25.2" customHeight="1" x14ac:dyDescent="0.3">
      <c r="A9" s="64">
        <v>5</v>
      </c>
      <c r="B9" s="70" t="s">
        <v>112</v>
      </c>
      <c r="C9" s="65"/>
      <c r="D9" s="70" t="s">
        <v>141</v>
      </c>
      <c r="E9" s="70" t="s">
        <v>142</v>
      </c>
      <c r="F9" s="70" t="s">
        <v>46</v>
      </c>
      <c r="G9" s="70" t="s">
        <v>85</v>
      </c>
      <c r="H9" s="71">
        <v>39213</v>
      </c>
      <c r="I9" s="65" t="s">
        <v>47</v>
      </c>
      <c r="J9" s="63">
        <v>100129979250</v>
      </c>
      <c r="K9" s="63" t="s">
        <v>87</v>
      </c>
      <c r="L9" s="67"/>
      <c r="M9" s="55" t="s">
        <v>48</v>
      </c>
      <c r="N9" s="218"/>
      <c r="O9" s="10" t="s">
        <v>50</v>
      </c>
      <c r="P9" s="11" t="s">
        <v>50</v>
      </c>
      <c r="Q9" s="35"/>
      <c r="R9" s="40">
        <f>10000+1500</f>
        <v>11500</v>
      </c>
      <c r="S9" s="189" cm="1">
        <f t="array" ref="S9">_xlfn.IFS(R9&gt;17000,R9*50%,R9&lt;10500,R9*20%,R9&lt;17000,R9*40%)</f>
        <v>4600</v>
      </c>
      <c r="T9" s="189">
        <v>1600</v>
      </c>
      <c r="U9" s="189">
        <f t="shared" si="0"/>
        <v>958</v>
      </c>
      <c r="V9" s="41">
        <f>16842</f>
        <v>16842</v>
      </c>
      <c r="W9" s="189">
        <f t="shared" si="1"/>
        <v>0</v>
      </c>
      <c r="X9" s="189">
        <f t="shared" si="2"/>
        <v>0</v>
      </c>
      <c r="Y9" s="28">
        <f t="shared" si="3"/>
        <v>0</v>
      </c>
      <c r="Z9" s="29">
        <f t="shared" si="4"/>
        <v>35500</v>
      </c>
      <c r="AA9" s="29">
        <f t="shared" si="5"/>
        <v>0</v>
      </c>
      <c r="AB9" s="29">
        <f t="shared" si="6"/>
        <v>0</v>
      </c>
      <c r="AC9" s="29">
        <f t="shared" si="7"/>
        <v>0</v>
      </c>
      <c r="AD9" s="29">
        <f t="shared" si="8"/>
        <v>0</v>
      </c>
      <c r="AE9" s="29">
        <f t="shared" si="9"/>
        <v>200</v>
      </c>
      <c r="AF9" s="42">
        <f t="shared" si="10"/>
        <v>35300</v>
      </c>
      <c r="AG9" s="43">
        <f t="shared" si="11"/>
        <v>35500</v>
      </c>
      <c r="AH9" s="44">
        <f t="shared" si="12"/>
        <v>426000</v>
      </c>
      <c r="AI9" s="321"/>
      <c r="AJ9" s="128">
        <v>35500</v>
      </c>
      <c r="AK9" s="128">
        <v>35500</v>
      </c>
      <c r="AL9" s="204"/>
      <c r="AM9" s="128"/>
      <c r="AN9" s="128"/>
      <c r="AO9" s="128"/>
      <c r="AP9" s="128"/>
    </row>
    <row r="10" spans="1:42" s="33" customFormat="1" ht="25.2" customHeight="1" x14ac:dyDescent="0.3">
      <c r="A10" s="64">
        <v>6</v>
      </c>
      <c r="B10" s="70" t="s">
        <v>113</v>
      </c>
      <c r="C10" s="70"/>
      <c r="D10" s="70" t="s">
        <v>143</v>
      </c>
      <c r="E10" s="70" t="s">
        <v>144</v>
      </c>
      <c r="F10" s="70" t="s">
        <v>53</v>
      </c>
      <c r="G10" s="70" t="s">
        <v>54</v>
      </c>
      <c r="H10" s="71">
        <v>39328</v>
      </c>
      <c r="I10" s="70" t="s">
        <v>47</v>
      </c>
      <c r="J10" s="72" t="s">
        <v>87</v>
      </c>
      <c r="K10" s="63" t="s">
        <v>87</v>
      </c>
      <c r="L10" s="63"/>
      <c r="M10" s="55" t="s">
        <v>48</v>
      </c>
      <c r="N10" s="218"/>
      <c r="O10" s="8" t="s">
        <v>50</v>
      </c>
      <c r="P10" s="9" t="s">
        <v>50</v>
      </c>
      <c r="Q10" s="35"/>
      <c r="R10" s="190">
        <f>17500+2500</f>
        <v>20000</v>
      </c>
      <c r="S10" s="189" cm="1">
        <f t="array" ref="S10">_xlfn.IFS(R10&gt;17000,R10*50%,R10&lt;10500,R10*20%,R10&lt;17000,R10*40%)</f>
        <v>10000</v>
      </c>
      <c r="T10" s="189">
        <v>1600</v>
      </c>
      <c r="U10" s="189">
        <f t="shared" si="0"/>
        <v>1667</v>
      </c>
      <c r="V10" s="41">
        <f>36933</f>
        <v>36933</v>
      </c>
      <c r="W10" s="189">
        <f t="shared" si="1"/>
        <v>0</v>
      </c>
      <c r="X10" s="189">
        <f t="shared" si="2"/>
        <v>0</v>
      </c>
      <c r="Y10" s="28">
        <f t="shared" si="3"/>
        <v>0</v>
      </c>
      <c r="Z10" s="29">
        <f t="shared" si="4"/>
        <v>70200</v>
      </c>
      <c r="AA10" s="29">
        <f t="shared" si="5"/>
        <v>0</v>
      </c>
      <c r="AB10" s="29">
        <f t="shared" si="6"/>
        <v>0</v>
      </c>
      <c r="AC10" s="29">
        <f t="shared" si="7"/>
        <v>0</v>
      </c>
      <c r="AD10" s="29">
        <f t="shared" si="8"/>
        <v>0</v>
      </c>
      <c r="AE10" s="29">
        <f t="shared" si="9"/>
        <v>200</v>
      </c>
      <c r="AF10" s="30">
        <f t="shared" si="10"/>
        <v>70000</v>
      </c>
      <c r="AG10" s="29">
        <f t="shared" si="11"/>
        <v>70200</v>
      </c>
      <c r="AH10" s="38">
        <f t="shared" si="12"/>
        <v>842400</v>
      </c>
      <c r="AI10" s="321"/>
      <c r="AJ10" s="128">
        <v>70200</v>
      </c>
      <c r="AK10" s="128">
        <v>70200</v>
      </c>
      <c r="AL10" s="204"/>
      <c r="AM10" s="128"/>
      <c r="AN10" s="128"/>
      <c r="AO10" s="128"/>
      <c r="AP10" s="128"/>
    </row>
    <row r="11" spans="1:42" s="33" customFormat="1" ht="25.2" customHeight="1" x14ac:dyDescent="0.3">
      <c r="A11" s="75">
        <v>7</v>
      </c>
      <c r="B11" s="65" t="s">
        <v>114</v>
      </c>
      <c r="C11" s="70"/>
      <c r="D11" s="65" t="s">
        <v>145</v>
      </c>
      <c r="E11" s="65" t="s">
        <v>56</v>
      </c>
      <c r="F11" s="65" t="s">
        <v>57</v>
      </c>
      <c r="G11" s="65" t="s">
        <v>86</v>
      </c>
      <c r="H11" s="66">
        <v>42074</v>
      </c>
      <c r="I11" s="70" t="s">
        <v>51</v>
      </c>
      <c r="J11" s="67" t="s">
        <v>87</v>
      </c>
      <c r="K11" s="67" t="s">
        <v>87</v>
      </c>
      <c r="L11" s="63"/>
      <c r="M11" s="55" t="s">
        <v>48</v>
      </c>
      <c r="N11" s="217"/>
      <c r="O11" s="8" t="s">
        <v>50</v>
      </c>
      <c r="P11" s="9" t="s">
        <v>50</v>
      </c>
      <c r="Q11" s="35"/>
      <c r="R11" s="36">
        <f>15100+1400</f>
        <v>16500</v>
      </c>
      <c r="S11" s="189" cm="1">
        <f t="array" ref="S11">_xlfn.IFS(R11&gt;17000,R11*50%,R11&lt;10500,R11*20%,R11&lt;17000,R11*40%)</f>
        <v>6600</v>
      </c>
      <c r="T11" s="189">
        <v>1600</v>
      </c>
      <c r="U11" s="189">
        <f t="shared" si="0"/>
        <v>1375</v>
      </c>
      <c r="V11" s="37">
        <f>17925</f>
        <v>17925</v>
      </c>
      <c r="W11" s="189">
        <f t="shared" si="1"/>
        <v>0</v>
      </c>
      <c r="X11" s="189">
        <f t="shared" si="2"/>
        <v>0</v>
      </c>
      <c r="Y11" s="28">
        <f t="shared" si="3"/>
        <v>0</v>
      </c>
      <c r="Z11" s="29">
        <f t="shared" si="4"/>
        <v>44000</v>
      </c>
      <c r="AA11" s="29">
        <f t="shared" si="5"/>
        <v>0</v>
      </c>
      <c r="AB11" s="29">
        <f t="shared" si="6"/>
        <v>0</v>
      </c>
      <c r="AC11" s="29">
        <f t="shared" si="7"/>
        <v>0</v>
      </c>
      <c r="AD11" s="29">
        <f t="shared" si="8"/>
        <v>0</v>
      </c>
      <c r="AE11" s="29">
        <f t="shared" si="9"/>
        <v>200</v>
      </c>
      <c r="AF11" s="30">
        <f t="shared" si="10"/>
        <v>43800</v>
      </c>
      <c r="AG11" s="29">
        <f t="shared" si="11"/>
        <v>44000</v>
      </c>
      <c r="AH11" s="38">
        <f t="shared" si="12"/>
        <v>528000</v>
      </c>
      <c r="AI11" s="321"/>
      <c r="AJ11" s="128">
        <v>44000</v>
      </c>
      <c r="AK11" s="128">
        <v>44000</v>
      </c>
      <c r="AL11" s="204"/>
      <c r="AM11" s="128"/>
      <c r="AN11" s="128"/>
      <c r="AO11" s="128"/>
      <c r="AP11" s="128"/>
    </row>
    <row r="12" spans="1:42" s="45" customFormat="1" ht="25.2" customHeight="1" x14ac:dyDescent="0.3">
      <c r="A12" s="75">
        <v>8</v>
      </c>
      <c r="B12" s="70" t="s">
        <v>115</v>
      </c>
      <c r="C12" s="65"/>
      <c r="D12" s="70" t="s">
        <v>146</v>
      </c>
      <c r="E12" s="70" t="s">
        <v>52</v>
      </c>
      <c r="F12" s="70" t="s">
        <v>46</v>
      </c>
      <c r="G12" s="70" t="s">
        <v>85</v>
      </c>
      <c r="H12" s="71">
        <v>42172</v>
      </c>
      <c r="I12" s="65" t="s">
        <v>47</v>
      </c>
      <c r="J12" s="80" t="s">
        <v>87</v>
      </c>
      <c r="K12" s="72" t="s">
        <v>87</v>
      </c>
      <c r="L12" s="74"/>
      <c r="M12" s="55" t="s">
        <v>48</v>
      </c>
      <c r="N12" s="217"/>
      <c r="O12" s="10" t="s">
        <v>50</v>
      </c>
      <c r="P12" s="11" t="s">
        <v>50</v>
      </c>
      <c r="Q12" s="35"/>
      <c r="R12" s="190">
        <f>17500+2500</f>
        <v>20000</v>
      </c>
      <c r="S12" s="189" cm="1">
        <f t="array" ref="S12">_xlfn.IFS(R12&gt;17000,R12*50%,R12&lt;10500,R12*20%,R12&lt;17000,R12*40%)</f>
        <v>10000</v>
      </c>
      <c r="T12" s="189">
        <v>1600</v>
      </c>
      <c r="U12" s="189">
        <f t="shared" si="0"/>
        <v>1667</v>
      </c>
      <c r="V12" s="41">
        <f>43233</f>
        <v>43233</v>
      </c>
      <c r="W12" s="189">
        <f t="shared" si="1"/>
        <v>0</v>
      </c>
      <c r="X12" s="189">
        <f t="shared" si="2"/>
        <v>0</v>
      </c>
      <c r="Y12" s="28">
        <f t="shared" si="3"/>
        <v>0</v>
      </c>
      <c r="Z12" s="29">
        <f t="shared" si="4"/>
        <v>76500</v>
      </c>
      <c r="AA12" s="29">
        <f t="shared" si="5"/>
        <v>0</v>
      </c>
      <c r="AB12" s="29">
        <f t="shared" si="6"/>
        <v>0</v>
      </c>
      <c r="AC12" s="29">
        <f t="shared" si="7"/>
        <v>0</v>
      </c>
      <c r="AD12" s="29">
        <f t="shared" si="8"/>
        <v>0</v>
      </c>
      <c r="AE12" s="29">
        <f t="shared" si="9"/>
        <v>200</v>
      </c>
      <c r="AF12" s="42">
        <f t="shared" si="10"/>
        <v>76300</v>
      </c>
      <c r="AG12" s="43">
        <f t="shared" si="11"/>
        <v>76500</v>
      </c>
      <c r="AH12" s="44">
        <f t="shared" si="12"/>
        <v>918000</v>
      </c>
      <c r="AI12" s="321"/>
      <c r="AJ12" s="128">
        <v>76500</v>
      </c>
      <c r="AK12" s="128">
        <v>76500</v>
      </c>
      <c r="AL12" s="204"/>
      <c r="AM12" s="128"/>
      <c r="AN12" s="128"/>
      <c r="AO12" s="128"/>
      <c r="AP12" s="128"/>
    </row>
    <row r="13" spans="1:42" s="45" customFormat="1" ht="25.2" customHeight="1" x14ac:dyDescent="0.3">
      <c r="A13" s="64">
        <v>9</v>
      </c>
      <c r="B13" s="65" t="s">
        <v>116</v>
      </c>
      <c r="C13" s="65"/>
      <c r="D13" s="65" t="s">
        <v>147</v>
      </c>
      <c r="E13" s="65" t="s">
        <v>148</v>
      </c>
      <c r="F13" s="65" t="s">
        <v>53</v>
      </c>
      <c r="G13" s="65" t="s">
        <v>85</v>
      </c>
      <c r="H13" s="66">
        <v>42660</v>
      </c>
      <c r="I13" s="70" t="s">
        <v>51</v>
      </c>
      <c r="J13" s="67" t="s">
        <v>87</v>
      </c>
      <c r="K13" s="68" t="s">
        <v>87</v>
      </c>
      <c r="L13" s="63"/>
      <c r="M13" s="55" t="s">
        <v>48</v>
      </c>
      <c r="N13" s="217"/>
      <c r="O13" s="8" t="s">
        <v>50</v>
      </c>
      <c r="P13" s="9" t="s">
        <v>50</v>
      </c>
      <c r="Q13" s="35" t="s">
        <v>49</v>
      </c>
      <c r="R13" s="36">
        <f>15100+1400</f>
        <v>16500</v>
      </c>
      <c r="S13" s="189" cm="1">
        <f t="array" ref="S13">_xlfn.IFS(R13&gt;17000,R13*50%,R13&lt;10500,R13*20%,R13&lt;17000,R13*40%)</f>
        <v>6600</v>
      </c>
      <c r="T13" s="189">
        <v>1600</v>
      </c>
      <c r="U13" s="189">
        <f t="shared" si="0"/>
        <v>1375</v>
      </c>
      <c r="V13" s="37">
        <f>18925</f>
        <v>18925</v>
      </c>
      <c r="W13" s="189">
        <f t="shared" si="1"/>
        <v>0</v>
      </c>
      <c r="X13" s="189">
        <f t="shared" si="2"/>
        <v>0</v>
      </c>
      <c r="Y13" s="28">
        <f t="shared" si="3"/>
        <v>0</v>
      </c>
      <c r="Z13" s="29">
        <f t="shared" si="4"/>
        <v>45000</v>
      </c>
      <c r="AA13" s="29">
        <f t="shared" si="5"/>
        <v>0</v>
      </c>
      <c r="AB13" s="29">
        <f t="shared" si="6"/>
        <v>0</v>
      </c>
      <c r="AC13" s="29">
        <f t="shared" si="7"/>
        <v>0</v>
      </c>
      <c r="AD13" s="29">
        <f t="shared" si="8"/>
        <v>0</v>
      </c>
      <c r="AE13" s="29">
        <f t="shared" si="9"/>
        <v>200</v>
      </c>
      <c r="AF13" s="42">
        <f t="shared" si="10"/>
        <v>44800</v>
      </c>
      <c r="AG13" s="43">
        <f t="shared" si="11"/>
        <v>45000</v>
      </c>
      <c r="AH13" s="44">
        <f t="shared" si="12"/>
        <v>540000</v>
      </c>
      <c r="AI13" s="321"/>
      <c r="AJ13" s="128">
        <v>45000</v>
      </c>
      <c r="AK13" s="128">
        <v>45000</v>
      </c>
      <c r="AL13" s="204"/>
      <c r="AM13" s="128"/>
      <c r="AN13" s="128"/>
      <c r="AO13" s="128"/>
      <c r="AP13" s="128"/>
    </row>
    <row r="14" spans="1:42" s="45" customFormat="1" ht="25.2" customHeight="1" x14ac:dyDescent="0.3">
      <c r="A14" s="64">
        <v>10</v>
      </c>
      <c r="B14" s="65" t="s">
        <v>117</v>
      </c>
      <c r="C14" s="65"/>
      <c r="D14" s="65" t="s">
        <v>149</v>
      </c>
      <c r="E14" s="65" t="s">
        <v>134</v>
      </c>
      <c r="F14" s="65" t="s">
        <v>46</v>
      </c>
      <c r="G14" s="65" t="s">
        <v>85</v>
      </c>
      <c r="H14" s="66">
        <v>42688</v>
      </c>
      <c r="I14" s="70" t="s">
        <v>51</v>
      </c>
      <c r="J14" s="73" t="s">
        <v>87</v>
      </c>
      <c r="K14" s="74" t="s">
        <v>87</v>
      </c>
      <c r="L14" s="63"/>
      <c r="M14" s="55" t="s">
        <v>48</v>
      </c>
      <c r="N14" s="219"/>
      <c r="O14" s="8" t="s">
        <v>50</v>
      </c>
      <c r="P14" s="9" t="s">
        <v>50</v>
      </c>
      <c r="Q14" s="39"/>
      <c r="R14" s="36">
        <f>15100+1400</f>
        <v>16500</v>
      </c>
      <c r="S14" s="189" cm="1">
        <f t="array" ref="S14">_xlfn.IFS(R14&gt;17000,R14*50%,R14&lt;10500,R14*20%,R14&lt;17000,R14*40%)</f>
        <v>6600</v>
      </c>
      <c r="T14" s="189">
        <v>1600</v>
      </c>
      <c r="U14" s="189">
        <f t="shared" si="0"/>
        <v>1375</v>
      </c>
      <c r="V14" s="37">
        <f>16425</f>
        <v>16425</v>
      </c>
      <c r="W14" s="189">
        <f t="shared" si="1"/>
        <v>0</v>
      </c>
      <c r="X14" s="189">
        <f t="shared" si="2"/>
        <v>0</v>
      </c>
      <c r="Y14" s="28">
        <f t="shared" si="3"/>
        <v>0</v>
      </c>
      <c r="Z14" s="29">
        <f t="shared" si="4"/>
        <v>42500</v>
      </c>
      <c r="AA14" s="29">
        <f t="shared" si="5"/>
        <v>0</v>
      </c>
      <c r="AB14" s="29">
        <f t="shared" si="6"/>
        <v>0</v>
      </c>
      <c r="AC14" s="29">
        <f t="shared" si="7"/>
        <v>0</v>
      </c>
      <c r="AD14" s="29">
        <f t="shared" si="8"/>
        <v>0</v>
      </c>
      <c r="AE14" s="29">
        <f t="shared" si="9"/>
        <v>200</v>
      </c>
      <c r="AF14" s="30">
        <f t="shared" si="10"/>
        <v>42300</v>
      </c>
      <c r="AG14" s="29">
        <f t="shared" si="11"/>
        <v>42500</v>
      </c>
      <c r="AH14" s="38">
        <f t="shared" si="12"/>
        <v>510000</v>
      </c>
      <c r="AI14" s="321"/>
      <c r="AJ14" s="128">
        <v>42500</v>
      </c>
      <c r="AK14" s="128">
        <v>42500</v>
      </c>
      <c r="AL14" s="204"/>
      <c r="AM14" s="128"/>
      <c r="AN14" s="128"/>
      <c r="AO14" s="128"/>
      <c r="AP14" s="128"/>
    </row>
    <row r="15" spans="1:42" s="33" customFormat="1" ht="25.2" customHeight="1" x14ac:dyDescent="0.3">
      <c r="A15" s="64">
        <v>11</v>
      </c>
      <c r="B15" s="70" t="s">
        <v>215</v>
      </c>
      <c r="C15" s="70"/>
      <c r="D15" s="70" t="s">
        <v>150</v>
      </c>
      <c r="E15" s="70"/>
      <c r="F15" s="70" t="s">
        <v>55</v>
      </c>
      <c r="G15" s="70" t="s">
        <v>54</v>
      </c>
      <c r="H15" s="71">
        <v>42773</v>
      </c>
      <c r="I15" s="65" t="s">
        <v>47</v>
      </c>
      <c r="J15" s="72" t="s">
        <v>87</v>
      </c>
      <c r="K15" s="78" t="s">
        <v>87</v>
      </c>
      <c r="L15" s="67"/>
      <c r="M15" s="55" t="s">
        <v>48</v>
      </c>
      <c r="N15" s="218"/>
      <c r="O15" s="10" t="s">
        <v>50</v>
      </c>
      <c r="P15" s="11" t="s">
        <v>50</v>
      </c>
      <c r="Q15" s="35"/>
      <c r="R15" s="36">
        <f>15100+1400</f>
        <v>16500</v>
      </c>
      <c r="S15" s="189" cm="1">
        <f t="array" ref="S15">_xlfn.IFS(R15&gt;17000,R15*50%,R15&lt;10500,R15*20%,R15&lt;17000,R15*40%)</f>
        <v>6600</v>
      </c>
      <c r="T15" s="189">
        <v>1600</v>
      </c>
      <c r="U15" s="189">
        <f t="shared" si="0"/>
        <v>1375</v>
      </c>
      <c r="V15" s="41">
        <f>26425</f>
        <v>26425</v>
      </c>
      <c r="W15" s="189">
        <f t="shared" si="1"/>
        <v>0</v>
      </c>
      <c r="X15" s="189">
        <f t="shared" si="2"/>
        <v>0</v>
      </c>
      <c r="Y15" s="28">
        <f t="shared" si="3"/>
        <v>0</v>
      </c>
      <c r="Z15" s="29">
        <f t="shared" si="4"/>
        <v>52500</v>
      </c>
      <c r="AA15" s="29">
        <f t="shared" si="5"/>
        <v>0</v>
      </c>
      <c r="AB15" s="29">
        <f t="shared" si="6"/>
        <v>0</v>
      </c>
      <c r="AC15" s="29">
        <f t="shared" si="7"/>
        <v>0</v>
      </c>
      <c r="AD15" s="29">
        <f t="shared" si="8"/>
        <v>0</v>
      </c>
      <c r="AE15" s="29">
        <f t="shared" si="9"/>
        <v>200</v>
      </c>
      <c r="AF15" s="30">
        <f t="shared" si="10"/>
        <v>52300</v>
      </c>
      <c r="AG15" s="29">
        <f t="shared" si="11"/>
        <v>52500</v>
      </c>
      <c r="AH15" s="38">
        <f t="shared" si="12"/>
        <v>630000</v>
      </c>
      <c r="AI15" s="321"/>
      <c r="AJ15" s="128">
        <v>52500</v>
      </c>
      <c r="AK15" s="128">
        <v>52500</v>
      </c>
      <c r="AL15" s="204"/>
      <c r="AM15" s="128"/>
      <c r="AN15" s="128"/>
      <c r="AO15" s="128"/>
      <c r="AP15" s="128"/>
    </row>
    <row r="16" spans="1:42" s="33" customFormat="1" ht="25.2" customHeight="1" x14ac:dyDescent="0.3">
      <c r="A16" s="75">
        <v>12</v>
      </c>
      <c r="B16" s="65" t="s">
        <v>118</v>
      </c>
      <c r="C16" s="70"/>
      <c r="D16" s="65" t="s">
        <v>151</v>
      </c>
      <c r="E16" s="65" t="s">
        <v>152</v>
      </c>
      <c r="F16" s="65" t="s">
        <v>55</v>
      </c>
      <c r="G16" s="65" t="s">
        <v>54</v>
      </c>
      <c r="H16" s="66">
        <v>43115</v>
      </c>
      <c r="I16" s="65" t="s">
        <v>51</v>
      </c>
      <c r="J16" s="73">
        <v>101247514144</v>
      </c>
      <c r="K16" s="74" t="s">
        <v>87</v>
      </c>
      <c r="L16" s="74"/>
      <c r="M16" s="55" t="s">
        <v>48</v>
      </c>
      <c r="N16" s="218"/>
      <c r="O16" s="10" t="s">
        <v>49</v>
      </c>
      <c r="P16" s="11" t="s">
        <v>50</v>
      </c>
      <c r="Q16" s="35"/>
      <c r="R16" s="40">
        <f>10000+1500</f>
        <v>11500</v>
      </c>
      <c r="S16" s="189" cm="1">
        <f t="array" ref="S16">_xlfn.IFS(R16&gt;17000,R16*50%,R16&lt;10500,R16*20%,R16&lt;17000,R16*40%)</f>
        <v>4600</v>
      </c>
      <c r="T16" s="189">
        <v>1600</v>
      </c>
      <c r="U16" s="189">
        <f t="shared" si="0"/>
        <v>958</v>
      </c>
      <c r="V16" s="37">
        <f>32742</f>
        <v>32742</v>
      </c>
      <c r="W16" s="189">
        <f t="shared" si="1"/>
        <v>1800</v>
      </c>
      <c r="X16" s="189">
        <f t="shared" si="2"/>
        <v>1800</v>
      </c>
      <c r="Y16" s="28">
        <f t="shared" si="3"/>
        <v>0</v>
      </c>
      <c r="Z16" s="29">
        <f t="shared" si="4"/>
        <v>55000</v>
      </c>
      <c r="AA16" s="29">
        <f t="shared" si="5"/>
        <v>1800</v>
      </c>
      <c r="AB16" s="29">
        <f t="shared" si="6"/>
        <v>1800</v>
      </c>
      <c r="AC16" s="29">
        <f t="shared" si="7"/>
        <v>0</v>
      </c>
      <c r="AD16" s="29">
        <f t="shared" si="8"/>
        <v>0</v>
      </c>
      <c r="AE16" s="29">
        <f t="shared" si="9"/>
        <v>200</v>
      </c>
      <c r="AF16" s="42">
        <f t="shared" si="10"/>
        <v>51200</v>
      </c>
      <c r="AG16" s="43">
        <f t="shared" si="11"/>
        <v>55000</v>
      </c>
      <c r="AH16" s="44">
        <f t="shared" si="12"/>
        <v>660000</v>
      </c>
      <c r="AI16" s="321"/>
      <c r="AJ16" s="128">
        <v>55000</v>
      </c>
      <c r="AK16" s="128">
        <v>55000</v>
      </c>
      <c r="AL16" s="204"/>
      <c r="AM16" s="128"/>
      <c r="AN16" s="128"/>
      <c r="AO16" s="128"/>
      <c r="AP16" s="128"/>
    </row>
    <row r="17" spans="1:42" s="33" customFormat="1" ht="25.2" customHeight="1" x14ac:dyDescent="0.3">
      <c r="A17" s="64">
        <v>13</v>
      </c>
      <c r="B17" s="70" t="s">
        <v>119</v>
      </c>
      <c r="C17" s="70"/>
      <c r="D17" s="70" t="s">
        <v>153</v>
      </c>
      <c r="E17" s="70" t="s">
        <v>214</v>
      </c>
      <c r="F17" s="70" t="s">
        <v>46</v>
      </c>
      <c r="G17" s="70" t="s">
        <v>86</v>
      </c>
      <c r="H17" s="71">
        <v>43199</v>
      </c>
      <c r="I17" s="70" t="s">
        <v>51</v>
      </c>
      <c r="J17" s="80" t="s">
        <v>87</v>
      </c>
      <c r="K17" s="78" t="s">
        <v>87</v>
      </c>
      <c r="L17" s="63"/>
      <c r="M17" s="55" t="s">
        <v>48</v>
      </c>
      <c r="N17" s="218"/>
      <c r="O17" s="8" t="s">
        <v>50</v>
      </c>
      <c r="P17" s="9" t="s">
        <v>50</v>
      </c>
      <c r="Q17" s="35"/>
      <c r="R17" s="36">
        <f>15100+1400</f>
        <v>16500</v>
      </c>
      <c r="S17" s="189" cm="1">
        <f t="array" ref="S17">_xlfn.IFS(R17&gt;17000,R17*50%,R17&lt;10500,R17*20%,R17&lt;17000,R17*40%)</f>
        <v>6600</v>
      </c>
      <c r="T17" s="189">
        <v>1600</v>
      </c>
      <c r="U17" s="189">
        <f t="shared" si="0"/>
        <v>1375</v>
      </c>
      <c r="V17" s="41">
        <f>7925</f>
        <v>7925</v>
      </c>
      <c r="W17" s="189">
        <f t="shared" si="1"/>
        <v>0</v>
      </c>
      <c r="X17" s="189">
        <f t="shared" si="2"/>
        <v>0</v>
      </c>
      <c r="Y17" s="28">
        <f t="shared" si="3"/>
        <v>0</v>
      </c>
      <c r="Z17" s="29">
        <f t="shared" si="4"/>
        <v>34000</v>
      </c>
      <c r="AA17" s="29">
        <f t="shared" si="5"/>
        <v>0</v>
      </c>
      <c r="AB17" s="29">
        <f t="shared" si="6"/>
        <v>0</v>
      </c>
      <c r="AC17" s="29">
        <f t="shared" si="7"/>
        <v>0</v>
      </c>
      <c r="AD17" s="29">
        <f t="shared" si="8"/>
        <v>0</v>
      </c>
      <c r="AE17" s="29">
        <f t="shared" si="9"/>
        <v>200</v>
      </c>
      <c r="AF17" s="30">
        <f t="shared" si="10"/>
        <v>33800</v>
      </c>
      <c r="AG17" s="29">
        <f t="shared" si="11"/>
        <v>34000</v>
      </c>
      <c r="AH17" s="38">
        <f t="shared" si="12"/>
        <v>408000</v>
      </c>
      <c r="AI17" s="321"/>
      <c r="AJ17" s="128">
        <v>34000</v>
      </c>
      <c r="AK17" s="128">
        <v>34000</v>
      </c>
      <c r="AL17" s="204"/>
      <c r="AM17" s="128"/>
      <c r="AN17" s="128"/>
      <c r="AO17" s="128"/>
      <c r="AP17" s="128"/>
    </row>
    <row r="18" spans="1:42" s="45" customFormat="1" ht="25.2" customHeight="1" x14ac:dyDescent="0.3">
      <c r="A18" s="64">
        <v>14</v>
      </c>
      <c r="B18" s="70" t="s">
        <v>120</v>
      </c>
      <c r="C18" s="70"/>
      <c r="D18" s="70" t="s">
        <v>154</v>
      </c>
      <c r="E18" s="70" t="s">
        <v>134</v>
      </c>
      <c r="F18" s="70" t="s">
        <v>46</v>
      </c>
      <c r="G18" s="70" t="s">
        <v>85</v>
      </c>
      <c r="H18" s="71">
        <v>43405</v>
      </c>
      <c r="I18" s="65" t="s">
        <v>51</v>
      </c>
      <c r="J18" s="80" t="s">
        <v>87</v>
      </c>
      <c r="K18" s="77" t="s">
        <v>87</v>
      </c>
      <c r="L18" s="69"/>
      <c r="M18" s="55" t="s">
        <v>48</v>
      </c>
      <c r="N18" s="217"/>
      <c r="O18" s="10" t="s">
        <v>50</v>
      </c>
      <c r="P18" s="11" t="s">
        <v>50</v>
      </c>
      <c r="Q18" s="35"/>
      <c r="R18" s="36">
        <f>15100+1400</f>
        <v>16500</v>
      </c>
      <c r="S18" s="189" cm="1">
        <f t="array" ref="S18">_xlfn.IFS(R18&gt;17000,R18*50%,R18&lt;10500,R18*20%,R18&lt;17000,R18*40%)</f>
        <v>6600</v>
      </c>
      <c r="T18" s="189">
        <v>1600</v>
      </c>
      <c r="U18" s="189">
        <f t="shared" si="0"/>
        <v>1375</v>
      </c>
      <c r="V18" s="41">
        <f>6425</f>
        <v>6425</v>
      </c>
      <c r="W18" s="189">
        <f t="shared" si="1"/>
        <v>0</v>
      </c>
      <c r="X18" s="189">
        <f t="shared" si="2"/>
        <v>0</v>
      </c>
      <c r="Y18" s="28">
        <f t="shared" si="3"/>
        <v>0</v>
      </c>
      <c r="Z18" s="29">
        <f t="shared" si="4"/>
        <v>32500</v>
      </c>
      <c r="AA18" s="29">
        <f t="shared" si="5"/>
        <v>0</v>
      </c>
      <c r="AB18" s="29">
        <f t="shared" si="6"/>
        <v>0</v>
      </c>
      <c r="AC18" s="29">
        <f t="shared" si="7"/>
        <v>0</v>
      </c>
      <c r="AD18" s="29">
        <f t="shared" si="8"/>
        <v>0</v>
      </c>
      <c r="AE18" s="29">
        <f t="shared" si="9"/>
        <v>200</v>
      </c>
      <c r="AF18" s="30">
        <f t="shared" si="10"/>
        <v>32300</v>
      </c>
      <c r="AG18" s="29">
        <f t="shared" si="11"/>
        <v>32500</v>
      </c>
      <c r="AH18" s="38">
        <f t="shared" si="12"/>
        <v>390000</v>
      </c>
      <c r="AI18" s="321"/>
      <c r="AJ18" s="128">
        <v>32500</v>
      </c>
      <c r="AK18" s="128">
        <v>32500</v>
      </c>
      <c r="AL18" s="204"/>
      <c r="AM18" s="128"/>
      <c r="AN18" s="128"/>
      <c r="AO18" s="128"/>
      <c r="AP18" s="128"/>
    </row>
    <row r="19" spans="1:42" s="33" customFormat="1" ht="25.2" customHeight="1" x14ac:dyDescent="0.3">
      <c r="A19" s="64">
        <v>15</v>
      </c>
      <c r="B19" s="70" t="s">
        <v>121</v>
      </c>
      <c r="C19" s="70"/>
      <c r="D19" s="70" t="s">
        <v>155</v>
      </c>
      <c r="E19" s="70" t="s">
        <v>156</v>
      </c>
      <c r="F19" s="70" t="s">
        <v>55</v>
      </c>
      <c r="G19" s="65" t="s">
        <v>54</v>
      </c>
      <c r="H19" s="66">
        <v>44175</v>
      </c>
      <c r="I19" s="70" t="s">
        <v>51</v>
      </c>
      <c r="J19" s="80" t="s">
        <v>87</v>
      </c>
      <c r="K19" s="78" t="s">
        <v>87</v>
      </c>
      <c r="L19" s="77"/>
      <c r="M19" s="55" t="s">
        <v>48</v>
      </c>
      <c r="N19" s="218"/>
      <c r="O19" s="8" t="s">
        <v>50</v>
      </c>
      <c r="P19" s="9" t="s">
        <v>50</v>
      </c>
      <c r="Q19" s="35"/>
      <c r="R19" s="36">
        <f>15100+1400</f>
        <v>16500</v>
      </c>
      <c r="S19" s="189" cm="1">
        <f t="array" ref="S19">_xlfn.IFS(R19&gt;17000,R19*50%,R19&lt;10500,R19*20%,R19&lt;17000,R19*40%)</f>
        <v>6600</v>
      </c>
      <c r="T19" s="189">
        <v>1600</v>
      </c>
      <c r="U19" s="189">
        <f t="shared" si="0"/>
        <v>1375</v>
      </c>
      <c r="V19" s="41">
        <f>31925</f>
        <v>31925</v>
      </c>
      <c r="W19" s="189">
        <f t="shared" si="1"/>
        <v>0</v>
      </c>
      <c r="X19" s="189">
        <f t="shared" si="2"/>
        <v>0</v>
      </c>
      <c r="Y19" s="28">
        <f t="shared" si="3"/>
        <v>0</v>
      </c>
      <c r="Z19" s="29">
        <f t="shared" si="4"/>
        <v>58000</v>
      </c>
      <c r="AA19" s="29">
        <f t="shared" si="5"/>
        <v>0</v>
      </c>
      <c r="AB19" s="29">
        <f t="shared" si="6"/>
        <v>0</v>
      </c>
      <c r="AC19" s="29">
        <f t="shared" si="7"/>
        <v>0</v>
      </c>
      <c r="AD19" s="29">
        <f t="shared" si="8"/>
        <v>0</v>
      </c>
      <c r="AE19" s="29">
        <f t="shared" si="9"/>
        <v>200</v>
      </c>
      <c r="AF19" s="30">
        <f t="shared" si="10"/>
        <v>57800</v>
      </c>
      <c r="AG19" s="29">
        <f t="shared" si="11"/>
        <v>58000</v>
      </c>
      <c r="AH19" s="38">
        <f t="shared" si="12"/>
        <v>696000</v>
      </c>
      <c r="AI19" s="321"/>
      <c r="AJ19" s="128">
        <v>58000</v>
      </c>
      <c r="AK19" s="128">
        <v>58000</v>
      </c>
      <c r="AL19" s="204"/>
      <c r="AM19" s="128"/>
      <c r="AN19" s="128"/>
      <c r="AO19" s="128"/>
      <c r="AP19" s="128"/>
    </row>
    <row r="20" spans="1:42" s="33" customFormat="1" ht="25.2" customHeight="1" x14ac:dyDescent="0.3">
      <c r="A20" s="64">
        <v>16</v>
      </c>
      <c r="B20" s="70" t="s">
        <v>122</v>
      </c>
      <c r="C20" s="65"/>
      <c r="D20" s="81" t="s">
        <v>158</v>
      </c>
      <c r="E20" s="70" t="s">
        <v>142</v>
      </c>
      <c r="F20" s="70" t="s">
        <v>46</v>
      </c>
      <c r="G20" s="70" t="s">
        <v>85</v>
      </c>
      <c r="H20" s="71">
        <v>44440</v>
      </c>
      <c r="I20" s="70" t="s">
        <v>51</v>
      </c>
      <c r="J20" s="76">
        <v>101276272048</v>
      </c>
      <c r="K20" s="77">
        <v>3517199097</v>
      </c>
      <c r="L20" s="78"/>
      <c r="M20" s="55" t="s">
        <v>48</v>
      </c>
      <c r="N20" s="219"/>
      <c r="O20" s="8" t="s">
        <v>49</v>
      </c>
      <c r="P20" s="9" t="s">
        <v>50</v>
      </c>
      <c r="Q20" s="39"/>
      <c r="R20" s="40">
        <f>10000</f>
        <v>10000</v>
      </c>
      <c r="S20" s="189" cm="1">
        <f t="array" ref="S20">_xlfn.IFS(R20&gt;17000,R20*50%,R20&lt;10500,R20*20%,R20&lt;17000,R20*40%)</f>
        <v>2000</v>
      </c>
      <c r="T20" s="189">
        <v>1600</v>
      </c>
      <c r="U20" s="189">
        <f t="shared" si="0"/>
        <v>833</v>
      </c>
      <c r="V20" s="41">
        <f>8467</f>
        <v>8467</v>
      </c>
      <c r="W20" s="189">
        <f t="shared" si="1"/>
        <v>1800</v>
      </c>
      <c r="X20" s="189">
        <f t="shared" si="2"/>
        <v>1800</v>
      </c>
      <c r="Y20" s="28">
        <f t="shared" si="3"/>
        <v>0</v>
      </c>
      <c r="Z20" s="29">
        <f t="shared" si="4"/>
        <v>26500</v>
      </c>
      <c r="AA20" s="29">
        <f t="shared" si="5"/>
        <v>1800</v>
      </c>
      <c r="AB20" s="29">
        <f t="shared" si="6"/>
        <v>1800</v>
      </c>
      <c r="AC20" s="29">
        <f t="shared" si="7"/>
        <v>0</v>
      </c>
      <c r="AD20" s="29">
        <f t="shared" si="8"/>
        <v>0</v>
      </c>
      <c r="AE20" s="29">
        <f t="shared" si="9"/>
        <v>200</v>
      </c>
      <c r="AF20" s="30">
        <f t="shared" si="10"/>
        <v>22700</v>
      </c>
      <c r="AG20" s="29">
        <f t="shared" si="11"/>
        <v>26500</v>
      </c>
      <c r="AH20" s="38">
        <f t="shared" si="12"/>
        <v>318000</v>
      </c>
      <c r="AI20" s="321"/>
      <c r="AJ20" s="128">
        <v>26500</v>
      </c>
      <c r="AK20" s="128">
        <v>26500</v>
      </c>
      <c r="AL20" s="204"/>
      <c r="AM20" s="128"/>
      <c r="AN20" s="128"/>
      <c r="AO20" s="128"/>
      <c r="AP20" s="128"/>
    </row>
    <row r="21" spans="1:42" s="33" customFormat="1" ht="25.2" customHeight="1" x14ac:dyDescent="0.3">
      <c r="A21" s="64">
        <v>17</v>
      </c>
      <c r="B21" s="70" t="s">
        <v>123</v>
      </c>
      <c r="C21" s="70"/>
      <c r="D21" s="81" t="s">
        <v>159</v>
      </c>
      <c r="E21" s="70" t="s">
        <v>142</v>
      </c>
      <c r="F21" s="70" t="s">
        <v>46</v>
      </c>
      <c r="G21" s="70" t="s">
        <v>85</v>
      </c>
      <c r="H21" s="66">
        <v>44562</v>
      </c>
      <c r="I21" s="70" t="s">
        <v>47</v>
      </c>
      <c r="J21" s="76">
        <v>101413492317</v>
      </c>
      <c r="K21" s="77">
        <v>3517296877</v>
      </c>
      <c r="L21" s="77"/>
      <c r="M21" s="55" t="s">
        <v>48</v>
      </c>
      <c r="N21" s="217"/>
      <c r="O21" s="8" t="s">
        <v>49</v>
      </c>
      <c r="P21" s="9" t="s">
        <v>50</v>
      </c>
      <c r="Q21" s="35"/>
      <c r="R21" s="40">
        <f>10000</f>
        <v>10000</v>
      </c>
      <c r="S21" s="189" cm="1">
        <f t="array" ref="S21">_xlfn.IFS(R21&gt;17000,R21*50%,R21&lt;10500,R21*20%,R21&lt;17000,R21*40%)</f>
        <v>2000</v>
      </c>
      <c r="T21" s="189">
        <v>1600</v>
      </c>
      <c r="U21" s="189">
        <f t="shared" si="0"/>
        <v>833</v>
      </c>
      <c r="V21" s="41">
        <f>4656-33+844</f>
        <v>5467</v>
      </c>
      <c r="W21" s="189">
        <f t="shared" si="1"/>
        <v>1800</v>
      </c>
      <c r="X21" s="189">
        <f t="shared" si="2"/>
        <v>1800</v>
      </c>
      <c r="Y21" s="28">
        <f t="shared" si="3"/>
        <v>0</v>
      </c>
      <c r="Z21" s="29">
        <f t="shared" si="4"/>
        <v>23500</v>
      </c>
      <c r="AA21" s="29">
        <f t="shared" si="5"/>
        <v>1800</v>
      </c>
      <c r="AB21" s="29">
        <f t="shared" si="6"/>
        <v>1800</v>
      </c>
      <c r="AC21" s="29">
        <f t="shared" si="7"/>
        <v>0</v>
      </c>
      <c r="AD21" s="29">
        <f t="shared" si="8"/>
        <v>0</v>
      </c>
      <c r="AE21" s="29">
        <f t="shared" si="9"/>
        <v>0</v>
      </c>
      <c r="AF21" s="42">
        <f>ROUND(Z21-SUM(AA21:AE21),0)</f>
        <v>19900</v>
      </c>
      <c r="AG21" s="43">
        <f t="shared" si="11"/>
        <v>23500</v>
      </c>
      <c r="AH21" s="44">
        <f t="shared" si="12"/>
        <v>282000</v>
      </c>
      <c r="AI21" s="321"/>
      <c r="AJ21" s="298">
        <v>21094</v>
      </c>
      <c r="AK21" s="128">
        <v>23500</v>
      </c>
      <c r="AL21" s="204"/>
      <c r="AM21" s="128"/>
      <c r="AN21" s="128"/>
      <c r="AO21" s="128"/>
      <c r="AP21" s="128"/>
    </row>
    <row r="22" spans="1:42" s="33" customFormat="1" ht="25.2" customHeight="1" x14ac:dyDescent="0.3">
      <c r="A22" s="64">
        <v>18</v>
      </c>
      <c r="B22" s="70" t="s">
        <v>124</v>
      </c>
      <c r="C22" s="70"/>
      <c r="D22" s="70" t="s">
        <v>160</v>
      </c>
      <c r="E22" s="70" t="s">
        <v>161</v>
      </c>
      <c r="F22" s="70" t="s">
        <v>55</v>
      </c>
      <c r="G22" s="70" t="s">
        <v>54</v>
      </c>
      <c r="H22" s="71">
        <v>44774</v>
      </c>
      <c r="I22" s="70" t="s">
        <v>51</v>
      </c>
      <c r="J22" s="72">
        <v>101865613126</v>
      </c>
      <c r="K22" s="63">
        <v>3517670708</v>
      </c>
      <c r="L22" s="63"/>
      <c r="M22" s="55" t="s">
        <v>48</v>
      </c>
      <c r="N22" s="219"/>
      <c r="O22" s="8" t="s">
        <v>49</v>
      </c>
      <c r="P22" s="9" t="s">
        <v>49</v>
      </c>
      <c r="Q22" s="39"/>
      <c r="R22" s="40">
        <f>10000</f>
        <v>10000</v>
      </c>
      <c r="S22" s="189" cm="1">
        <f t="array" ref="S22">_xlfn.IFS(R22&gt;17000,R22*50%,R22&lt;10500,R22*20%,R22&lt;17000,R22*40%)</f>
        <v>2000</v>
      </c>
      <c r="T22" s="189">
        <v>1600</v>
      </c>
      <c r="U22" s="189">
        <f t="shared" si="0"/>
        <v>833</v>
      </c>
      <c r="V22" s="41">
        <v>3817</v>
      </c>
      <c r="W22" s="189">
        <f t="shared" si="1"/>
        <v>0</v>
      </c>
      <c r="X22" s="189">
        <f t="shared" si="2"/>
        <v>0</v>
      </c>
      <c r="Y22" s="28">
        <f t="shared" si="3"/>
        <v>0</v>
      </c>
      <c r="Z22" s="29">
        <f t="shared" si="4"/>
        <v>18250</v>
      </c>
      <c r="AA22" s="29">
        <f t="shared" si="5"/>
        <v>1800</v>
      </c>
      <c r="AB22" s="29">
        <f t="shared" si="6"/>
        <v>0</v>
      </c>
      <c r="AC22" s="29">
        <f t="shared" si="7"/>
        <v>137</v>
      </c>
      <c r="AD22" s="29">
        <f t="shared" si="8"/>
        <v>0</v>
      </c>
      <c r="AE22" s="29">
        <f t="shared" si="9"/>
        <v>200</v>
      </c>
      <c r="AF22" s="30">
        <f t="shared" si="10"/>
        <v>16113</v>
      </c>
      <c r="AG22" s="29">
        <f t="shared" si="11"/>
        <v>18250</v>
      </c>
      <c r="AH22" s="38">
        <f t="shared" si="12"/>
        <v>219000</v>
      </c>
      <c r="AI22" s="321"/>
      <c r="AJ22" s="298">
        <v>16250</v>
      </c>
      <c r="AK22" s="128">
        <v>18250</v>
      </c>
      <c r="AL22" s="204"/>
      <c r="AM22" s="128"/>
      <c r="AN22" s="128"/>
      <c r="AO22" s="128"/>
      <c r="AP22" s="128"/>
    </row>
    <row r="23" spans="1:42" s="45" customFormat="1" ht="25.2" customHeight="1" x14ac:dyDescent="0.3">
      <c r="A23" s="64">
        <v>19</v>
      </c>
      <c r="B23" s="70" t="s">
        <v>125</v>
      </c>
      <c r="C23" s="65"/>
      <c r="D23" s="70" t="s">
        <v>162</v>
      </c>
      <c r="E23" s="70" t="s">
        <v>161</v>
      </c>
      <c r="F23" s="70" t="s">
        <v>55</v>
      </c>
      <c r="G23" s="70" t="s">
        <v>54</v>
      </c>
      <c r="H23" s="71">
        <v>44774</v>
      </c>
      <c r="I23" s="70" t="s">
        <v>51</v>
      </c>
      <c r="J23" s="72">
        <v>101865613135</v>
      </c>
      <c r="K23" s="295">
        <v>3517670835</v>
      </c>
      <c r="L23" s="63"/>
      <c r="M23" s="55" t="s">
        <v>48</v>
      </c>
      <c r="N23" s="217"/>
      <c r="O23" s="8" t="s">
        <v>49</v>
      </c>
      <c r="P23" s="9" t="s">
        <v>49</v>
      </c>
      <c r="Q23" s="35"/>
      <c r="R23" s="40">
        <f>10000</f>
        <v>10000</v>
      </c>
      <c r="S23" s="189" cm="1">
        <f t="array" ref="S23">_xlfn.IFS(R23&gt;17000,R23*50%,R23&lt;10500,R23*20%,R23&lt;17000,R23*40%)</f>
        <v>2000</v>
      </c>
      <c r="T23" s="189">
        <v>1600</v>
      </c>
      <c r="U23" s="189">
        <f t="shared" si="0"/>
        <v>833</v>
      </c>
      <c r="V23" s="41">
        <v>4317</v>
      </c>
      <c r="W23" s="189">
        <f t="shared" si="1"/>
        <v>0</v>
      </c>
      <c r="X23" s="189">
        <f t="shared" si="2"/>
        <v>0</v>
      </c>
      <c r="Y23" s="28">
        <f t="shared" si="3"/>
        <v>0</v>
      </c>
      <c r="Z23" s="29">
        <f t="shared" si="4"/>
        <v>18750</v>
      </c>
      <c r="AA23" s="29">
        <f t="shared" si="5"/>
        <v>1800</v>
      </c>
      <c r="AB23" s="29">
        <f t="shared" si="6"/>
        <v>0</v>
      </c>
      <c r="AC23" s="29">
        <f t="shared" si="7"/>
        <v>141</v>
      </c>
      <c r="AD23" s="29">
        <f t="shared" si="8"/>
        <v>0</v>
      </c>
      <c r="AE23" s="29">
        <f t="shared" si="9"/>
        <v>200</v>
      </c>
      <c r="AF23" s="30">
        <f t="shared" si="10"/>
        <v>16609</v>
      </c>
      <c r="AG23" s="29">
        <f t="shared" si="11"/>
        <v>18750</v>
      </c>
      <c r="AH23" s="38">
        <f t="shared" si="12"/>
        <v>225000</v>
      </c>
      <c r="AI23" s="321"/>
      <c r="AJ23" s="298">
        <v>16750</v>
      </c>
      <c r="AK23" s="128">
        <v>18750</v>
      </c>
      <c r="AL23" s="204"/>
      <c r="AM23" s="128"/>
      <c r="AN23" s="128"/>
      <c r="AO23" s="128"/>
      <c r="AP23" s="128"/>
    </row>
    <row r="24" spans="1:42" s="33" customFormat="1" ht="25.2" customHeight="1" x14ac:dyDescent="0.3">
      <c r="A24" s="64">
        <v>20</v>
      </c>
      <c r="B24" s="70" t="s">
        <v>126</v>
      </c>
      <c r="C24" s="70"/>
      <c r="D24" s="81" t="s">
        <v>163</v>
      </c>
      <c r="E24" s="70" t="s">
        <v>164</v>
      </c>
      <c r="F24" s="70" t="s">
        <v>46</v>
      </c>
      <c r="G24" s="70" t="s">
        <v>85</v>
      </c>
      <c r="H24" s="71">
        <v>44805</v>
      </c>
      <c r="I24" s="70" t="s">
        <v>51</v>
      </c>
      <c r="J24" s="72">
        <v>101876428980</v>
      </c>
      <c r="K24" s="63">
        <v>3517694410</v>
      </c>
      <c r="L24" s="63"/>
      <c r="M24" s="55" t="s">
        <v>48</v>
      </c>
      <c r="N24" s="217"/>
      <c r="O24" s="8" t="s">
        <v>49</v>
      </c>
      <c r="P24" s="13" t="s">
        <v>50</v>
      </c>
      <c r="Q24" s="35"/>
      <c r="R24" s="40">
        <f>10000</f>
        <v>10000</v>
      </c>
      <c r="S24" s="189" cm="1">
        <f t="array" ref="S24">_xlfn.IFS(R24&gt;17000,R24*50%,R24&lt;10500,R24*20%,R24&lt;17000,R24*40%)</f>
        <v>2000</v>
      </c>
      <c r="T24" s="189">
        <v>1600</v>
      </c>
      <c r="U24" s="189">
        <f t="shared" si="0"/>
        <v>833</v>
      </c>
      <c r="V24" s="41">
        <f>8043+924</f>
        <v>8967</v>
      </c>
      <c r="W24" s="189">
        <f t="shared" si="1"/>
        <v>1800</v>
      </c>
      <c r="X24" s="189">
        <f t="shared" si="2"/>
        <v>1800</v>
      </c>
      <c r="Y24" s="28">
        <f t="shared" si="3"/>
        <v>0</v>
      </c>
      <c r="Z24" s="29">
        <f t="shared" si="4"/>
        <v>27000</v>
      </c>
      <c r="AA24" s="29">
        <f t="shared" si="5"/>
        <v>1800</v>
      </c>
      <c r="AB24" s="29">
        <f t="shared" si="6"/>
        <v>1800</v>
      </c>
      <c r="AC24" s="29">
        <f t="shared" si="7"/>
        <v>0</v>
      </c>
      <c r="AD24" s="29">
        <f t="shared" si="8"/>
        <v>0</v>
      </c>
      <c r="AE24" s="29">
        <f t="shared" si="9"/>
        <v>200</v>
      </c>
      <c r="AF24" s="30">
        <f t="shared" si="10"/>
        <v>23200</v>
      </c>
      <c r="AG24" s="29">
        <f t="shared" si="11"/>
        <v>27000</v>
      </c>
      <c r="AH24" s="38">
        <f t="shared" si="12"/>
        <v>324000</v>
      </c>
      <c r="AI24" s="321"/>
      <c r="AJ24" s="298">
        <v>23099</v>
      </c>
      <c r="AK24" s="128">
        <v>27000</v>
      </c>
      <c r="AL24" s="204"/>
      <c r="AM24" s="128"/>
      <c r="AN24" s="128"/>
      <c r="AO24" s="128"/>
      <c r="AP24" s="128"/>
    </row>
    <row r="25" spans="1:42" s="33" customFormat="1" ht="25.2" customHeight="1" x14ac:dyDescent="0.3">
      <c r="A25" s="64">
        <v>21</v>
      </c>
      <c r="B25" s="70" t="s">
        <v>127</v>
      </c>
      <c r="C25" s="70"/>
      <c r="D25" s="81" t="s">
        <v>165</v>
      </c>
      <c r="E25" s="70" t="s">
        <v>56</v>
      </c>
      <c r="F25" s="70" t="s">
        <v>57</v>
      </c>
      <c r="G25" s="70" t="s">
        <v>86</v>
      </c>
      <c r="H25" s="71">
        <v>45202</v>
      </c>
      <c r="I25" s="70" t="s">
        <v>51</v>
      </c>
      <c r="J25" s="72">
        <v>101349756741</v>
      </c>
      <c r="K25" s="63" t="s">
        <v>87</v>
      </c>
      <c r="L25" s="77"/>
      <c r="M25" s="55" t="s">
        <v>48</v>
      </c>
      <c r="N25" s="218"/>
      <c r="O25" s="12" t="s">
        <v>49</v>
      </c>
      <c r="P25" s="13" t="s">
        <v>50</v>
      </c>
      <c r="Q25" s="35"/>
      <c r="R25" s="40">
        <v>11500</v>
      </c>
      <c r="S25" s="189" cm="1">
        <f t="array" ref="S25">_xlfn.IFS(R25&gt;17000,R25*50%,R25&lt;10500,R25*20%,R25&lt;17000,R25*40%)</f>
        <v>4600</v>
      </c>
      <c r="T25" s="189">
        <v>1600</v>
      </c>
      <c r="U25" s="189">
        <f t="shared" si="0"/>
        <v>958</v>
      </c>
      <c r="V25" s="41">
        <v>12742</v>
      </c>
      <c r="W25" s="189">
        <f t="shared" si="1"/>
        <v>1800</v>
      </c>
      <c r="X25" s="189">
        <f t="shared" si="2"/>
        <v>1800</v>
      </c>
      <c r="Y25" s="28">
        <f t="shared" si="3"/>
        <v>0</v>
      </c>
      <c r="Z25" s="29">
        <f t="shared" si="4"/>
        <v>35000</v>
      </c>
      <c r="AA25" s="29">
        <f t="shared" si="5"/>
        <v>1800</v>
      </c>
      <c r="AB25" s="29">
        <f t="shared" si="6"/>
        <v>1800</v>
      </c>
      <c r="AC25" s="29">
        <f t="shared" si="7"/>
        <v>0</v>
      </c>
      <c r="AD25" s="29">
        <f t="shared" si="8"/>
        <v>0</v>
      </c>
      <c r="AE25" s="29">
        <f t="shared" si="9"/>
        <v>200</v>
      </c>
      <c r="AF25" s="42">
        <f t="shared" si="10"/>
        <v>31200</v>
      </c>
      <c r="AG25" s="43">
        <f t="shared" si="11"/>
        <v>35000</v>
      </c>
      <c r="AH25" s="44">
        <f t="shared" si="12"/>
        <v>420000</v>
      </c>
      <c r="AI25" s="321"/>
      <c r="AJ25" s="128">
        <v>35000</v>
      </c>
      <c r="AK25" s="128">
        <v>35000</v>
      </c>
      <c r="AL25" s="204"/>
      <c r="AM25" s="128"/>
      <c r="AN25" s="128"/>
      <c r="AO25" s="128"/>
      <c r="AP25" s="128"/>
    </row>
    <row r="26" spans="1:42" s="33" customFormat="1" ht="25.2" customHeight="1" x14ac:dyDescent="0.3">
      <c r="A26" s="64">
        <v>22</v>
      </c>
      <c r="B26" s="70" t="s">
        <v>128</v>
      </c>
      <c r="C26" s="70"/>
      <c r="D26" s="81" t="s">
        <v>166</v>
      </c>
      <c r="E26" s="70" t="s">
        <v>56</v>
      </c>
      <c r="F26" s="70" t="s">
        <v>57</v>
      </c>
      <c r="G26" s="70" t="s">
        <v>86</v>
      </c>
      <c r="H26" s="71">
        <v>45215</v>
      </c>
      <c r="I26" s="70" t="s">
        <v>51</v>
      </c>
      <c r="J26" s="72">
        <v>101315235480</v>
      </c>
      <c r="K26" s="72" t="s">
        <v>87</v>
      </c>
      <c r="L26" s="63"/>
      <c r="M26" s="55" t="s">
        <v>48</v>
      </c>
      <c r="N26" s="218"/>
      <c r="O26" s="12" t="s">
        <v>49</v>
      </c>
      <c r="P26" s="13" t="s">
        <v>50</v>
      </c>
      <c r="Q26" s="35"/>
      <c r="R26" s="40">
        <v>11500</v>
      </c>
      <c r="S26" s="189" cm="1">
        <f t="array" ref="S26">_xlfn.IFS(R26&gt;17000,R26*50%,R26&lt;10500,R26*20%,R26&lt;17000,R26*40%)</f>
        <v>4600</v>
      </c>
      <c r="T26" s="189">
        <v>1600</v>
      </c>
      <c r="U26" s="189">
        <f t="shared" si="0"/>
        <v>958</v>
      </c>
      <c r="V26" s="41">
        <f>9542</f>
        <v>9542</v>
      </c>
      <c r="W26" s="189">
        <f t="shared" si="1"/>
        <v>1800</v>
      </c>
      <c r="X26" s="189">
        <f t="shared" si="2"/>
        <v>1800</v>
      </c>
      <c r="Y26" s="28">
        <f t="shared" si="3"/>
        <v>0</v>
      </c>
      <c r="Z26" s="29">
        <f t="shared" si="4"/>
        <v>31800</v>
      </c>
      <c r="AA26" s="29">
        <f t="shared" si="5"/>
        <v>1800</v>
      </c>
      <c r="AB26" s="29">
        <f t="shared" si="6"/>
        <v>1800</v>
      </c>
      <c r="AC26" s="29">
        <f t="shared" si="7"/>
        <v>0</v>
      </c>
      <c r="AD26" s="29">
        <f t="shared" si="8"/>
        <v>0</v>
      </c>
      <c r="AE26" s="29">
        <f t="shared" si="9"/>
        <v>200</v>
      </c>
      <c r="AF26" s="30">
        <f t="shared" si="10"/>
        <v>28000</v>
      </c>
      <c r="AG26" s="29">
        <f t="shared" si="11"/>
        <v>31800</v>
      </c>
      <c r="AH26" s="38">
        <f t="shared" si="12"/>
        <v>381600</v>
      </c>
      <c r="AI26" s="321"/>
      <c r="AJ26" s="128">
        <v>31800</v>
      </c>
      <c r="AK26" s="128">
        <v>31800</v>
      </c>
      <c r="AL26" s="204"/>
      <c r="AM26" s="128"/>
      <c r="AN26" s="128"/>
      <c r="AO26" s="128"/>
      <c r="AP26" s="128"/>
    </row>
    <row r="27" spans="1:42" s="33" customFormat="1" ht="25.2" customHeight="1" x14ac:dyDescent="0.3">
      <c r="A27" s="64">
        <v>23</v>
      </c>
      <c r="B27" s="70" t="s">
        <v>129</v>
      </c>
      <c r="C27" s="70"/>
      <c r="D27" s="70" t="s">
        <v>166</v>
      </c>
      <c r="E27" s="70" t="s">
        <v>167</v>
      </c>
      <c r="F27" s="70" t="s">
        <v>157</v>
      </c>
      <c r="G27" s="70" t="s">
        <v>54</v>
      </c>
      <c r="H27" s="71">
        <v>45271</v>
      </c>
      <c r="I27" s="70" t="s">
        <v>51</v>
      </c>
      <c r="J27" s="80">
        <v>102032578055</v>
      </c>
      <c r="K27" s="78" t="s">
        <v>87</v>
      </c>
      <c r="L27" s="78" t="s">
        <v>168</v>
      </c>
      <c r="M27" s="55" t="s">
        <v>48</v>
      </c>
      <c r="N27" s="218"/>
      <c r="O27" s="12" t="s">
        <v>49</v>
      </c>
      <c r="P27" s="13" t="s">
        <v>50</v>
      </c>
      <c r="Q27" s="35"/>
      <c r="R27" s="40">
        <v>15000</v>
      </c>
      <c r="S27" s="189" cm="1">
        <f t="array" ref="S27">_xlfn.IFS(R27&gt;17000,R27*50%,R27&lt;10500,R27*20%,R27&lt;17000,R27*40%)</f>
        <v>6000</v>
      </c>
      <c r="T27" s="189">
        <v>1600</v>
      </c>
      <c r="U27" s="189">
        <f t="shared" si="0"/>
        <v>1250</v>
      </c>
      <c r="V27" s="41">
        <f>47550</f>
        <v>47550</v>
      </c>
      <c r="W27" s="189">
        <f t="shared" si="1"/>
        <v>1800</v>
      </c>
      <c r="X27" s="189">
        <f t="shared" si="2"/>
        <v>1800</v>
      </c>
      <c r="Y27" s="28">
        <f t="shared" si="3"/>
        <v>0</v>
      </c>
      <c r="Z27" s="29">
        <f t="shared" si="4"/>
        <v>75000</v>
      </c>
      <c r="AA27" s="29">
        <f t="shared" si="5"/>
        <v>1800</v>
      </c>
      <c r="AB27" s="29">
        <f t="shared" si="6"/>
        <v>1800</v>
      </c>
      <c r="AC27" s="29">
        <f t="shared" si="7"/>
        <v>0</v>
      </c>
      <c r="AD27" s="29">
        <f t="shared" si="8"/>
        <v>0</v>
      </c>
      <c r="AE27" s="29">
        <f t="shared" si="9"/>
        <v>200</v>
      </c>
      <c r="AF27" s="30">
        <f t="shared" si="10"/>
        <v>71200</v>
      </c>
      <c r="AG27" s="29">
        <f t="shared" si="11"/>
        <v>75000</v>
      </c>
      <c r="AH27" s="38">
        <f t="shared" si="12"/>
        <v>900000</v>
      </c>
      <c r="AI27" s="321"/>
      <c r="AJ27" s="128">
        <v>75000</v>
      </c>
      <c r="AK27" s="128">
        <v>75000</v>
      </c>
      <c r="AL27" s="204"/>
      <c r="AM27" s="128"/>
      <c r="AN27" s="128"/>
      <c r="AO27" s="128"/>
      <c r="AP27" s="128"/>
    </row>
    <row r="28" spans="1:42" s="33" customFormat="1" ht="25.2" customHeight="1" x14ac:dyDescent="0.3">
      <c r="A28" s="64">
        <v>24</v>
      </c>
      <c r="B28" s="70" t="s">
        <v>130</v>
      </c>
      <c r="C28" s="70"/>
      <c r="D28" s="70" t="s">
        <v>169</v>
      </c>
      <c r="E28" s="70" t="s">
        <v>167</v>
      </c>
      <c r="F28" s="70" t="s">
        <v>157</v>
      </c>
      <c r="G28" s="70" t="s">
        <v>54</v>
      </c>
      <c r="H28" s="66">
        <v>45271</v>
      </c>
      <c r="I28" s="65" t="s">
        <v>51</v>
      </c>
      <c r="J28" s="80">
        <v>101906330962</v>
      </c>
      <c r="K28" s="78" t="s">
        <v>87</v>
      </c>
      <c r="L28" s="69" t="s">
        <v>170</v>
      </c>
      <c r="M28" s="55" t="s">
        <v>48</v>
      </c>
      <c r="N28" s="219"/>
      <c r="O28" s="12" t="s">
        <v>49</v>
      </c>
      <c r="P28" s="13" t="s">
        <v>50</v>
      </c>
      <c r="Q28" s="39"/>
      <c r="R28" s="40">
        <v>15000</v>
      </c>
      <c r="S28" s="189" cm="1">
        <f t="array" ref="S28">_xlfn.IFS(R28&gt;17000,R28*50%,R28&lt;10500,R28*20%,R28&lt;17000,R28*40%)</f>
        <v>6000</v>
      </c>
      <c r="T28" s="189">
        <v>1600</v>
      </c>
      <c r="U28" s="189">
        <f t="shared" si="0"/>
        <v>1250</v>
      </c>
      <c r="V28" s="41">
        <f>43550</f>
        <v>43550</v>
      </c>
      <c r="W28" s="189">
        <f t="shared" si="1"/>
        <v>1800</v>
      </c>
      <c r="X28" s="189">
        <f t="shared" si="2"/>
        <v>1800</v>
      </c>
      <c r="Y28" s="28">
        <f t="shared" si="3"/>
        <v>0</v>
      </c>
      <c r="Z28" s="29">
        <f t="shared" si="4"/>
        <v>71000</v>
      </c>
      <c r="AA28" s="29">
        <f t="shared" si="5"/>
        <v>1800</v>
      </c>
      <c r="AB28" s="29">
        <f t="shared" si="6"/>
        <v>1800</v>
      </c>
      <c r="AC28" s="29">
        <f t="shared" si="7"/>
        <v>0</v>
      </c>
      <c r="AD28" s="29">
        <f t="shared" si="8"/>
        <v>0</v>
      </c>
      <c r="AE28" s="29">
        <f t="shared" si="9"/>
        <v>200</v>
      </c>
      <c r="AF28" s="30">
        <f t="shared" si="10"/>
        <v>67200</v>
      </c>
      <c r="AG28" s="29">
        <f t="shared" si="11"/>
        <v>71000</v>
      </c>
      <c r="AH28" s="38">
        <f t="shared" si="12"/>
        <v>852000</v>
      </c>
      <c r="AI28" s="321"/>
      <c r="AJ28" s="128">
        <v>71000</v>
      </c>
      <c r="AK28" s="128">
        <v>71000</v>
      </c>
      <c r="AL28" s="204"/>
      <c r="AM28" s="128"/>
      <c r="AN28" s="128"/>
      <c r="AO28" s="128"/>
      <c r="AP28" s="128"/>
    </row>
    <row r="29" spans="1:42" s="33" customFormat="1" ht="25.2" customHeight="1" x14ac:dyDescent="0.3">
      <c r="A29" s="75">
        <v>25</v>
      </c>
      <c r="B29" s="70" t="s">
        <v>131</v>
      </c>
      <c r="C29" s="70"/>
      <c r="D29" s="70" t="s">
        <v>171</v>
      </c>
      <c r="E29" s="65" t="s">
        <v>172</v>
      </c>
      <c r="F29" s="70" t="s">
        <v>173</v>
      </c>
      <c r="G29" s="70" t="s">
        <v>85</v>
      </c>
      <c r="H29" s="66">
        <v>45293</v>
      </c>
      <c r="I29" s="65" t="s">
        <v>47</v>
      </c>
      <c r="J29" s="80">
        <v>100179202231</v>
      </c>
      <c r="K29" s="78" t="s">
        <v>174</v>
      </c>
      <c r="L29" s="69" t="s">
        <v>175</v>
      </c>
      <c r="M29" s="55" t="s">
        <v>48</v>
      </c>
      <c r="N29" s="219"/>
      <c r="O29" s="46" t="s">
        <v>49</v>
      </c>
      <c r="P29" s="47" t="s">
        <v>50</v>
      </c>
      <c r="Q29" s="39"/>
      <c r="R29" s="40">
        <v>10000</v>
      </c>
      <c r="S29" s="189" cm="1">
        <f t="array" ref="S29">_xlfn.IFS(R29&gt;17000,R29*50%,R29&lt;10500,R29*20%,R29&lt;17000,R29*40%)</f>
        <v>2000</v>
      </c>
      <c r="T29" s="189">
        <v>1600</v>
      </c>
      <c r="U29" s="189">
        <f t="shared" si="0"/>
        <v>833</v>
      </c>
      <c r="V29" s="41">
        <f>12967</f>
        <v>12967</v>
      </c>
      <c r="W29" s="189">
        <f t="shared" si="1"/>
        <v>1800</v>
      </c>
      <c r="X29" s="189">
        <f t="shared" si="2"/>
        <v>1800</v>
      </c>
      <c r="Y29" s="28">
        <f t="shared" si="3"/>
        <v>0</v>
      </c>
      <c r="Z29" s="29">
        <f t="shared" si="4"/>
        <v>31000</v>
      </c>
      <c r="AA29" s="29">
        <f t="shared" si="5"/>
        <v>1800</v>
      </c>
      <c r="AB29" s="29">
        <f t="shared" si="6"/>
        <v>1800</v>
      </c>
      <c r="AC29" s="29">
        <f t="shared" si="7"/>
        <v>0</v>
      </c>
      <c r="AD29" s="29">
        <f t="shared" si="8"/>
        <v>0</v>
      </c>
      <c r="AE29" s="29">
        <f t="shared" si="9"/>
        <v>200</v>
      </c>
      <c r="AF29" s="30">
        <f t="shared" si="10"/>
        <v>27200</v>
      </c>
      <c r="AG29" s="29">
        <f t="shared" si="11"/>
        <v>31000</v>
      </c>
      <c r="AH29" s="38">
        <f t="shared" si="12"/>
        <v>372000</v>
      </c>
      <c r="AI29" s="321"/>
      <c r="AJ29" s="128">
        <v>31000</v>
      </c>
      <c r="AK29" s="128">
        <v>31000</v>
      </c>
      <c r="AL29" s="204"/>
      <c r="AM29" s="128"/>
      <c r="AN29" s="128"/>
      <c r="AO29" s="128"/>
      <c r="AP29" s="128"/>
    </row>
    <row r="30" spans="1:42" s="33" customFormat="1" ht="25.2" customHeight="1" x14ac:dyDescent="0.3">
      <c r="A30" s="64">
        <v>26</v>
      </c>
      <c r="B30" s="70" t="s">
        <v>132</v>
      </c>
      <c r="C30" s="70"/>
      <c r="D30" s="70" t="s">
        <v>176</v>
      </c>
      <c r="E30" s="70" t="s">
        <v>177</v>
      </c>
      <c r="F30" s="70" t="s">
        <v>55</v>
      </c>
      <c r="G30" s="70" t="s">
        <v>98</v>
      </c>
      <c r="H30" s="66">
        <v>45384</v>
      </c>
      <c r="I30" s="65" t="s">
        <v>51</v>
      </c>
      <c r="J30" s="80" t="s">
        <v>178</v>
      </c>
      <c r="K30" s="78" t="s">
        <v>87</v>
      </c>
      <c r="L30" s="69" t="s">
        <v>87</v>
      </c>
      <c r="M30" s="55" t="s">
        <v>48</v>
      </c>
      <c r="N30" s="219"/>
      <c r="O30" s="46" t="s">
        <v>50</v>
      </c>
      <c r="P30" s="47" t="s">
        <v>50</v>
      </c>
      <c r="Q30" s="39"/>
      <c r="R30" s="40">
        <v>15000</v>
      </c>
      <c r="S30" s="189" cm="1">
        <f t="array" ref="S30">_xlfn.IFS(R30&gt;17000,R30*50%,R30&lt;10500,R30*20%,R30&lt;17000,R30*40%)</f>
        <v>6000</v>
      </c>
      <c r="T30" s="189">
        <v>1600</v>
      </c>
      <c r="U30" s="189">
        <f t="shared" si="0"/>
        <v>1250</v>
      </c>
      <c r="V30" s="41">
        <f>11150</f>
        <v>11150</v>
      </c>
      <c r="W30" s="189">
        <f t="shared" si="1"/>
        <v>0</v>
      </c>
      <c r="X30" s="189">
        <f t="shared" si="2"/>
        <v>0</v>
      </c>
      <c r="Y30" s="28">
        <f t="shared" si="3"/>
        <v>0</v>
      </c>
      <c r="Z30" s="29">
        <f t="shared" si="4"/>
        <v>35000</v>
      </c>
      <c r="AA30" s="29">
        <f t="shared" si="5"/>
        <v>0</v>
      </c>
      <c r="AB30" s="29">
        <f t="shared" si="6"/>
        <v>0</v>
      </c>
      <c r="AC30" s="29">
        <f t="shared" si="7"/>
        <v>0</v>
      </c>
      <c r="AD30" s="29">
        <f t="shared" si="8"/>
        <v>0</v>
      </c>
      <c r="AE30" s="29">
        <f t="shared" si="9"/>
        <v>200</v>
      </c>
      <c r="AF30" s="30">
        <f t="shared" si="10"/>
        <v>34800</v>
      </c>
      <c r="AG30" s="29">
        <f t="shared" si="11"/>
        <v>35000</v>
      </c>
      <c r="AH30" s="38">
        <f t="shared" si="12"/>
        <v>420000</v>
      </c>
      <c r="AI30" s="321"/>
      <c r="AJ30" s="128">
        <v>35000</v>
      </c>
      <c r="AK30" s="128">
        <v>35000</v>
      </c>
      <c r="AL30" s="204"/>
      <c r="AM30" s="128"/>
      <c r="AN30" s="128"/>
      <c r="AO30" s="128"/>
      <c r="AP30" s="128"/>
    </row>
    <row r="31" spans="1:42" s="45" customFormat="1" ht="25.2" customHeight="1" x14ac:dyDescent="0.3">
      <c r="A31" s="64">
        <v>27</v>
      </c>
      <c r="B31" s="70" t="s">
        <v>182</v>
      </c>
      <c r="C31" s="70"/>
      <c r="D31" s="70" t="s">
        <v>183</v>
      </c>
      <c r="E31" s="70" t="s">
        <v>184</v>
      </c>
      <c r="F31" s="70" t="s">
        <v>46</v>
      </c>
      <c r="G31" s="70" t="s">
        <v>85</v>
      </c>
      <c r="H31" s="66">
        <v>45444</v>
      </c>
      <c r="I31" s="70" t="s">
        <v>51</v>
      </c>
      <c r="J31" s="76">
        <v>102077286251</v>
      </c>
      <c r="K31" s="77" t="s">
        <v>87</v>
      </c>
      <c r="L31" s="77" t="s">
        <v>185</v>
      </c>
      <c r="M31" s="56" t="s">
        <v>48</v>
      </c>
      <c r="N31" s="218"/>
      <c r="O31" s="12" t="s">
        <v>49</v>
      </c>
      <c r="P31" s="13" t="s">
        <v>50</v>
      </c>
      <c r="Q31" s="35"/>
      <c r="R31" s="36">
        <v>10000</v>
      </c>
      <c r="S31" s="189" cm="1">
        <f t="array" ref="S31">_xlfn.IFS(R31&gt;17000,R31*50%,R31&lt;10500,R31*20%,R31&lt;17000,R31*40%)</f>
        <v>2000</v>
      </c>
      <c r="T31" s="189">
        <v>1600</v>
      </c>
      <c r="U31" s="189">
        <f t="shared" si="0"/>
        <v>833</v>
      </c>
      <c r="V31" s="41">
        <f>4967</f>
        <v>4967</v>
      </c>
      <c r="W31" s="189">
        <f t="shared" si="1"/>
        <v>1800</v>
      </c>
      <c r="X31" s="189">
        <f t="shared" si="2"/>
        <v>1800</v>
      </c>
      <c r="Y31" s="28">
        <f t="shared" si="3"/>
        <v>0</v>
      </c>
      <c r="Z31" s="29">
        <f t="shared" si="4"/>
        <v>23000</v>
      </c>
      <c r="AA31" s="29">
        <f t="shared" si="5"/>
        <v>1800</v>
      </c>
      <c r="AB31" s="29">
        <f t="shared" si="6"/>
        <v>1800</v>
      </c>
      <c r="AC31" s="29">
        <f t="shared" si="7"/>
        <v>0</v>
      </c>
      <c r="AD31" s="29">
        <f t="shared" si="8"/>
        <v>0</v>
      </c>
      <c r="AE31" s="29">
        <f t="shared" si="9"/>
        <v>200</v>
      </c>
      <c r="AF31" s="30">
        <f t="shared" si="10"/>
        <v>19200</v>
      </c>
      <c r="AG31" s="29">
        <f t="shared" si="11"/>
        <v>23000</v>
      </c>
      <c r="AH31" s="38">
        <f t="shared" si="12"/>
        <v>276000</v>
      </c>
      <c r="AI31" s="321"/>
      <c r="AJ31" s="128">
        <v>23000</v>
      </c>
      <c r="AK31" s="128">
        <v>23000</v>
      </c>
      <c r="AL31" s="204"/>
      <c r="AM31" s="128"/>
      <c r="AN31" s="128"/>
      <c r="AO31" s="128"/>
      <c r="AP31" s="128"/>
    </row>
    <row r="32" spans="1:42" s="33" customFormat="1" ht="25.2" customHeight="1" x14ac:dyDescent="0.3">
      <c r="A32" s="64">
        <v>28</v>
      </c>
      <c r="B32" s="70" t="s">
        <v>229</v>
      </c>
      <c r="C32" s="70"/>
      <c r="D32" s="70" t="s">
        <v>171</v>
      </c>
      <c r="E32" s="70" t="s">
        <v>136</v>
      </c>
      <c r="F32" s="70" t="s">
        <v>46</v>
      </c>
      <c r="G32" s="70" t="s">
        <v>85</v>
      </c>
      <c r="H32" s="71">
        <v>45389</v>
      </c>
      <c r="I32" s="70" t="s">
        <v>51</v>
      </c>
      <c r="J32" s="76">
        <v>102011734457</v>
      </c>
      <c r="K32" s="78"/>
      <c r="L32" s="77" t="s">
        <v>230</v>
      </c>
      <c r="M32" s="55" t="s">
        <v>48</v>
      </c>
      <c r="N32" s="219"/>
      <c r="O32" s="12" t="s">
        <v>49</v>
      </c>
      <c r="P32" s="13" t="s">
        <v>49</v>
      </c>
      <c r="Q32" s="39"/>
      <c r="R32" s="40">
        <v>10000</v>
      </c>
      <c r="S32" s="189" cm="1">
        <f t="array" ref="S32">_xlfn.IFS(R32&gt;17000,R32*50%,R32&lt;10500,R32*20%,R32&lt;17000,R32*40%)</f>
        <v>2000</v>
      </c>
      <c r="T32" s="189">
        <v>1600</v>
      </c>
      <c r="U32" s="189">
        <f t="shared" si="0"/>
        <v>833</v>
      </c>
      <c r="V32" s="41">
        <v>1317</v>
      </c>
      <c r="W32" s="189">
        <v>1800</v>
      </c>
      <c r="X32" s="189">
        <v>1800</v>
      </c>
      <c r="Y32" s="28">
        <v>650</v>
      </c>
      <c r="Z32" s="29">
        <f t="shared" si="4"/>
        <v>20000</v>
      </c>
      <c r="AA32" s="29">
        <f t="shared" si="5"/>
        <v>1800</v>
      </c>
      <c r="AB32" s="29">
        <f t="shared" si="6"/>
        <v>1800</v>
      </c>
      <c r="AC32" s="29">
        <f t="shared" si="7"/>
        <v>150</v>
      </c>
      <c r="AD32" s="29">
        <f t="shared" si="8"/>
        <v>650</v>
      </c>
      <c r="AE32" s="29">
        <f t="shared" si="9"/>
        <v>200</v>
      </c>
      <c r="AF32" s="30">
        <f t="shared" si="10"/>
        <v>15400</v>
      </c>
      <c r="AG32" s="29">
        <f t="shared" si="11"/>
        <v>20000</v>
      </c>
      <c r="AH32" s="38">
        <f t="shared" si="12"/>
        <v>240000</v>
      </c>
      <c r="AI32" s="321"/>
      <c r="AJ32" s="128"/>
      <c r="AK32" s="128"/>
      <c r="AL32" s="204"/>
      <c r="AM32" s="128"/>
      <c r="AN32" s="128"/>
      <c r="AO32" s="128"/>
      <c r="AP32" s="128"/>
    </row>
    <row r="33" spans="1:42" s="45" customFormat="1" ht="25.2" customHeight="1" x14ac:dyDescent="0.3">
      <c r="A33" s="75">
        <v>29</v>
      </c>
      <c r="B33" s="70"/>
      <c r="C33" s="70"/>
      <c r="D33" s="70"/>
      <c r="E33" s="70"/>
      <c r="F33" s="70"/>
      <c r="G33" s="70"/>
      <c r="H33" s="66"/>
      <c r="I33" s="70"/>
      <c r="J33" s="76"/>
      <c r="K33" s="77"/>
      <c r="L33" s="77"/>
      <c r="M33" s="56"/>
      <c r="N33" s="218"/>
      <c r="O33" s="12"/>
      <c r="P33" s="13"/>
      <c r="Q33" s="35"/>
      <c r="R33" s="36"/>
      <c r="S33" s="189" cm="1">
        <f t="array" ref="S33">_xlfn.IFS(R33&gt;17000,R33*50%,R33&lt;10500,R33*20%,R33&lt;17000,R33*40%)</f>
        <v>0</v>
      </c>
      <c r="T33" s="189"/>
      <c r="U33" s="189">
        <f t="shared" si="0"/>
        <v>0</v>
      </c>
      <c r="V33" s="41"/>
      <c r="W33" s="189">
        <f t="shared" si="1"/>
        <v>0</v>
      </c>
      <c r="X33" s="189">
        <f t="shared" si="2"/>
        <v>0</v>
      </c>
      <c r="Y33" s="28">
        <f t="shared" si="3"/>
        <v>0</v>
      </c>
      <c r="Z33" s="29">
        <f t="shared" ref="Z33:Z36" si="13">ROUND(SUM(R33:Y33),0)</f>
        <v>0</v>
      </c>
      <c r="AA33" s="29">
        <f t="shared" ref="AA33:AA36" si="14">ROUND(IF(O33="Yes",IF((Z33-S33)&gt;15000,1800,SUM(Z33-S33)*12%),),)</f>
        <v>0</v>
      </c>
      <c r="AB33" s="29">
        <f t="shared" ref="AB33:AB36" si="15">IF(B33="Sagar Kadam",0,IF(B33="Rahul Jadhav",0,ROUND(IF(O33="Yes",IF((Z33-S33)&gt;15000,1800,SUM(Z33-S33)*12%),),)))</f>
        <v>0</v>
      </c>
      <c r="AC33" s="29">
        <f t="shared" ref="AC33:AC36" si="16">ROUND(IF(P33="Yes",Z33*0.75%,0),0)</f>
        <v>0</v>
      </c>
      <c r="AD33" s="29">
        <f t="shared" ref="AD33:AD36" si="17">IF(B33="Sagar Kadam",0,IF(B33="Rahul Jadhav",0,ROUND(IF(P33="Yes",Z33*3.25%,0),0)))</f>
        <v>0</v>
      </c>
      <c r="AE33" s="29">
        <f t="shared" ref="AE33:AE36" si="18">IF(I33="Female",IF(Z33&gt;24999,200,0),IF(Z33&gt;7500,200,0))</f>
        <v>0</v>
      </c>
      <c r="AF33" s="30">
        <f t="shared" ref="AF33:AF36" si="19">ROUND(Z33-SUM(AA33:AE33),0)</f>
        <v>0</v>
      </c>
      <c r="AG33" s="29">
        <f t="shared" ref="AG33:AG36" si="20">ROUND(Z33,0)</f>
        <v>0</v>
      </c>
      <c r="AH33" s="38">
        <f t="shared" ref="AH33:AH36" si="21">AG33*12</f>
        <v>0</v>
      </c>
      <c r="AI33" s="321"/>
      <c r="AJ33" s="128"/>
      <c r="AK33" s="128"/>
      <c r="AL33" s="204"/>
      <c r="AM33" s="128"/>
      <c r="AN33" s="128"/>
      <c r="AO33" s="128"/>
      <c r="AP33" s="128"/>
    </row>
    <row r="34" spans="1:42" s="33" customFormat="1" ht="25.2" customHeight="1" x14ac:dyDescent="0.3">
      <c r="A34" s="64">
        <v>30</v>
      </c>
      <c r="B34" s="70"/>
      <c r="C34" s="70"/>
      <c r="D34" s="70"/>
      <c r="E34" s="70"/>
      <c r="F34" s="70"/>
      <c r="G34" s="70"/>
      <c r="H34" s="71"/>
      <c r="I34" s="70"/>
      <c r="J34" s="76"/>
      <c r="K34" s="78"/>
      <c r="L34" s="77"/>
      <c r="M34" s="55"/>
      <c r="N34" s="219"/>
      <c r="O34" s="12"/>
      <c r="P34" s="13"/>
      <c r="Q34" s="39"/>
      <c r="R34" s="40"/>
      <c r="S34" s="189" cm="1">
        <f t="array" ref="S34">_xlfn.IFS(R34&gt;17000,R34*50%,R34&lt;10500,R34*20%,R34&lt;17000,R34*40%)</f>
        <v>0</v>
      </c>
      <c r="T34" s="189"/>
      <c r="U34" s="189">
        <f t="shared" si="0"/>
        <v>0</v>
      </c>
      <c r="V34" s="41"/>
      <c r="W34" s="189">
        <f t="shared" si="1"/>
        <v>0</v>
      </c>
      <c r="X34" s="189">
        <f t="shared" si="2"/>
        <v>0</v>
      </c>
      <c r="Y34" s="28">
        <f t="shared" si="3"/>
        <v>0</v>
      </c>
      <c r="Z34" s="29">
        <f t="shared" si="13"/>
        <v>0</v>
      </c>
      <c r="AA34" s="29">
        <f t="shared" si="14"/>
        <v>0</v>
      </c>
      <c r="AB34" s="29">
        <f t="shared" si="15"/>
        <v>0</v>
      </c>
      <c r="AC34" s="29">
        <f t="shared" si="16"/>
        <v>0</v>
      </c>
      <c r="AD34" s="29">
        <f t="shared" si="17"/>
        <v>0</v>
      </c>
      <c r="AE34" s="29">
        <f t="shared" si="18"/>
        <v>0</v>
      </c>
      <c r="AF34" s="30">
        <f t="shared" si="19"/>
        <v>0</v>
      </c>
      <c r="AG34" s="29">
        <f t="shared" si="20"/>
        <v>0</v>
      </c>
      <c r="AH34" s="38">
        <f t="shared" si="21"/>
        <v>0</v>
      </c>
      <c r="AI34" s="321"/>
      <c r="AJ34" s="128"/>
      <c r="AK34" s="128"/>
      <c r="AL34" s="204"/>
      <c r="AM34" s="128"/>
      <c r="AN34" s="128"/>
      <c r="AO34" s="128"/>
      <c r="AP34" s="128"/>
    </row>
    <row r="35" spans="1:42" s="33" customFormat="1" ht="25.2" customHeight="1" x14ac:dyDescent="0.3">
      <c r="A35" s="64">
        <v>31</v>
      </c>
      <c r="B35" s="70"/>
      <c r="C35" s="70"/>
      <c r="D35" s="70"/>
      <c r="E35" s="70"/>
      <c r="F35" s="70"/>
      <c r="G35" s="70"/>
      <c r="H35" s="71"/>
      <c r="I35" s="70"/>
      <c r="J35" s="76"/>
      <c r="K35" s="78"/>
      <c r="L35" s="77"/>
      <c r="M35" s="56"/>
      <c r="N35" s="217"/>
      <c r="O35" s="12"/>
      <c r="P35" s="13"/>
      <c r="Q35" s="35"/>
      <c r="R35" s="40"/>
      <c r="S35" s="189" cm="1">
        <f t="array" ref="S35">_xlfn.IFS(R35&gt;17000,R35*50%,R35&lt;10500,R35*20%,R35&lt;17000,R35*40%)</f>
        <v>0</v>
      </c>
      <c r="T35" s="41"/>
      <c r="U35" s="189">
        <f>ROUND(R35/12,0)</f>
        <v>0</v>
      </c>
      <c r="V35" s="41"/>
      <c r="W35" s="189">
        <f t="shared" si="1"/>
        <v>0</v>
      </c>
      <c r="X35" s="189">
        <f t="shared" si="2"/>
        <v>0</v>
      </c>
      <c r="Y35" s="28">
        <f t="shared" si="3"/>
        <v>0</v>
      </c>
      <c r="Z35" s="29">
        <f t="shared" si="13"/>
        <v>0</v>
      </c>
      <c r="AA35" s="29">
        <f t="shared" si="14"/>
        <v>0</v>
      </c>
      <c r="AB35" s="29">
        <f t="shared" si="15"/>
        <v>0</v>
      </c>
      <c r="AC35" s="29">
        <f t="shared" si="16"/>
        <v>0</v>
      </c>
      <c r="AD35" s="29">
        <f t="shared" si="17"/>
        <v>0</v>
      </c>
      <c r="AE35" s="29">
        <f t="shared" si="18"/>
        <v>0</v>
      </c>
      <c r="AF35" s="30">
        <f t="shared" si="19"/>
        <v>0</v>
      </c>
      <c r="AG35" s="29">
        <f t="shared" si="20"/>
        <v>0</v>
      </c>
      <c r="AH35" s="38">
        <f t="shared" si="21"/>
        <v>0</v>
      </c>
      <c r="AI35" s="322"/>
      <c r="AJ35" s="128">
        <v>0</v>
      </c>
      <c r="AK35" s="128"/>
      <c r="AL35" s="204"/>
      <c r="AM35" s="128"/>
      <c r="AN35" s="128"/>
      <c r="AO35" s="128"/>
    </row>
    <row r="36" spans="1:42" s="33" customFormat="1" ht="25.2" customHeight="1" x14ac:dyDescent="0.3">
      <c r="A36" s="64">
        <v>32</v>
      </c>
      <c r="B36" s="70"/>
      <c r="C36" s="65"/>
      <c r="D36" s="70"/>
      <c r="E36" s="70"/>
      <c r="F36" s="70"/>
      <c r="G36" s="70"/>
      <c r="H36" s="66"/>
      <c r="I36" s="70"/>
      <c r="J36" s="76"/>
      <c r="K36" s="78"/>
      <c r="L36" s="77"/>
      <c r="M36" s="56"/>
      <c r="N36" s="219"/>
      <c r="O36" s="46"/>
      <c r="P36" s="47"/>
      <c r="Q36" s="39"/>
      <c r="R36" s="40"/>
      <c r="S36" s="189" cm="1">
        <f t="array" ref="S36">_xlfn.IFS(R36&gt;17000,R36*50%,R36&lt;10500,R36*20%,R36&lt;17000,R36*40%)</f>
        <v>0</v>
      </c>
      <c r="T36" s="41"/>
      <c r="U36" s="189">
        <f>ROUND(R36/12,0)</f>
        <v>0</v>
      </c>
      <c r="V36" s="41"/>
      <c r="W36" s="189">
        <f t="shared" si="1"/>
        <v>0</v>
      </c>
      <c r="X36" s="189">
        <f t="shared" si="2"/>
        <v>0</v>
      </c>
      <c r="Y36" s="28">
        <f t="shared" si="3"/>
        <v>0</v>
      </c>
      <c r="Z36" s="29">
        <f t="shared" si="13"/>
        <v>0</v>
      </c>
      <c r="AA36" s="29">
        <f t="shared" si="14"/>
        <v>0</v>
      </c>
      <c r="AB36" s="29">
        <f t="shared" si="15"/>
        <v>0</v>
      </c>
      <c r="AC36" s="29">
        <f t="shared" si="16"/>
        <v>0</v>
      </c>
      <c r="AD36" s="29">
        <f t="shared" si="17"/>
        <v>0</v>
      </c>
      <c r="AE36" s="29">
        <f t="shared" si="18"/>
        <v>0</v>
      </c>
      <c r="AF36" s="30">
        <f t="shared" si="19"/>
        <v>0</v>
      </c>
      <c r="AG36" s="29">
        <f t="shared" si="20"/>
        <v>0</v>
      </c>
      <c r="AH36" s="38">
        <f t="shared" si="21"/>
        <v>0</v>
      </c>
      <c r="AI36" s="322"/>
      <c r="AJ36" s="128"/>
      <c r="AK36" s="128"/>
      <c r="AL36" s="204"/>
      <c r="AM36" s="128"/>
      <c r="AN36" s="128"/>
      <c r="AO36" s="128"/>
    </row>
    <row r="37" spans="1:42" s="33" customFormat="1" ht="25.2" customHeight="1" x14ac:dyDescent="0.3">
      <c r="A37" s="64">
        <v>33</v>
      </c>
      <c r="B37" s="70"/>
      <c r="C37" s="70"/>
      <c r="D37" s="70"/>
      <c r="E37" s="70"/>
      <c r="F37" s="70"/>
      <c r="G37" s="70"/>
      <c r="H37" s="66"/>
      <c r="I37" s="65"/>
      <c r="J37" s="76"/>
      <c r="K37" s="78"/>
      <c r="L37" s="74"/>
      <c r="M37" s="56"/>
      <c r="N37" s="219"/>
      <c r="O37" s="46"/>
      <c r="P37" s="47"/>
      <c r="Q37" s="39"/>
      <c r="R37" s="40"/>
      <c r="S37" s="189" cm="1">
        <f t="array" ref="S37">_xlfn.IFS(R37&gt;17000,R37*50%,R37&lt;10500,R37*20%,R37&lt;17000,R37*40%)</f>
        <v>0</v>
      </c>
      <c r="T37" s="41"/>
      <c r="U37" s="189">
        <f>ROUND(R37/12,0)</f>
        <v>0</v>
      </c>
      <c r="V37" s="37"/>
      <c r="W37" s="189">
        <f t="shared" si="1"/>
        <v>0</v>
      </c>
      <c r="X37" s="189">
        <f t="shared" si="2"/>
        <v>0</v>
      </c>
      <c r="Y37" s="28">
        <f>IF(B37="Sagar Kadam",0,IF(B37="Rahul Jadhav",0,ROUND(IF(P37="Yes",AJ37*3.25%,0),0)))</f>
        <v>0</v>
      </c>
      <c r="Z37" s="29">
        <f>ROUND(SUM(R37:Y37),0)</f>
        <v>0</v>
      </c>
      <c r="AA37" s="29">
        <f>ROUND(IF(O37="Yes",IF((Z37-S37)&gt;15000,1800,SUM(Z37-S37)*12%),),)</f>
        <v>0</v>
      </c>
      <c r="AB37" s="29">
        <f>IF(B37="Sagar Kadam",0,IF(B37="Rahul Jadhav",0,ROUND(IF(O37="Yes",IF((Z37-S37)&gt;15000,1800,SUM(Z37-S37)*12%),),)))</f>
        <v>0</v>
      </c>
      <c r="AC37" s="29">
        <f>ROUND(IF(P37="Yes",Z37*0.75%,0),0)</f>
        <v>0</v>
      </c>
      <c r="AD37" s="29">
        <f>IF(B37="Sagar Kadam",0,IF(B37="Rahul Jadhav",0,ROUND(IF(P37="Yes",Z37*3.25%,0),0)))</f>
        <v>0</v>
      </c>
      <c r="AE37" s="29">
        <f>IF(I37="Female",IF(Z37&gt;24999,200,0),IF(Z37&gt;7500,200,0))</f>
        <v>0</v>
      </c>
      <c r="AF37" s="30">
        <f>ROUND(Z37-SUM(AA37:AE37),0)</f>
        <v>0</v>
      </c>
      <c r="AG37" s="29">
        <f>ROUND(Z37,0)</f>
        <v>0</v>
      </c>
      <c r="AH37" s="38">
        <f>AG37*12</f>
        <v>0</v>
      </c>
      <c r="AI37" s="322"/>
      <c r="AJ37" s="128"/>
      <c r="AK37" s="128"/>
      <c r="AL37" s="204"/>
      <c r="AM37" s="128"/>
      <c r="AN37" s="128"/>
      <c r="AO37" s="128"/>
    </row>
    <row r="38" spans="1:42" s="33" customFormat="1" ht="25.2" customHeight="1" x14ac:dyDescent="0.3">
      <c r="A38" s="64">
        <v>34</v>
      </c>
      <c r="B38" s="70"/>
      <c r="C38" s="70"/>
      <c r="D38" s="70"/>
      <c r="E38" s="70"/>
      <c r="F38" s="70"/>
      <c r="G38" s="70"/>
      <c r="H38" s="66"/>
      <c r="I38" s="65"/>
      <c r="J38" s="76"/>
      <c r="K38" s="78"/>
      <c r="L38" s="74"/>
      <c r="M38" s="56"/>
      <c r="N38" s="219"/>
      <c r="O38" s="46"/>
      <c r="P38" s="47"/>
      <c r="Q38" s="39"/>
      <c r="R38" s="40"/>
      <c r="S38" s="189" cm="1">
        <f t="array" ref="S38">_xlfn.IFS(R38&gt;17000,R38*50%,R38&lt;10500,R38*20%,R38&lt;17000,R38*40%)</f>
        <v>0</v>
      </c>
      <c r="T38" s="41"/>
      <c r="U38" s="189">
        <f>ROUND(R38/12,0)</f>
        <v>0</v>
      </c>
      <c r="V38" s="37"/>
      <c r="W38" s="189">
        <f t="shared" si="1"/>
        <v>0</v>
      </c>
      <c r="X38" s="189">
        <f t="shared" si="2"/>
        <v>0</v>
      </c>
      <c r="Y38" s="28">
        <f>IF(B38="Sagar Kadam",0,IF(B38="Rahul Jadhav",0,ROUND(IF(P38="Yes",AJ38*3.25%,0),0)))</f>
        <v>0</v>
      </c>
      <c r="Z38" s="29">
        <f>ROUND(SUM(R38:Y38),0)</f>
        <v>0</v>
      </c>
      <c r="AA38" s="29">
        <f>ROUND(IF(O38="Yes",IF((Z38-S38)&gt;15000,1800,SUM(Z38-S38)*12%),),)</f>
        <v>0</v>
      </c>
      <c r="AB38" s="29">
        <f>IF(B38="Sagar Kadam",0,IF(B38="Rahul Jadhav",0,ROUND(IF(O38="Yes",IF((Z38-S38)&gt;15000,1800,SUM(Z38-S38)*12%),),)))</f>
        <v>0</v>
      </c>
      <c r="AC38" s="29">
        <f>ROUND(IF(P38="Yes",Z38*0.75%,0),0)</f>
        <v>0</v>
      </c>
      <c r="AD38" s="29">
        <f>IF(B38="Sagar Kadam",0,IF(B38="Rahul Jadhav",0,ROUND(IF(P38="Yes",Z38*3.25%,0),0)))</f>
        <v>0</v>
      </c>
      <c r="AE38" s="29">
        <f>IF(I38="Female",IF(Z38&gt;24999,200,0),IF(Z38&gt;7500,200,0))</f>
        <v>0</v>
      </c>
      <c r="AF38" s="30">
        <f>ROUND(Z38-SUM(AA38:AE38),0)</f>
        <v>0</v>
      </c>
      <c r="AG38" s="29">
        <f>ROUND(Z38,0)</f>
        <v>0</v>
      </c>
      <c r="AH38" s="38">
        <f>AG38*12</f>
        <v>0</v>
      </c>
      <c r="AI38" s="322"/>
      <c r="AJ38" s="128"/>
      <c r="AK38" s="128"/>
      <c r="AL38" s="204"/>
      <c r="AM38" s="128"/>
      <c r="AN38" s="128"/>
      <c r="AO38" s="128"/>
    </row>
    <row r="39" spans="1:42" s="33" customFormat="1" ht="25.2" customHeight="1" thickBot="1" x14ac:dyDescent="0.35">
      <c r="A39" s="82">
        <v>35</v>
      </c>
      <c r="B39" s="83"/>
      <c r="C39" s="83"/>
      <c r="D39" s="83"/>
      <c r="E39" s="83"/>
      <c r="F39" s="83"/>
      <c r="G39" s="83"/>
      <c r="H39" s="192"/>
      <c r="I39" s="193"/>
      <c r="J39" s="84"/>
      <c r="K39" s="85"/>
      <c r="L39" s="194"/>
      <c r="M39" s="57"/>
      <c r="N39" s="220"/>
      <c r="O39" s="195"/>
      <c r="P39" s="197"/>
      <c r="Q39" s="196"/>
      <c r="R39" s="48"/>
      <c r="S39" s="189" cm="1">
        <f t="array" ref="S39">_xlfn.IFS(R39&gt;17000,R39*50%,R39&lt;10500,R39*20%,R39&lt;17000,R39*40%)</f>
        <v>0</v>
      </c>
      <c r="T39" s="49"/>
      <c r="U39" s="203">
        <f>ROUND(R39/12,0)</f>
        <v>0</v>
      </c>
      <c r="V39" s="49"/>
      <c r="W39" s="189">
        <f t="shared" si="1"/>
        <v>0</v>
      </c>
      <c r="X39" s="189">
        <f t="shared" si="2"/>
        <v>0</v>
      </c>
      <c r="Y39" s="28">
        <f>IF(B39="Sagar Kadam",0,IF(B39="Rahul Jadhav",0,ROUND(IF(P39="Yes",AJ39*3.25%,0),0)))</f>
        <v>0</v>
      </c>
      <c r="Z39" s="50">
        <f>ROUND(SUM(R39:Y39),0)</f>
        <v>0</v>
      </c>
      <c r="AA39" s="50">
        <f>ROUND(IF(O39="Yes",IF((Z39-S39)&gt;15000,1800,SUM(Z39-S39)*12%),),)</f>
        <v>0</v>
      </c>
      <c r="AB39" s="50">
        <f>IF(B39="Sagar Kadam",0,IF(B39="Rahul Jadhav",0,ROUND(IF(O39="Yes",IF((Z39-S39)&gt;15000,1800,SUM(Z39-S39)*12%),),)))</f>
        <v>0</v>
      </c>
      <c r="AC39" s="50">
        <f>ROUND(IF(P39="Yes",Z39*0.75%,0),0)</f>
        <v>0</v>
      </c>
      <c r="AD39" s="50">
        <f>IF(B39="Sagar Kadam",0,IF(B39="Rahul Jadhav",0,ROUND(IF(P39="Yes",Z39*3.25%,0),0)))</f>
        <v>0</v>
      </c>
      <c r="AE39" s="50">
        <f>IF(I39="Female",IF(Z39&gt;24999,200,0),IF(Z39&gt;7500,200,0))</f>
        <v>0</v>
      </c>
      <c r="AF39" s="50">
        <f>ROUND(Z39-SUM(AA39:AE39),0)</f>
        <v>0</v>
      </c>
      <c r="AG39" s="50">
        <f>ROUND(Z39,0)</f>
        <v>0</v>
      </c>
      <c r="AH39" s="51">
        <f>AG39*12</f>
        <v>0</v>
      </c>
      <c r="AI39" s="322"/>
      <c r="AJ39" s="128"/>
      <c r="AK39" s="128"/>
      <c r="AL39" s="204"/>
      <c r="AM39" s="128"/>
      <c r="AN39" s="128"/>
      <c r="AO39" s="128"/>
    </row>
    <row r="40" spans="1:42" x14ac:dyDescent="0.3">
      <c r="A40" s="15"/>
      <c r="B40" s="15"/>
      <c r="C40" s="15"/>
      <c r="D40" s="15"/>
      <c r="E40" s="15"/>
      <c r="F40" s="15"/>
      <c r="G40" s="15"/>
      <c r="H40" s="52"/>
      <c r="I40" s="15"/>
      <c r="J40" s="15"/>
      <c r="K40" s="15"/>
      <c r="L40" s="15"/>
      <c r="M40" s="15"/>
      <c r="N40" s="221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320"/>
    </row>
    <row r="41" spans="1:42" x14ac:dyDescent="0.3">
      <c r="A41" s="15"/>
      <c r="B41" s="15"/>
      <c r="C41" s="15"/>
      <c r="D41" s="15"/>
      <c r="E41" s="15"/>
      <c r="F41" s="15"/>
      <c r="G41" s="15"/>
      <c r="H41" s="52"/>
      <c r="I41" s="15"/>
      <c r="J41" s="15"/>
      <c r="K41" s="15"/>
      <c r="L41" s="15"/>
      <c r="M41" s="15"/>
      <c r="N41" s="221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320"/>
    </row>
  </sheetData>
  <sheetProtection algorithmName="SHA-512" hashValue="FlExUT2oFxFkLK2bv53wIasn2GTkmFcnW9edXymfvxvSC3QrYS5UlgZEuQbvsddUfyw3WhVnHAjNwx/rE+e3ew==" saltValue="0J4OyCjVMramX3UC/q871g==" spinCount="100000" sheet="1" insertRows="0" selectLockedCells="1"/>
  <protectedRanges>
    <protectedRange sqref="AJ34:AJ39 AJ32:AK32" name="Range1"/>
  </protectedRanges>
  <sortState xmlns:xlrd2="http://schemas.microsoft.com/office/spreadsheetml/2017/richdata2" ref="B5:AZ39">
    <sortCondition descending="1" ref="M5:M39"/>
    <sortCondition descending="1" ref="N5:N39"/>
    <sortCondition ref="H5:H39"/>
  </sortState>
  <dataConsolidate link="1"/>
  <mergeCells count="2">
    <mergeCell ref="A1:AH1"/>
    <mergeCell ref="A2:AH2"/>
  </mergeCells>
  <conditionalFormatting sqref="V1:V4 V40:V1048576">
    <cfRule type="cellIs" dxfId="41" priority="5" operator="lessThan">
      <formula>0</formula>
    </cfRule>
  </conditionalFormatting>
  <conditionalFormatting sqref="V5:V39">
    <cfRule type="cellIs" dxfId="40" priority="1" operator="lessThan">
      <formula>0</formula>
    </cfRule>
  </conditionalFormatting>
  <dataValidations count="5">
    <dataValidation type="list" allowBlank="1" showInputMessage="1" showErrorMessage="1" sqref="I5:I39" xr:uid="{B907D8D0-CCA7-44C7-BDFB-E2F718E640D3}">
      <formula1>"Male,Female"</formula1>
    </dataValidation>
    <dataValidation type="list" allowBlank="1" showInputMessage="1" showErrorMessage="1" sqref="M5:M39" xr:uid="{74457A77-64F3-4FEF-9E6A-0B69CE1F099E}">
      <formula1>"Working,Left"</formula1>
    </dataValidation>
    <dataValidation type="list" allowBlank="1" showInputMessage="1" showErrorMessage="1" sqref="O5:Q39" xr:uid="{F1A108F5-6D49-416C-8FB6-466BE519EE69}">
      <formula1>"Yes,No"</formula1>
    </dataValidation>
    <dataValidation type="list" allowBlank="1" showInputMessage="1" showErrorMessage="1" sqref="N5:N39" xr:uid="{CE402FEF-DC1B-4C06-8FB7-95EAB7E047AD}">
      <formula1>"Apr-2024,May-2024,Jun-2024,Jul-2024,Aug-2024,Sep-2024,Oct-2024,Nov-2024,Dec-2024,Jan-2025,Feb-2025,Mar-2025"</formula1>
    </dataValidation>
    <dataValidation type="list" allowBlank="1" showInputMessage="1" showErrorMessage="1" sqref="G5:G39" xr:uid="{C0F34C35-645C-4108-A7B9-F49B2CCF5F9C}">
      <formula1>"HO,Ansa Factory,Koparkhairne Factory,Service,South"</formula1>
    </dataValidation>
  </dataValidations>
  <pageMargins left="0.7" right="0.7" top="0.75" bottom="0.75" header="0.3" footer="0.3"/>
  <pageSetup scale="2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3B80-3CAD-4F69-93C0-B77CB8800223}">
  <sheetPr codeName="Sheet48">
    <tabColor rgb="FFFFFF00"/>
    <pageSetUpPr fitToPage="1"/>
  </sheetPr>
  <dimension ref="A1:AP41"/>
  <sheetViews>
    <sheetView workbookViewId="0">
      <pane xSplit="3" ySplit="4" topLeftCell="U25" activePane="bottomRight" state="frozen"/>
      <selection activeCell="M36" sqref="M36"/>
      <selection pane="topRight" activeCell="M36" sqref="M36"/>
      <selection pane="bottomLeft" activeCell="M36" sqref="M36"/>
      <selection pane="bottomRight" activeCell="AI4" sqref="AI4"/>
    </sheetView>
  </sheetViews>
  <sheetFormatPr defaultColWidth="8.88671875" defaultRowHeight="13.2" x14ac:dyDescent="0.3"/>
  <cols>
    <col min="1" max="1" width="4" style="14" bestFit="1" customWidth="1"/>
    <col min="2" max="2" width="22.33203125" style="14" bestFit="1" customWidth="1"/>
    <col min="3" max="3" width="0.44140625" style="14" customWidth="1"/>
    <col min="4" max="4" width="9" style="14" customWidth="1"/>
    <col min="5" max="5" width="17.6640625" style="14" customWidth="1"/>
    <col min="6" max="6" width="10" style="14" bestFit="1" customWidth="1"/>
    <col min="7" max="7" width="11.6640625" style="14" customWidth="1"/>
    <col min="8" max="8" width="10.44140625" style="53" bestFit="1" customWidth="1"/>
    <col min="9" max="9" width="6.44140625" style="14" customWidth="1"/>
    <col min="10" max="10" width="13.109375" style="14" bestFit="1" customWidth="1"/>
    <col min="11" max="11" width="11" style="14" bestFit="1" customWidth="1"/>
    <col min="12" max="12" width="12.88671875" style="14" bestFit="1" customWidth="1"/>
    <col min="13" max="13" width="7.6640625" style="14" bestFit="1" customWidth="1"/>
    <col min="14" max="14" width="8.6640625" style="222" bestFit="1" customWidth="1"/>
    <col min="15" max="16" width="5.6640625" style="14" customWidth="1"/>
    <col min="17" max="17" width="0.44140625" style="14" customWidth="1"/>
    <col min="18" max="18" width="12" style="14" customWidth="1"/>
    <col min="19" max="19" width="9.6640625" style="14" bestFit="1" customWidth="1"/>
    <col min="20" max="21" width="9.88671875" style="14" customWidth="1"/>
    <col min="22" max="26" width="9.6640625" style="14" customWidth="1"/>
    <col min="27" max="28" width="8.6640625" style="14" customWidth="1"/>
    <col min="29" max="30" width="7.44140625" style="14" customWidth="1"/>
    <col min="31" max="31" width="7.88671875" style="14" customWidth="1"/>
    <col min="32" max="33" width="9.6640625" style="14" customWidth="1"/>
    <col min="34" max="35" width="11.33203125" style="14" customWidth="1"/>
    <col min="36" max="36" width="9.6640625" style="14" customWidth="1"/>
    <col min="37" max="37" width="10.44140625" style="14" customWidth="1"/>
    <col min="38" max="40" width="9.6640625" style="14" customWidth="1"/>
    <col min="41" max="41" width="9.6640625" style="14" bestFit="1" customWidth="1"/>
    <col min="42" max="42" width="9.44140625" style="14" bestFit="1" customWidth="1"/>
    <col min="43" max="16384" width="8.88671875" style="14"/>
  </cols>
  <sheetData>
    <row r="1" spans="1:42" ht="24.6" x14ac:dyDescent="0.3">
      <c r="A1" s="355" t="s">
        <v>107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15"/>
    </row>
    <row r="2" spans="1:42" ht="18.600000000000001" x14ac:dyDescent="0.3">
      <c r="A2" s="357" t="s">
        <v>201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15"/>
    </row>
    <row r="3" spans="1:42" ht="4.95" customHeight="1" thickBot="1" x14ac:dyDescent="0.35">
      <c r="A3" s="16"/>
      <c r="B3" s="17"/>
      <c r="C3" s="17"/>
      <c r="D3" s="17"/>
      <c r="E3" s="17"/>
      <c r="F3" s="17"/>
      <c r="G3" s="17"/>
      <c r="H3" s="18"/>
      <c r="I3" s="17"/>
      <c r="J3" s="17"/>
      <c r="K3" s="17"/>
      <c r="L3" s="17"/>
      <c r="M3" s="17"/>
      <c r="N3" s="213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5"/>
    </row>
    <row r="4" spans="1:42" s="26" customFormat="1" ht="40.200000000000003" thickBot="1" x14ac:dyDescent="0.35">
      <c r="A4" s="58" t="s">
        <v>58</v>
      </c>
      <c r="B4" s="59" t="s">
        <v>59</v>
      </c>
      <c r="C4" s="59"/>
      <c r="D4" s="59" t="s">
        <v>33</v>
      </c>
      <c r="E4" s="59" t="s">
        <v>34</v>
      </c>
      <c r="F4" s="59" t="s">
        <v>35</v>
      </c>
      <c r="G4" s="59" t="s">
        <v>36</v>
      </c>
      <c r="H4" s="60" t="s">
        <v>37</v>
      </c>
      <c r="I4" s="59" t="s">
        <v>38</v>
      </c>
      <c r="J4" s="59" t="s">
        <v>39</v>
      </c>
      <c r="K4" s="59" t="s">
        <v>40</v>
      </c>
      <c r="L4" s="59" t="s">
        <v>41</v>
      </c>
      <c r="M4" s="54" t="s">
        <v>42</v>
      </c>
      <c r="N4" s="214" t="s">
        <v>43</v>
      </c>
      <c r="O4" s="6" t="s">
        <v>44</v>
      </c>
      <c r="P4" s="7" t="s">
        <v>45</v>
      </c>
      <c r="Q4" s="19"/>
      <c r="R4" s="20" t="s">
        <v>60</v>
      </c>
      <c r="S4" s="21" t="s">
        <v>61</v>
      </c>
      <c r="T4" s="22" t="s">
        <v>2</v>
      </c>
      <c r="U4" s="21" t="s">
        <v>3</v>
      </c>
      <c r="V4" s="21" t="s">
        <v>13</v>
      </c>
      <c r="W4" s="21" t="s">
        <v>91</v>
      </c>
      <c r="X4" s="21" t="s">
        <v>92</v>
      </c>
      <c r="Y4" s="202" t="s">
        <v>93</v>
      </c>
      <c r="Z4" s="23" t="s">
        <v>63</v>
      </c>
      <c r="AA4" s="23" t="s">
        <v>8</v>
      </c>
      <c r="AB4" s="23" t="s">
        <v>94</v>
      </c>
      <c r="AC4" s="24" t="s">
        <v>10</v>
      </c>
      <c r="AD4" s="24" t="s">
        <v>95</v>
      </c>
      <c r="AE4" s="23" t="s">
        <v>64</v>
      </c>
      <c r="AF4" s="23" t="s">
        <v>65</v>
      </c>
      <c r="AG4" s="23" t="s">
        <v>66</v>
      </c>
      <c r="AH4" s="25" t="s">
        <v>67</v>
      </c>
      <c r="AI4" s="319" t="s">
        <v>231</v>
      </c>
    </row>
    <row r="5" spans="1:42" s="33" customFormat="1" ht="25.2" customHeight="1" x14ac:dyDescent="0.3">
      <c r="A5" s="61">
        <v>1</v>
      </c>
      <c r="B5" s="266" t="s">
        <v>108</v>
      </c>
      <c r="C5" s="62"/>
      <c r="D5" s="266" t="s">
        <v>133</v>
      </c>
      <c r="E5" s="266" t="s">
        <v>134</v>
      </c>
      <c r="F5" s="266" t="s">
        <v>46</v>
      </c>
      <c r="G5" s="266" t="s">
        <v>85</v>
      </c>
      <c r="H5" s="267">
        <v>33604</v>
      </c>
      <c r="I5" s="62" t="s">
        <v>51</v>
      </c>
      <c r="J5" s="67" t="s">
        <v>87</v>
      </c>
      <c r="K5" s="68" t="s">
        <v>87</v>
      </c>
      <c r="L5" s="63"/>
      <c r="M5" s="55" t="s">
        <v>48</v>
      </c>
      <c r="N5" s="215"/>
      <c r="O5" s="8" t="s">
        <v>50</v>
      </c>
      <c r="P5" s="9" t="s">
        <v>50</v>
      </c>
      <c r="Q5" s="27"/>
      <c r="R5" s="190">
        <f>17500+2500</f>
        <v>20000</v>
      </c>
      <c r="S5" s="189" cm="1">
        <f t="array" ref="S5">_xlfn.IFS(R5&gt;17000,R5*50%,R5&lt;10500,R5*20%,R5&lt;17000,R5*40%)</f>
        <v>10000</v>
      </c>
      <c r="T5" s="189">
        <v>1600</v>
      </c>
      <c r="U5" s="189">
        <f t="shared" ref="U5:U34" si="0">ROUND(R5/12,0)</f>
        <v>1667</v>
      </c>
      <c r="V5" s="189">
        <f>40733+4000</f>
        <v>44733</v>
      </c>
      <c r="W5" s="189">
        <f>IF(B5="Sagar Kadam",0,IF(B5="Rahul Jadhav",0,ROUND(IF(O5="Yes",IF((AJ5-S5)&gt;15000,1800,SUM(AJ5-S5)*12%),0)+IF(P5="Yes",AJ5*0.75%,0),0)))</f>
        <v>0</v>
      </c>
      <c r="X5" s="189">
        <f t="shared" ref="X5:X31" si="1">IF(B5="Sagar Kadam",0,IF(B5="Rahul Jadhav",0,ROUND(IF(O5="Yes",IF((AJ5-S5)&gt;15000,1800,SUM(AJ5-S5)*12%),),)))</f>
        <v>0</v>
      </c>
      <c r="Y5" s="28">
        <f t="shared" ref="Y5:Y31" si="2">IF(B5="Sagar Kadam",0,IF(B5="Rahul Jadhav",0,ROUND(IF(P5="Yes",AJ5*3.25%,0),0)))</f>
        <v>0</v>
      </c>
      <c r="Z5" s="29">
        <f t="shared" ref="Z5:Z32" si="3">ROUND(SUM(R5:Y5),0)</f>
        <v>78000</v>
      </c>
      <c r="AA5" s="29">
        <f>ROUND(IF(O5="Yes",IF((Z5-S5)&gt;15000,1800,SUM(Z5-S5)*12%),),)</f>
        <v>0</v>
      </c>
      <c r="AB5" s="29">
        <f>IF(B5="Sagar Kadam",0,IF(B5="Rahul Jadhav",0,ROUND(IF(O5="Yes",IF((Z5-S5)&gt;15000,1800,SUM(Z5-S5)*12%),),)))</f>
        <v>0</v>
      </c>
      <c r="AC5" s="29">
        <f>ROUND(IF(P5="Yes",Z5*0.75%,0),0)</f>
        <v>0</v>
      </c>
      <c r="AD5" s="29">
        <f>IF(B5="Sagar Kadam",0,IF(B5="Rahul Jadhav",0,ROUND(IF(P5="Yes",Z5*3.25%,0),0)))</f>
        <v>0</v>
      </c>
      <c r="AE5" s="29">
        <f>IF(I5="Female",IF(Z5&gt;24999,200,0),IF(Z5&gt;7500,200,0))</f>
        <v>200</v>
      </c>
      <c r="AF5" s="29">
        <f>ROUND(Z5-SUM(AA5:AE5),0)</f>
        <v>77800</v>
      </c>
      <c r="AG5" s="31">
        <f t="shared" ref="AG5:AG36" si="4">ROUND(Z5,0)</f>
        <v>78000</v>
      </c>
      <c r="AH5" s="32">
        <f t="shared" ref="AH5:AH36" si="5">AG5*12</f>
        <v>936000</v>
      </c>
      <c r="AI5" s="270"/>
      <c r="AJ5" s="128">
        <v>78000</v>
      </c>
      <c r="AK5" s="128"/>
      <c r="AL5" s="204"/>
      <c r="AM5" s="128"/>
      <c r="AN5" s="128"/>
      <c r="AO5" s="128"/>
      <c r="AP5" s="128"/>
    </row>
    <row r="6" spans="1:42" s="33" customFormat="1" ht="25.2" customHeight="1" x14ac:dyDescent="0.3">
      <c r="A6" s="64">
        <v>2</v>
      </c>
      <c r="B6" s="70" t="s">
        <v>109</v>
      </c>
      <c r="C6" s="65"/>
      <c r="D6" s="70" t="s">
        <v>135</v>
      </c>
      <c r="E6" s="70" t="s">
        <v>136</v>
      </c>
      <c r="F6" s="70" t="s">
        <v>46</v>
      </c>
      <c r="G6" s="70" t="s">
        <v>85</v>
      </c>
      <c r="H6" s="71">
        <v>35947</v>
      </c>
      <c r="I6" s="65" t="s">
        <v>51</v>
      </c>
      <c r="J6" s="63" t="s">
        <v>187</v>
      </c>
      <c r="K6" s="63" t="s">
        <v>87</v>
      </c>
      <c r="L6" s="69"/>
      <c r="M6" s="55" t="s">
        <v>48</v>
      </c>
      <c r="N6" s="215"/>
      <c r="O6" s="8" t="s">
        <v>50</v>
      </c>
      <c r="P6" s="11" t="s">
        <v>50</v>
      </c>
      <c r="Q6" s="35"/>
      <c r="R6" s="40">
        <f>10000+1500</f>
        <v>11500</v>
      </c>
      <c r="S6" s="189" cm="1">
        <f t="array" ref="S6">_xlfn.IFS(R6&gt;17000,R6*50%,R6&lt;10500,R6*20%,R6&lt;17000,R6*40%)</f>
        <v>4600</v>
      </c>
      <c r="T6" s="189">
        <v>1600</v>
      </c>
      <c r="U6" s="189">
        <f t="shared" si="0"/>
        <v>958</v>
      </c>
      <c r="V6" s="41">
        <f>16842+2000</f>
        <v>18842</v>
      </c>
      <c r="W6" s="189">
        <f>IF(B6="Sagar Kadam",0,IF(B6="Rahul Jadhav",0,ROUND(IF(O6="Yes",IF((AJ6-S6)&gt;15000,1800,SUM(AJ6-S6)*12%),0)+IF(P6="Yes",AJ6*0.75%,0),0)))</f>
        <v>0</v>
      </c>
      <c r="X6" s="189">
        <f t="shared" si="1"/>
        <v>0</v>
      </c>
      <c r="Y6" s="28">
        <f t="shared" si="2"/>
        <v>0</v>
      </c>
      <c r="Z6" s="29">
        <f t="shared" si="3"/>
        <v>37500</v>
      </c>
      <c r="AA6" s="29">
        <f>ROUND(IF(O6="Yes",IF((Z6-S6)&gt;15000,1800,SUM(Z6-S6)*12%),),)</f>
        <v>0</v>
      </c>
      <c r="AB6" s="29">
        <f t="shared" ref="AB6:AB36" si="6">IF(B6="Sagar Kadam",0,IF(B6="Rahul Jadhav",0,ROUND(IF(O6="Yes",IF((Z6-S6)&gt;15000,1800,SUM(Z6-S6)*12%),),)))</f>
        <v>0</v>
      </c>
      <c r="AC6" s="29">
        <f t="shared" ref="AC6:AC36" si="7">ROUND(IF(P6="Yes",Z6*0.75%,0),0)</f>
        <v>0</v>
      </c>
      <c r="AD6" s="29">
        <f t="shared" ref="AD6:AD36" si="8">IF(B6="Sagar Kadam",0,IF(B6="Rahul Jadhav",0,ROUND(IF(P6="Yes",Z6*3.25%,0),0)))</f>
        <v>0</v>
      </c>
      <c r="AE6" s="29">
        <f t="shared" ref="AE6:AE36" si="9">IF(I6="Female",IF(Z6&gt;24999,200,0),IF(Z6&gt;7500,200,0))</f>
        <v>200</v>
      </c>
      <c r="AF6" s="30">
        <f t="shared" ref="AF6:AF20" si="10">ROUND(Z6-SUM(AA6:AE6),0)</f>
        <v>37300</v>
      </c>
      <c r="AG6" s="29">
        <f t="shared" si="4"/>
        <v>37500</v>
      </c>
      <c r="AH6" s="38">
        <f t="shared" si="5"/>
        <v>450000</v>
      </c>
      <c r="AI6" s="270"/>
      <c r="AJ6" s="128">
        <v>37500</v>
      </c>
      <c r="AK6" s="128"/>
      <c r="AL6" s="204"/>
      <c r="AM6" s="128"/>
      <c r="AN6" s="128"/>
      <c r="AO6" s="128"/>
      <c r="AP6" s="128"/>
    </row>
    <row r="7" spans="1:42" s="33" customFormat="1" ht="25.2" customHeight="1" x14ac:dyDescent="0.3">
      <c r="A7" s="64">
        <v>3</v>
      </c>
      <c r="B7" s="65" t="s">
        <v>110</v>
      </c>
      <c r="C7" s="70"/>
      <c r="D7" s="65" t="s">
        <v>137</v>
      </c>
      <c r="E7" s="65" t="s">
        <v>138</v>
      </c>
      <c r="F7" s="65" t="s">
        <v>55</v>
      </c>
      <c r="G7" s="65" t="s">
        <v>54</v>
      </c>
      <c r="H7" s="66">
        <v>37218</v>
      </c>
      <c r="I7" s="70" t="s">
        <v>51</v>
      </c>
      <c r="J7" s="79" t="s">
        <v>87</v>
      </c>
      <c r="K7" s="69" t="s">
        <v>87</v>
      </c>
      <c r="L7" s="63"/>
      <c r="M7" s="55" t="s">
        <v>48</v>
      </c>
      <c r="N7" s="216"/>
      <c r="O7" s="8" t="s">
        <v>50</v>
      </c>
      <c r="P7" s="9" t="s">
        <v>50</v>
      </c>
      <c r="Q7" s="39"/>
      <c r="R7" s="190">
        <f>17500+2500</f>
        <v>20000</v>
      </c>
      <c r="S7" s="189" cm="1">
        <f t="array" ref="S7">_xlfn.IFS(R7&gt;17000,R7*50%,R7&lt;10500,R7*20%,R7&lt;17000,R7*40%)</f>
        <v>10000</v>
      </c>
      <c r="T7" s="189">
        <v>1600</v>
      </c>
      <c r="U7" s="189">
        <f t="shared" si="0"/>
        <v>1667</v>
      </c>
      <c r="V7" s="37">
        <f>24233+3000</f>
        <v>27233</v>
      </c>
      <c r="W7" s="189">
        <f t="shared" ref="W7:W31" si="11">IF(B7="Sagar Kadam",0,IF(B7="Rahul Jadhav",0,ROUND(IF(O7="Yes",IF((AJ7-S7)&gt;15000,1800,SUM(AJ7-S7)*12%),0)+IF(P7="Yes",AJ7*0.75%,0),0)))</f>
        <v>0</v>
      </c>
      <c r="X7" s="189">
        <f t="shared" si="1"/>
        <v>0</v>
      </c>
      <c r="Y7" s="28">
        <f t="shared" si="2"/>
        <v>0</v>
      </c>
      <c r="Z7" s="29">
        <f t="shared" si="3"/>
        <v>60500</v>
      </c>
      <c r="AA7" s="29">
        <f>ROUND(IF(O7="Yes",IF((Z7-S7)&gt;15000,1800,SUM(Z7-S7)*12%),),)</f>
        <v>0</v>
      </c>
      <c r="AB7" s="29">
        <f t="shared" si="6"/>
        <v>0</v>
      </c>
      <c r="AC7" s="29">
        <f t="shared" si="7"/>
        <v>0</v>
      </c>
      <c r="AD7" s="29">
        <f t="shared" si="8"/>
        <v>0</v>
      </c>
      <c r="AE7" s="29">
        <f t="shared" si="9"/>
        <v>200</v>
      </c>
      <c r="AF7" s="30">
        <f t="shared" si="10"/>
        <v>60300</v>
      </c>
      <c r="AG7" s="29">
        <f t="shared" si="4"/>
        <v>60500</v>
      </c>
      <c r="AH7" s="38">
        <f t="shared" si="5"/>
        <v>726000</v>
      </c>
      <c r="AI7" s="270"/>
      <c r="AJ7" s="128">
        <v>60500</v>
      </c>
      <c r="AK7" s="128"/>
      <c r="AL7" s="204"/>
      <c r="AM7" s="128"/>
      <c r="AN7" s="128"/>
      <c r="AO7" s="128"/>
      <c r="AP7" s="128"/>
    </row>
    <row r="8" spans="1:42" s="33" customFormat="1" ht="25.2" customHeight="1" x14ac:dyDescent="0.3">
      <c r="A8" s="64">
        <v>4</v>
      </c>
      <c r="B8" s="65" t="s">
        <v>111</v>
      </c>
      <c r="C8" s="65"/>
      <c r="D8" s="65" t="s">
        <v>139</v>
      </c>
      <c r="E8" s="65" t="s">
        <v>140</v>
      </c>
      <c r="F8" s="65" t="s">
        <v>46</v>
      </c>
      <c r="G8" s="65" t="s">
        <v>85</v>
      </c>
      <c r="H8" s="66">
        <v>38166</v>
      </c>
      <c r="I8" s="65" t="s">
        <v>51</v>
      </c>
      <c r="J8" s="67">
        <v>100333067161</v>
      </c>
      <c r="K8" s="67" t="s">
        <v>87</v>
      </c>
      <c r="L8" s="74"/>
      <c r="M8" s="55" t="s">
        <v>48</v>
      </c>
      <c r="N8" s="217"/>
      <c r="O8" s="10" t="s">
        <v>49</v>
      </c>
      <c r="P8" s="11" t="s">
        <v>50</v>
      </c>
      <c r="Q8" s="35"/>
      <c r="R8" s="40">
        <f>10000+1500</f>
        <v>11500</v>
      </c>
      <c r="S8" s="189" cm="1">
        <f t="array" ref="S8">_xlfn.IFS(R8&gt;17000,R8*50%,R8&lt;10500,R8*20%,R8&lt;17000,R8*40%)</f>
        <v>4600</v>
      </c>
      <c r="T8" s="189">
        <v>1600</v>
      </c>
      <c r="U8" s="189">
        <f t="shared" si="0"/>
        <v>958</v>
      </c>
      <c r="V8" s="37">
        <f>4742+1000</f>
        <v>5742</v>
      </c>
      <c r="W8" s="189">
        <f t="shared" si="11"/>
        <v>1800</v>
      </c>
      <c r="X8" s="189">
        <f t="shared" si="1"/>
        <v>1800</v>
      </c>
      <c r="Y8" s="28">
        <f t="shared" si="2"/>
        <v>0</v>
      </c>
      <c r="Z8" s="29">
        <f t="shared" si="3"/>
        <v>28000</v>
      </c>
      <c r="AA8" s="29">
        <f t="shared" ref="AA8:AA32" si="12">ROUND(IF(O8="Yes",IF((Z8-S8)&gt;15000,1800,SUM(Z8-S8)*12%),),)</f>
        <v>1800</v>
      </c>
      <c r="AB8" s="29">
        <f t="shared" si="6"/>
        <v>1800</v>
      </c>
      <c r="AC8" s="29">
        <f t="shared" si="7"/>
        <v>0</v>
      </c>
      <c r="AD8" s="29">
        <f t="shared" si="8"/>
        <v>0</v>
      </c>
      <c r="AE8" s="29">
        <f t="shared" si="9"/>
        <v>200</v>
      </c>
      <c r="AF8" s="30">
        <f t="shared" si="10"/>
        <v>24200</v>
      </c>
      <c r="AG8" s="29">
        <f t="shared" si="4"/>
        <v>28000</v>
      </c>
      <c r="AH8" s="38">
        <f t="shared" si="5"/>
        <v>336000</v>
      </c>
      <c r="AI8" s="270"/>
      <c r="AJ8" s="128">
        <v>28000</v>
      </c>
      <c r="AK8" s="128"/>
      <c r="AL8" s="204"/>
      <c r="AM8" s="128"/>
      <c r="AN8" s="128"/>
      <c r="AO8" s="128"/>
      <c r="AP8" s="128"/>
    </row>
    <row r="9" spans="1:42" s="33" customFormat="1" ht="25.2" customHeight="1" x14ac:dyDescent="0.3">
      <c r="A9" s="64">
        <v>5</v>
      </c>
      <c r="B9" s="70" t="s">
        <v>112</v>
      </c>
      <c r="C9" s="65"/>
      <c r="D9" s="70" t="s">
        <v>141</v>
      </c>
      <c r="E9" s="70" t="s">
        <v>142</v>
      </c>
      <c r="F9" s="70" t="s">
        <v>46</v>
      </c>
      <c r="G9" s="70" t="s">
        <v>85</v>
      </c>
      <c r="H9" s="71">
        <v>39213</v>
      </c>
      <c r="I9" s="65" t="s">
        <v>47</v>
      </c>
      <c r="J9" s="63">
        <v>100129979250</v>
      </c>
      <c r="K9" s="63" t="s">
        <v>87</v>
      </c>
      <c r="L9" s="67"/>
      <c r="M9" s="55" t="s">
        <v>48</v>
      </c>
      <c r="N9" s="218"/>
      <c r="O9" s="10" t="s">
        <v>50</v>
      </c>
      <c r="P9" s="11" t="s">
        <v>50</v>
      </c>
      <c r="Q9" s="35"/>
      <c r="R9" s="40">
        <f>10000+1500</f>
        <v>11500</v>
      </c>
      <c r="S9" s="189" cm="1">
        <f t="array" ref="S9">_xlfn.IFS(R9&gt;17000,R9*50%,R9&lt;10500,R9*20%,R9&lt;17000,R9*40%)</f>
        <v>4600</v>
      </c>
      <c r="T9" s="189">
        <v>1600</v>
      </c>
      <c r="U9" s="189">
        <f t="shared" si="0"/>
        <v>958</v>
      </c>
      <c r="V9" s="41">
        <f>16842+2000</f>
        <v>18842</v>
      </c>
      <c r="W9" s="189">
        <f t="shared" si="11"/>
        <v>0</v>
      </c>
      <c r="X9" s="189">
        <f t="shared" si="1"/>
        <v>0</v>
      </c>
      <c r="Y9" s="28">
        <f t="shared" si="2"/>
        <v>0</v>
      </c>
      <c r="Z9" s="29">
        <f t="shared" si="3"/>
        <v>37500</v>
      </c>
      <c r="AA9" s="29">
        <f t="shared" si="12"/>
        <v>0</v>
      </c>
      <c r="AB9" s="29">
        <f t="shared" si="6"/>
        <v>0</v>
      </c>
      <c r="AC9" s="29">
        <f t="shared" si="7"/>
        <v>0</v>
      </c>
      <c r="AD9" s="29">
        <f t="shared" si="8"/>
        <v>0</v>
      </c>
      <c r="AE9" s="29">
        <f t="shared" si="9"/>
        <v>200</v>
      </c>
      <c r="AF9" s="42">
        <f t="shared" si="10"/>
        <v>37300</v>
      </c>
      <c r="AG9" s="43">
        <f t="shared" si="4"/>
        <v>37500</v>
      </c>
      <c r="AH9" s="44">
        <f t="shared" si="5"/>
        <v>450000</v>
      </c>
      <c r="AI9" s="270"/>
      <c r="AJ9" s="128">
        <v>37500</v>
      </c>
      <c r="AK9" s="128"/>
      <c r="AL9" s="204"/>
      <c r="AM9" s="128"/>
      <c r="AN9" s="128"/>
      <c r="AO9" s="128"/>
      <c r="AP9" s="128"/>
    </row>
    <row r="10" spans="1:42" s="33" customFormat="1" ht="25.2" customHeight="1" x14ac:dyDescent="0.3">
      <c r="A10" s="64">
        <v>6</v>
      </c>
      <c r="B10" s="70" t="s">
        <v>113</v>
      </c>
      <c r="C10" s="70"/>
      <c r="D10" s="70" t="s">
        <v>143</v>
      </c>
      <c r="E10" s="70" t="s">
        <v>144</v>
      </c>
      <c r="F10" s="70" t="s">
        <v>53</v>
      </c>
      <c r="G10" s="70" t="s">
        <v>54</v>
      </c>
      <c r="H10" s="71">
        <v>39328</v>
      </c>
      <c r="I10" s="70" t="s">
        <v>47</v>
      </c>
      <c r="J10" s="72" t="s">
        <v>87</v>
      </c>
      <c r="K10" s="63" t="s">
        <v>87</v>
      </c>
      <c r="L10" s="63"/>
      <c r="M10" s="55" t="s">
        <v>48</v>
      </c>
      <c r="N10" s="218"/>
      <c r="O10" s="8" t="s">
        <v>50</v>
      </c>
      <c r="P10" s="9" t="s">
        <v>50</v>
      </c>
      <c r="Q10" s="35"/>
      <c r="R10" s="190">
        <f>17500+2500</f>
        <v>20000</v>
      </c>
      <c r="S10" s="189" cm="1">
        <f t="array" ref="S10">_xlfn.IFS(R10&gt;17000,R10*50%,R10&lt;10500,R10*20%,R10&lt;17000,R10*40%)</f>
        <v>10000</v>
      </c>
      <c r="T10" s="189">
        <v>1600</v>
      </c>
      <c r="U10" s="189">
        <f t="shared" si="0"/>
        <v>1667</v>
      </c>
      <c r="V10" s="41">
        <f>36933+3800</f>
        <v>40733</v>
      </c>
      <c r="W10" s="189">
        <f t="shared" si="11"/>
        <v>0</v>
      </c>
      <c r="X10" s="189">
        <f t="shared" si="1"/>
        <v>0</v>
      </c>
      <c r="Y10" s="28">
        <f t="shared" si="2"/>
        <v>0</v>
      </c>
      <c r="Z10" s="29">
        <f t="shared" si="3"/>
        <v>74000</v>
      </c>
      <c r="AA10" s="29">
        <f t="shared" si="12"/>
        <v>0</v>
      </c>
      <c r="AB10" s="29">
        <f t="shared" si="6"/>
        <v>0</v>
      </c>
      <c r="AC10" s="29">
        <f t="shared" si="7"/>
        <v>0</v>
      </c>
      <c r="AD10" s="29">
        <f t="shared" si="8"/>
        <v>0</v>
      </c>
      <c r="AE10" s="29">
        <f t="shared" si="9"/>
        <v>200</v>
      </c>
      <c r="AF10" s="30">
        <f t="shared" si="10"/>
        <v>73800</v>
      </c>
      <c r="AG10" s="29">
        <f t="shared" si="4"/>
        <v>74000</v>
      </c>
      <c r="AH10" s="38">
        <f t="shared" si="5"/>
        <v>888000</v>
      </c>
      <c r="AI10" s="270"/>
      <c r="AJ10" s="128">
        <v>74000</v>
      </c>
      <c r="AK10" s="128"/>
      <c r="AL10" s="204"/>
      <c r="AM10" s="128"/>
      <c r="AN10" s="128"/>
      <c r="AO10" s="128"/>
      <c r="AP10" s="128"/>
    </row>
    <row r="11" spans="1:42" s="33" customFormat="1" ht="25.2" customHeight="1" x14ac:dyDescent="0.3">
      <c r="A11" s="75">
        <v>7</v>
      </c>
      <c r="B11" s="65" t="s">
        <v>114</v>
      </c>
      <c r="C11" s="70"/>
      <c r="D11" s="65" t="s">
        <v>145</v>
      </c>
      <c r="E11" s="65" t="s">
        <v>56</v>
      </c>
      <c r="F11" s="65" t="s">
        <v>57</v>
      </c>
      <c r="G11" s="65" t="s">
        <v>86</v>
      </c>
      <c r="H11" s="66">
        <v>42074</v>
      </c>
      <c r="I11" s="70" t="s">
        <v>51</v>
      </c>
      <c r="J11" s="67" t="s">
        <v>87</v>
      </c>
      <c r="K11" s="67" t="s">
        <v>87</v>
      </c>
      <c r="L11" s="63"/>
      <c r="M11" s="55" t="s">
        <v>48</v>
      </c>
      <c r="N11" s="217"/>
      <c r="O11" s="8" t="s">
        <v>50</v>
      </c>
      <c r="P11" s="9" t="s">
        <v>50</v>
      </c>
      <c r="Q11" s="35"/>
      <c r="R11" s="36">
        <f>15100+1400</f>
        <v>16500</v>
      </c>
      <c r="S11" s="189" cm="1">
        <f t="array" ref="S11">_xlfn.IFS(R11&gt;17000,R11*50%,R11&lt;10500,R11*20%,R11&lt;17000,R11*40%)</f>
        <v>6600</v>
      </c>
      <c r="T11" s="189">
        <v>1600</v>
      </c>
      <c r="U11" s="189">
        <f t="shared" si="0"/>
        <v>1375</v>
      </c>
      <c r="V11" s="37">
        <f>17925+2000</f>
        <v>19925</v>
      </c>
      <c r="W11" s="189">
        <f t="shared" si="11"/>
        <v>0</v>
      </c>
      <c r="X11" s="189">
        <f t="shared" si="1"/>
        <v>0</v>
      </c>
      <c r="Y11" s="28">
        <f t="shared" si="2"/>
        <v>0</v>
      </c>
      <c r="Z11" s="29">
        <f t="shared" si="3"/>
        <v>46000</v>
      </c>
      <c r="AA11" s="29">
        <f t="shared" si="12"/>
        <v>0</v>
      </c>
      <c r="AB11" s="29">
        <f t="shared" si="6"/>
        <v>0</v>
      </c>
      <c r="AC11" s="29">
        <f t="shared" si="7"/>
        <v>0</v>
      </c>
      <c r="AD11" s="29">
        <f t="shared" si="8"/>
        <v>0</v>
      </c>
      <c r="AE11" s="29">
        <f t="shared" si="9"/>
        <v>200</v>
      </c>
      <c r="AF11" s="30">
        <f t="shared" si="10"/>
        <v>45800</v>
      </c>
      <c r="AG11" s="29">
        <f t="shared" si="4"/>
        <v>46000</v>
      </c>
      <c r="AH11" s="38">
        <f t="shared" si="5"/>
        <v>552000</v>
      </c>
      <c r="AI11" s="270"/>
      <c r="AJ11" s="128">
        <v>46000</v>
      </c>
      <c r="AK11" s="128"/>
      <c r="AL11" s="204"/>
      <c r="AM11" s="128"/>
      <c r="AN11" s="128"/>
      <c r="AO11" s="128"/>
      <c r="AP11" s="128"/>
    </row>
    <row r="12" spans="1:42" s="45" customFormat="1" ht="25.2" customHeight="1" x14ac:dyDescent="0.3">
      <c r="A12" s="75">
        <v>8</v>
      </c>
      <c r="B12" s="70" t="s">
        <v>115</v>
      </c>
      <c r="C12" s="65"/>
      <c r="D12" s="70" t="s">
        <v>146</v>
      </c>
      <c r="E12" s="70" t="s">
        <v>52</v>
      </c>
      <c r="F12" s="70" t="s">
        <v>46</v>
      </c>
      <c r="G12" s="70" t="s">
        <v>85</v>
      </c>
      <c r="H12" s="71">
        <v>42172</v>
      </c>
      <c r="I12" s="65" t="s">
        <v>47</v>
      </c>
      <c r="J12" s="80" t="s">
        <v>87</v>
      </c>
      <c r="K12" s="72" t="s">
        <v>87</v>
      </c>
      <c r="L12" s="74"/>
      <c r="M12" s="55" t="s">
        <v>48</v>
      </c>
      <c r="N12" s="217"/>
      <c r="O12" s="10" t="s">
        <v>50</v>
      </c>
      <c r="P12" s="11" t="s">
        <v>50</v>
      </c>
      <c r="Q12" s="35"/>
      <c r="R12" s="190">
        <f>17500+2500</f>
        <v>20000</v>
      </c>
      <c r="S12" s="189" cm="1">
        <f t="array" ref="S12">_xlfn.IFS(R12&gt;17000,R12*50%,R12&lt;10500,R12*20%,R12&lt;17000,R12*40%)</f>
        <v>10000</v>
      </c>
      <c r="T12" s="189">
        <v>1600</v>
      </c>
      <c r="U12" s="189">
        <f t="shared" si="0"/>
        <v>1667</v>
      </c>
      <c r="V12" s="41">
        <f>43233+3500</f>
        <v>46733</v>
      </c>
      <c r="W12" s="189">
        <f t="shared" si="11"/>
        <v>0</v>
      </c>
      <c r="X12" s="189">
        <f t="shared" si="1"/>
        <v>0</v>
      </c>
      <c r="Y12" s="28">
        <f t="shared" si="2"/>
        <v>0</v>
      </c>
      <c r="Z12" s="29">
        <f t="shared" si="3"/>
        <v>80000</v>
      </c>
      <c r="AA12" s="29">
        <f t="shared" si="12"/>
        <v>0</v>
      </c>
      <c r="AB12" s="29">
        <f t="shared" si="6"/>
        <v>0</v>
      </c>
      <c r="AC12" s="29">
        <f t="shared" si="7"/>
        <v>0</v>
      </c>
      <c r="AD12" s="29">
        <f t="shared" si="8"/>
        <v>0</v>
      </c>
      <c r="AE12" s="29">
        <f t="shared" si="9"/>
        <v>200</v>
      </c>
      <c r="AF12" s="42">
        <f t="shared" si="10"/>
        <v>79800</v>
      </c>
      <c r="AG12" s="43">
        <f t="shared" si="4"/>
        <v>80000</v>
      </c>
      <c r="AH12" s="44">
        <f t="shared" si="5"/>
        <v>960000</v>
      </c>
      <c r="AI12" s="270"/>
      <c r="AJ12" s="128">
        <v>80000</v>
      </c>
      <c r="AK12" s="128"/>
      <c r="AL12" s="204"/>
      <c r="AM12" s="128"/>
      <c r="AN12" s="128"/>
      <c r="AO12" s="128"/>
      <c r="AP12" s="128"/>
    </row>
    <row r="13" spans="1:42" s="45" customFormat="1" ht="25.2" customHeight="1" x14ac:dyDescent="0.3">
      <c r="A13" s="64">
        <v>9</v>
      </c>
      <c r="B13" s="65" t="s">
        <v>116</v>
      </c>
      <c r="C13" s="65"/>
      <c r="D13" s="65" t="s">
        <v>147</v>
      </c>
      <c r="E13" s="65" t="s">
        <v>148</v>
      </c>
      <c r="F13" s="65" t="s">
        <v>53</v>
      </c>
      <c r="G13" s="65" t="s">
        <v>85</v>
      </c>
      <c r="H13" s="66">
        <v>42660</v>
      </c>
      <c r="I13" s="70" t="s">
        <v>51</v>
      </c>
      <c r="J13" s="67" t="s">
        <v>87</v>
      </c>
      <c r="K13" s="68" t="s">
        <v>87</v>
      </c>
      <c r="L13" s="63"/>
      <c r="M13" s="55" t="s">
        <v>48</v>
      </c>
      <c r="N13" s="217"/>
      <c r="O13" s="8" t="s">
        <v>50</v>
      </c>
      <c r="P13" s="9" t="s">
        <v>50</v>
      </c>
      <c r="Q13" s="35" t="s">
        <v>49</v>
      </c>
      <c r="R13" s="36">
        <f>15100+1400</f>
        <v>16500</v>
      </c>
      <c r="S13" s="189" cm="1">
        <f t="array" ref="S13">_xlfn.IFS(R13&gt;17000,R13*50%,R13&lt;10500,R13*20%,R13&lt;17000,R13*40%)</f>
        <v>6600</v>
      </c>
      <c r="T13" s="189">
        <v>1600</v>
      </c>
      <c r="U13" s="189">
        <f t="shared" si="0"/>
        <v>1375</v>
      </c>
      <c r="V13" s="37">
        <f>18925+2500</f>
        <v>21425</v>
      </c>
      <c r="W13" s="189">
        <f t="shared" si="11"/>
        <v>0</v>
      </c>
      <c r="X13" s="189">
        <f t="shared" si="1"/>
        <v>0</v>
      </c>
      <c r="Y13" s="28">
        <f t="shared" si="2"/>
        <v>0</v>
      </c>
      <c r="Z13" s="29">
        <f t="shared" si="3"/>
        <v>47500</v>
      </c>
      <c r="AA13" s="29">
        <f t="shared" si="12"/>
        <v>0</v>
      </c>
      <c r="AB13" s="29">
        <f t="shared" si="6"/>
        <v>0</v>
      </c>
      <c r="AC13" s="29">
        <f t="shared" si="7"/>
        <v>0</v>
      </c>
      <c r="AD13" s="29">
        <f t="shared" si="8"/>
        <v>0</v>
      </c>
      <c r="AE13" s="29">
        <f t="shared" si="9"/>
        <v>200</v>
      </c>
      <c r="AF13" s="42">
        <f t="shared" si="10"/>
        <v>47300</v>
      </c>
      <c r="AG13" s="43">
        <f t="shared" si="4"/>
        <v>47500</v>
      </c>
      <c r="AH13" s="44">
        <f t="shared" si="5"/>
        <v>570000</v>
      </c>
      <c r="AI13" s="270"/>
      <c r="AJ13" s="128">
        <v>47500</v>
      </c>
      <c r="AK13" s="128"/>
      <c r="AL13" s="204"/>
      <c r="AM13" s="128"/>
      <c r="AN13" s="128"/>
      <c r="AO13" s="128"/>
      <c r="AP13" s="128"/>
    </row>
    <row r="14" spans="1:42" s="45" customFormat="1" ht="25.2" customHeight="1" x14ac:dyDescent="0.3">
      <c r="A14" s="64">
        <v>10</v>
      </c>
      <c r="B14" s="65" t="s">
        <v>117</v>
      </c>
      <c r="C14" s="65"/>
      <c r="D14" s="65" t="s">
        <v>149</v>
      </c>
      <c r="E14" s="65" t="s">
        <v>134</v>
      </c>
      <c r="F14" s="65" t="s">
        <v>46</v>
      </c>
      <c r="G14" s="65" t="s">
        <v>85</v>
      </c>
      <c r="H14" s="66">
        <v>42688</v>
      </c>
      <c r="I14" s="70" t="s">
        <v>51</v>
      </c>
      <c r="J14" s="73" t="s">
        <v>87</v>
      </c>
      <c r="K14" s="74" t="s">
        <v>87</v>
      </c>
      <c r="L14" s="63"/>
      <c r="M14" s="55" t="s">
        <v>48</v>
      </c>
      <c r="N14" s="219"/>
      <c r="O14" s="8" t="s">
        <v>50</v>
      </c>
      <c r="P14" s="9" t="s">
        <v>50</v>
      </c>
      <c r="Q14" s="39"/>
      <c r="R14" s="36">
        <f>15100+1400</f>
        <v>16500</v>
      </c>
      <c r="S14" s="189" cm="1">
        <f t="array" ref="S14">_xlfn.IFS(R14&gt;17000,R14*50%,R14&lt;10500,R14*20%,R14&lt;17000,R14*40%)</f>
        <v>6600</v>
      </c>
      <c r="T14" s="189">
        <v>1600</v>
      </c>
      <c r="U14" s="189">
        <f t="shared" si="0"/>
        <v>1375</v>
      </c>
      <c r="V14" s="37">
        <f>16425+2500</f>
        <v>18925</v>
      </c>
      <c r="W14" s="189">
        <f t="shared" si="11"/>
        <v>0</v>
      </c>
      <c r="X14" s="189">
        <f t="shared" si="1"/>
        <v>0</v>
      </c>
      <c r="Y14" s="28">
        <f t="shared" si="2"/>
        <v>0</v>
      </c>
      <c r="Z14" s="29">
        <f t="shared" si="3"/>
        <v>45000</v>
      </c>
      <c r="AA14" s="29">
        <f t="shared" si="12"/>
        <v>0</v>
      </c>
      <c r="AB14" s="29">
        <f t="shared" si="6"/>
        <v>0</v>
      </c>
      <c r="AC14" s="29">
        <f t="shared" si="7"/>
        <v>0</v>
      </c>
      <c r="AD14" s="29">
        <f t="shared" si="8"/>
        <v>0</v>
      </c>
      <c r="AE14" s="29">
        <f t="shared" si="9"/>
        <v>200</v>
      </c>
      <c r="AF14" s="30">
        <f t="shared" si="10"/>
        <v>44800</v>
      </c>
      <c r="AG14" s="29">
        <f t="shared" si="4"/>
        <v>45000</v>
      </c>
      <c r="AH14" s="38">
        <f t="shared" si="5"/>
        <v>540000</v>
      </c>
      <c r="AI14" s="270"/>
      <c r="AJ14" s="128">
        <v>45000</v>
      </c>
      <c r="AK14" s="128"/>
      <c r="AL14" s="204"/>
      <c r="AM14" s="128"/>
      <c r="AN14" s="128"/>
      <c r="AO14" s="128"/>
      <c r="AP14" s="128"/>
    </row>
    <row r="15" spans="1:42" s="33" customFormat="1" ht="25.2" customHeight="1" x14ac:dyDescent="0.3">
      <c r="A15" s="64">
        <v>11</v>
      </c>
      <c r="B15" s="70" t="s">
        <v>215</v>
      </c>
      <c r="C15" s="70"/>
      <c r="D15" s="70" t="s">
        <v>150</v>
      </c>
      <c r="E15" s="70"/>
      <c r="F15" s="70" t="s">
        <v>55</v>
      </c>
      <c r="G15" s="70" t="s">
        <v>54</v>
      </c>
      <c r="H15" s="71">
        <v>42773</v>
      </c>
      <c r="I15" s="65" t="s">
        <v>47</v>
      </c>
      <c r="J15" s="72" t="s">
        <v>87</v>
      </c>
      <c r="K15" s="78" t="s">
        <v>87</v>
      </c>
      <c r="L15" s="67"/>
      <c r="M15" s="55" t="s">
        <v>48</v>
      </c>
      <c r="N15" s="218"/>
      <c r="O15" s="10" t="s">
        <v>50</v>
      </c>
      <c r="P15" s="11" t="s">
        <v>50</v>
      </c>
      <c r="Q15" s="35"/>
      <c r="R15" s="36">
        <f>15100+1400</f>
        <v>16500</v>
      </c>
      <c r="S15" s="189" cm="1">
        <f t="array" ref="S15">_xlfn.IFS(R15&gt;17000,R15*50%,R15&lt;10500,R15*20%,R15&lt;17000,R15*40%)</f>
        <v>6600</v>
      </c>
      <c r="T15" s="189">
        <v>1600</v>
      </c>
      <c r="U15" s="189">
        <f t="shared" si="0"/>
        <v>1375</v>
      </c>
      <c r="V15" s="41">
        <f>26425+3000</f>
        <v>29425</v>
      </c>
      <c r="W15" s="189">
        <f t="shared" si="11"/>
        <v>0</v>
      </c>
      <c r="X15" s="189">
        <f t="shared" si="1"/>
        <v>0</v>
      </c>
      <c r="Y15" s="28">
        <f t="shared" si="2"/>
        <v>0</v>
      </c>
      <c r="Z15" s="29">
        <f t="shared" si="3"/>
        <v>55500</v>
      </c>
      <c r="AA15" s="29">
        <f t="shared" si="12"/>
        <v>0</v>
      </c>
      <c r="AB15" s="29">
        <f t="shared" si="6"/>
        <v>0</v>
      </c>
      <c r="AC15" s="29">
        <f t="shared" si="7"/>
        <v>0</v>
      </c>
      <c r="AD15" s="29">
        <f t="shared" si="8"/>
        <v>0</v>
      </c>
      <c r="AE15" s="29">
        <f t="shared" si="9"/>
        <v>200</v>
      </c>
      <c r="AF15" s="30">
        <f t="shared" si="10"/>
        <v>55300</v>
      </c>
      <c r="AG15" s="29">
        <f t="shared" si="4"/>
        <v>55500</v>
      </c>
      <c r="AH15" s="38">
        <f t="shared" si="5"/>
        <v>666000</v>
      </c>
      <c r="AI15" s="270"/>
      <c r="AJ15" s="128">
        <v>55500</v>
      </c>
      <c r="AK15" s="128"/>
      <c r="AL15" s="204"/>
      <c r="AM15" s="128"/>
      <c r="AN15" s="128"/>
      <c r="AO15" s="128"/>
      <c r="AP15" s="128"/>
    </row>
    <row r="16" spans="1:42" s="33" customFormat="1" ht="25.2" customHeight="1" x14ac:dyDescent="0.3">
      <c r="A16" s="75">
        <v>12</v>
      </c>
      <c r="B16" s="65" t="s">
        <v>118</v>
      </c>
      <c r="C16" s="70"/>
      <c r="D16" s="65" t="s">
        <v>151</v>
      </c>
      <c r="E16" s="65" t="s">
        <v>152</v>
      </c>
      <c r="F16" s="65" t="s">
        <v>55</v>
      </c>
      <c r="G16" s="65" t="s">
        <v>54</v>
      </c>
      <c r="H16" s="66">
        <v>43115</v>
      </c>
      <c r="I16" s="65" t="s">
        <v>51</v>
      </c>
      <c r="J16" s="73">
        <v>101247514144</v>
      </c>
      <c r="K16" s="74" t="s">
        <v>87</v>
      </c>
      <c r="L16" s="74"/>
      <c r="M16" s="55" t="s">
        <v>48</v>
      </c>
      <c r="N16" s="218"/>
      <c r="O16" s="10" t="s">
        <v>49</v>
      </c>
      <c r="P16" s="11" t="s">
        <v>50</v>
      </c>
      <c r="Q16" s="35"/>
      <c r="R16" s="40">
        <f>10000+1500</f>
        <v>11500</v>
      </c>
      <c r="S16" s="189" cm="1">
        <f t="array" ref="S16">_xlfn.IFS(R16&gt;17000,R16*50%,R16&lt;10500,R16*20%,R16&lt;17000,R16*40%)</f>
        <v>4600</v>
      </c>
      <c r="T16" s="189">
        <v>1600</v>
      </c>
      <c r="U16" s="189">
        <f t="shared" si="0"/>
        <v>958</v>
      </c>
      <c r="V16" s="37">
        <f>32742+5000</f>
        <v>37742</v>
      </c>
      <c r="W16" s="189">
        <f t="shared" si="11"/>
        <v>1800</v>
      </c>
      <c r="X16" s="189">
        <f t="shared" si="1"/>
        <v>1800</v>
      </c>
      <c r="Y16" s="28">
        <f t="shared" si="2"/>
        <v>0</v>
      </c>
      <c r="Z16" s="29">
        <f t="shared" si="3"/>
        <v>60000</v>
      </c>
      <c r="AA16" s="29">
        <f t="shared" si="12"/>
        <v>1800</v>
      </c>
      <c r="AB16" s="29">
        <f t="shared" si="6"/>
        <v>1800</v>
      </c>
      <c r="AC16" s="29">
        <f t="shared" si="7"/>
        <v>0</v>
      </c>
      <c r="AD16" s="29">
        <f t="shared" si="8"/>
        <v>0</v>
      </c>
      <c r="AE16" s="29">
        <f t="shared" si="9"/>
        <v>200</v>
      </c>
      <c r="AF16" s="42">
        <f t="shared" si="10"/>
        <v>56200</v>
      </c>
      <c r="AG16" s="43">
        <f t="shared" si="4"/>
        <v>60000</v>
      </c>
      <c r="AH16" s="44">
        <f t="shared" si="5"/>
        <v>720000</v>
      </c>
      <c r="AI16" s="270"/>
      <c r="AJ16" s="128">
        <v>60000</v>
      </c>
      <c r="AK16" s="128"/>
      <c r="AL16" s="204"/>
      <c r="AM16" s="128"/>
      <c r="AN16" s="128"/>
      <c r="AO16" s="128"/>
      <c r="AP16" s="128"/>
    </row>
    <row r="17" spans="1:42" s="33" customFormat="1" ht="25.2" customHeight="1" x14ac:dyDescent="0.3">
      <c r="A17" s="64">
        <v>13</v>
      </c>
      <c r="B17" s="70" t="s">
        <v>119</v>
      </c>
      <c r="C17" s="70"/>
      <c r="D17" s="70" t="s">
        <v>153</v>
      </c>
      <c r="E17" s="70" t="s">
        <v>214</v>
      </c>
      <c r="F17" s="70" t="s">
        <v>46</v>
      </c>
      <c r="G17" s="70" t="s">
        <v>86</v>
      </c>
      <c r="H17" s="71">
        <v>43199</v>
      </c>
      <c r="I17" s="70" t="s">
        <v>51</v>
      </c>
      <c r="J17" s="80" t="s">
        <v>87</v>
      </c>
      <c r="K17" s="78" t="s">
        <v>87</v>
      </c>
      <c r="L17" s="63"/>
      <c r="M17" s="55" t="s">
        <v>48</v>
      </c>
      <c r="N17" s="218"/>
      <c r="O17" s="8" t="s">
        <v>50</v>
      </c>
      <c r="P17" s="9" t="s">
        <v>50</v>
      </c>
      <c r="Q17" s="35"/>
      <c r="R17" s="36">
        <f>15100+1400</f>
        <v>16500</v>
      </c>
      <c r="S17" s="189" cm="1">
        <f t="array" ref="S17">_xlfn.IFS(R17&gt;17000,R17*50%,R17&lt;10500,R17*20%,R17&lt;17000,R17*40%)</f>
        <v>6600</v>
      </c>
      <c r="T17" s="189">
        <v>1600</v>
      </c>
      <c r="U17" s="189">
        <f t="shared" si="0"/>
        <v>1375</v>
      </c>
      <c r="V17" s="41">
        <f>7925+2000</f>
        <v>9925</v>
      </c>
      <c r="W17" s="189">
        <f t="shared" si="11"/>
        <v>0</v>
      </c>
      <c r="X17" s="189">
        <f t="shared" si="1"/>
        <v>0</v>
      </c>
      <c r="Y17" s="28">
        <f t="shared" si="2"/>
        <v>0</v>
      </c>
      <c r="Z17" s="29">
        <f t="shared" si="3"/>
        <v>36000</v>
      </c>
      <c r="AA17" s="29">
        <f t="shared" si="12"/>
        <v>0</v>
      </c>
      <c r="AB17" s="29">
        <f t="shared" si="6"/>
        <v>0</v>
      </c>
      <c r="AC17" s="29">
        <f t="shared" si="7"/>
        <v>0</v>
      </c>
      <c r="AD17" s="29">
        <f t="shared" si="8"/>
        <v>0</v>
      </c>
      <c r="AE17" s="29">
        <f t="shared" si="9"/>
        <v>200</v>
      </c>
      <c r="AF17" s="30">
        <f t="shared" si="10"/>
        <v>35800</v>
      </c>
      <c r="AG17" s="29">
        <f t="shared" si="4"/>
        <v>36000</v>
      </c>
      <c r="AH17" s="38">
        <f t="shared" si="5"/>
        <v>432000</v>
      </c>
      <c r="AI17" s="270"/>
      <c r="AJ17" s="128">
        <v>36000</v>
      </c>
      <c r="AK17" s="128"/>
      <c r="AL17" s="204"/>
      <c r="AM17" s="128"/>
      <c r="AN17" s="128"/>
      <c r="AO17" s="128"/>
      <c r="AP17" s="128"/>
    </row>
    <row r="18" spans="1:42" s="45" customFormat="1" ht="25.2" customHeight="1" x14ac:dyDescent="0.3">
      <c r="A18" s="64">
        <v>14</v>
      </c>
      <c r="B18" s="70" t="s">
        <v>120</v>
      </c>
      <c r="C18" s="70"/>
      <c r="D18" s="70" t="s">
        <v>154</v>
      </c>
      <c r="E18" s="70" t="s">
        <v>134</v>
      </c>
      <c r="F18" s="70" t="s">
        <v>46</v>
      </c>
      <c r="G18" s="70" t="s">
        <v>85</v>
      </c>
      <c r="H18" s="71">
        <v>43405</v>
      </c>
      <c r="I18" s="65" t="s">
        <v>51</v>
      </c>
      <c r="J18" s="80" t="s">
        <v>87</v>
      </c>
      <c r="K18" s="77" t="s">
        <v>87</v>
      </c>
      <c r="L18" s="69"/>
      <c r="M18" s="55" t="s">
        <v>48</v>
      </c>
      <c r="N18" s="217"/>
      <c r="O18" s="10" t="s">
        <v>50</v>
      </c>
      <c r="P18" s="11" t="s">
        <v>50</v>
      </c>
      <c r="Q18" s="35"/>
      <c r="R18" s="36">
        <f>15100+1400</f>
        <v>16500</v>
      </c>
      <c r="S18" s="189" cm="1">
        <f t="array" ref="S18">_xlfn.IFS(R18&gt;17000,R18*50%,R18&lt;10500,R18*20%,R18&lt;17000,R18*40%)</f>
        <v>6600</v>
      </c>
      <c r="T18" s="189">
        <v>1600</v>
      </c>
      <c r="U18" s="189">
        <f t="shared" si="0"/>
        <v>1375</v>
      </c>
      <c r="V18" s="41">
        <f>6425+2500</f>
        <v>8925</v>
      </c>
      <c r="W18" s="189">
        <f t="shared" si="11"/>
        <v>0</v>
      </c>
      <c r="X18" s="189">
        <f t="shared" si="1"/>
        <v>0</v>
      </c>
      <c r="Y18" s="28">
        <f t="shared" si="2"/>
        <v>0</v>
      </c>
      <c r="Z18" s="29">
        <f t="shared" si="3"/>
        <v>35000</v>
      </c>
      <c r="AA18" s="29">
        <f t="shared" si="12"/>
        <v>0</v>
      </c>
      <c r="AB18" s="29">
        <f t="shared" si="6"/>
        <v>0</v>
      </c>
      <c r="AC18" s="29">
        <f t="shared" si="7"/>
        <v>0</v>
      </c>
      <c r="AD18" s="29">
        <f t="shared" si="8"/>
        <v>0</v>
      </c>
      <c r="AE18" s="29">
        <f t="shared" si="9"/>
        <v>200</v>
      </c>
      <c r="AF18" s="30">
        <f t="shared" si="10"/>
        <v>34800</v>
      </c>
      <c r="AG18" s="29">
        <f t="shared" si="4"/>
        <v>35000</v>
      </c>
      <c r="AH18" s="38">
        <f t="shared" si="5"/>
        <v>420000</v>
      </c>
      <c r="AI18" s="270"/>
      <c r="AJ18" s="128">
        <v>35000</v>
      </c>
      <c r="AK18" s="128"/>
      <c r="AL18" s="204"/>
      <c r="AM18" s="128"/>
      <c r="AN18" s="128"/>
      <c r="AO18" s="128"/>
      <c r="AP18" s="128"/>
    </row>
    <row r="19" spans="1:42" s="33" customFormat="1" ht="25.2" customHeight="1" x14ac:dyDescent="0.3">
      <c r="A19" s="64">
        <v>15</v>
      </c>
      <c r="B19" s="70" t="s">
        <v>121</v>
      </c>
      <c r="C19" s="70"/>
      <c r="D19" s="70" t="s">
        <v>155</v>
      </c>
      <c r="E19" s="70" t="s">
        <v>156</v>
      </c>
      <c r="F19" s="70" t="s">
        <v>55</v>
      </c>
      <c r="G19" s="65" t="s">
        <v>54</v>
      </c>
      <c r="H19" s="66">
        <v>44175</v>
      </c>
      <c r="I19" s="70" t="s">
        <v>51</v>
      </c>
      <c r="J19" s="80" t="s">
        <v>87</v>
      </c>
      <c r="K19" s="78" t="s">
        <v>87</v>
      </c>
      <c r="L19" s="77"/>
      <c r="M19" s="55" t="s">
        <v>48</v>
      </c>
      <c r="N19" s="218"/>
      <c r="O19" s="8" t="s">
        <v>50</v>
      </c>
      <c r="P19" s="9" t="s">
        <v>50</v>
      </c>
      <c r="Q19" s="35"/>
      <c r="R19" s="36">
        <f>15100+1400</f>
        <v>16500</v>
      </c>
      <c r="S19" s="189" cm="1">
        <f t="array" ref="S19">_xlfn.IFS(R19&gt;17000,R19*50%,R19&lt;10500,R19*20%,R19&lt;17000,R19*40%)</f>
        <v>6600</v>
      </c>
      <c r="T19" s="189">
        <v>1600</v>
      </c>
      <c r="U19" s="189">
        <f t="shared" si="0"/>
        <v>1375</v>
      </c>
      <c r="V19" s="41">
        <f>31925+3000</f>
        <v>34925</v>
      </c>
      <c r="W19" s="189">
        <f t="shared" si="11"/>
        <v>0</v>
      </c>
      <c r="X19" s="189">
        <f t="shared" si="1"/>
        <v>0</v>
      </c>
      <c r="Y19" s="28">
        <f t="shared" si="2"/>
        <v>0</v>
      </c>
      <c r="Z19" s="29">
        <f t="shared" si="3"/>
        <v>61000</v>
      </c>
      <c r="AA19" s="29">
        <f t="shared" si="12"/>
        <v>0</v>
      </c>
      <c r="AB19" s="29">
        <f t="shared" si="6"/>
        <v>0</v>
      </c>
      <c r="AC19" s="29">
        <f t="shared" si="7"/>
        <v>0</v>
      </c>
      <c r="AD19" s="29">
        <f t="shared" si="8"/>
        <v>0</v>
      </c>
      <c r="AE19" s="29">
        <f t="shared" si="9"/>
        <v>200</v>
      </c>
      <c r="AF19" s="30">
        <f t="shared" si="10"/>
        <v>60800</v>
      </c>
      <c r="AG19" s="29">
        <f t="shared" si="4"/>
        <v>61000</v>
      </c>
      <c r="AH19" s="38">
        <f t="shared" si="5"/>
        <v>732000</v>
      </c>
      <c r="AI19" s="270"/>
      <c r="AJ19" s="128">
        <v>61000</v>
      </c>
      <c r="AK19" s="128"/>
      <c r="AL19" s="204"/>
      <c r="AM19" s="128"/>
      <c r="AN19" s="128"/>
      <c r="AO19" s="128"/>
      <c r="AP19" s="128"/>
    </row>
    <row r="20" spans="1:42" s="33" customFormat="1" ht="25.2" customHeight="1" x14ac:dyDescent="0.3">
      <c r="A20" s="64">
        <v>16</v>
      </c>
      <c r="B20" s="70" t="s">
        <v>122</v>
      </c>
      <c r="C20" s="65"/>
      <c r="D20" s="81" t="s">
        <v>158</v>
      </c>
      <c r="E20" s="70" t="s">
        <v>142</v>
      </c>
      <c r="F20" s="70" t="s">
        <v>46</v>
      </c>
      <c r="G20" s="70" t="s">
        <v>85</v>
      </c>
      <c r="H20" s="71">
        <v>44440</v>
      </c>
      <c r="I20" s="70" t="s">
        <v>51</v>
      </c>
      <c r="J20" s="76">
        <v>101276272048</v>
      </c>
      <c r="K20" s="77">
        <v>3517199097</v>
      </c>
      <c r="L20" s="78"/>
      <c r="M20" s="55" t="s">
        <v>48</v>
      </c>
      <c r="N20" s="219"/>
      <c r="O20" s="8" t="s">
        <v>49</v>
      </c>
      <c r="P20" s="9" t="s">
        <v>50</v>
      </c>
      <c r="Q20" s="39"/>
      <c r="R20" s="40">
        <f>10000</f>
        <v>10000</v>
      </c>
      <c r="S20" s="189" cm="1">
        <f t="array" ref="S20">_xlfn.IFS(R20&gt;17000,R20*50%,R20&lt;10500,R20*20%,R20&lt;17000,R20*40%)</f>
        <v>2000</v>
      </c>
      <c r="T20" s="189">
        <v>1600</v>
      </c>
      <c r="U20" s="189">
        <f t="shared" si="0"/>
        <v>833</v>
      </c>
      <c r="V20" s="41">
        <f>8467+1300</f>
        <v>9767</v>
      </c>
      <c r="W20" s="189">
        <f t="shared" si="11"/>
        <v>1800</v>
      </c>
      <c r="X20" s="189">
        <f t="shared" si="1"/>
        <v>1800</v>
      </c>
      <c r="Y20" s="28">
        <f t="shared" si="2"/>
        <v>0</v>
      </c>
      <c r="Z20" s="29">
        <f t="shared" si="3"/>
        <v>27800</v>
      </c>
      <c r="AA20" s="29">
        <f t="shared" si="12"/>
        <v>1800</v>
      </c>
      <c r="AB20" s="29">
        <f t="shared" si="6"/>
        <v>1800</v>
      </c>
      <c r="AC20" s="29">
        <f t="shared" si="7"/>
        <v>0</v>
      </c>
      <c r="AD20" s="29">
        <f t="shared" si="8"/>
        <v>0</v>
      </c>
      <c r="AE20" s="29">
        <f t="shared" si="9"/>
        <v>200</v>
      </c>
      <c r="AF20" s="30">
        <f t="shared" si="10"/>
        <v>24000</v>
      </c>
      <c r="AG20" s="29">
        <f t="shared" si="4"/>
        <v>27800</v>
      </c>
      <c r="AH20" s="38">
        <f t="shared" si="5"/>
        <v>333600</v>
      </c>
      <c r="AI20" s="270"/>
      <c r="AJ20" s="128">
        <v>27800</v>
      </c>
      <c r="AK20" s="128"/>
      <c r="AL20" s="204"/>
      <c r="AM20" s="128"/>
      <c r="AN20" s="128"/>
      <c r="AO20" s="128"/>
      <c r="AP20" s="128"/>
    </row>
    <row r="21" spans="1:42" s="33" customFormat="1" ht="25.2" customHeight="1" x14ac:dyDescent="0.3">
      <c r="A21" s="64">
        <v>17</v>
      </c>
      <c r="B21" s="70" t="s">
        <v>123</v>
      </c>
      <c r="C21" s="70"/>
      <c r="D21" s="81" t="s">
        <v>159</v>
      </c>
      <c r="E21" s="70" t="s">
        <v>142</v>
      </c>
      <c r="F21" s="70" t="s">
        <v>46</v>
      </c>
      <c r="G21" s="70" t="s">
        <v>85</v>
      </c>
      <c r="H21" s="66">
        <v>44562</v>
      </c>
      <c r="I21" s="70" t="s">
        <v>47</v>
      </c>
      <c r="J21" s="76">
        <v>101413492317</v>
      </c>
      <c r="K21" s="77">
        <v>3517296877</v>
      </c>
      <c r="L21" s="77"/>
      <c r="M21" s="55" t="s">
        <v>48</v>
      </c>
      <c r="N21" s="217"/>
      <c r="O21" s="8" t="s">
        <v>49</v>
      </c>
      <c r="P21" s="9" t="s">
        <v>50</v>
      </c>
      <c r="Q21" s="35"/>
      <c r="R21" s="40">
        <f>10000</f>
        <v>10000</v>
      </c>
      <c r="S21" s="189" cm="1">
        <f t="array" ref="S21">_xlfn.IFS(R21&gt;17000,R21*50%,R21&lt;10500,R21*20%,R21&lt;17000,R21*40%)</f>
        <v>2000</v>
      </c>
      <c r="T21" s="189">
        <v>1600</v>
      </c>
      <c r="U21" s="189">
        <f t="shared" si="0"/>
        <v>833</v>
      </c>
      <c r="V21" s="41">
        <f>4656-33+844+1200</f>
        <v>6667</v>
      </c>
      <c r="W21" s="189">
        <f t="shared" si="11"/>
        <v>1800</v>
      </c>
      <c r="X21" s="189">
        <f t="shared" si="1"/>
        <v>1800</v>
      </c>
      <c r="Y21" s="28">
        <f t="shared" si="2"/>
        <v>0</v>
      </c>
      <c r="Z21" s="29">
        <f t="shared" si="3"/>
        <v>24700</v>
      </c>
      <c r="AA21" s="29">
        <f t="shared" si="12"/>
        <v>1800</v>
      </c>
      <c r="AB21" s="29">
        <f t="shared" si="6"/>
        <v>1800</v>
      </c>
      <c r="AC21" s="29">
        <f t="shared" si="7"/>
        <v>0</v>
      </c>
      <c r="AD21" s="29">
        <f t="shared" si="8"/>
        <v>0</v>
      </c>
      <c r="AE21" s="29">
        <f t="shared" si="9"/>
        <v>0</v>
      </c>
      <c r="AF21" s="42">
        <f>ROUND(Z21-SUM(AA21:AE21),0)</f>
        <v>21100</v>
      </c>
      <c r="AG21" s="43">
        <f t="shared" si="4"/>
        <v>24700</v>
      </c>
      <c r="AH21" s="44">
        <f t="shared" si="5"/>
        <v>296400</v>
      </c>
      <c r="AI21" s="270"/>
      <c r="AJ21" s="298">
        <v>24700</v>
      </c>
      <c r="AK21" s="128"/>
      <c r="AL21" s="204"/>
      <c r="AM21" s="128"/>
      <c r="AN21" s="128"/>
      <c r="AO21" s="128"/>
      <c r="AP21" s="128"/>
    </row>
    <row r="22" spans="1:42" s="33" customFormat="1" ht="25.2" customHeight="1" x14ac:dyDescent="0.3">
      <c r="A22" s="64">
        <v>18</v>
      </c>
      <c r="B22" s="70" t="s">
        <v>124</v>
      </c>
      <c r="C22" s="70"/>
      <c r="D22" s="70" t="s">
        <v>160</v>
      </c>
      <c r="E22" s="70" t="s">
        <v>161</v>
      </c>
      <c r="F22" s="70" t="s">
        <v>55</v>
      </c>
      <c r="G22" s="70" t="s">
        <v>54</v>
      </c>
      <c r="H22" s="71">
        <v>44774</v>
      </c>
      <c r="I22" s="70" t="s">
        <v>51</v>
      </c>
      <c r="J22" s="72">
        <v>101865613126</v>
      </c>
      <c r="K22" s="63">
        <v>3517670708</v>
      </c>
      <c r="L22" s="63"/>
      <c r="M22" s="55" t="s">
        <v>48</v>
      </c>
      <c r="N22" s="219"/>
      <c r="O22" s="8" t="s">
        <v>49</v>
      </c>
      <c r="P22" s="9" t="s">
        <v>49</v>
      </c>
      <c r="Q22" s="39"/>
      <c r="R22" s="40">
        <f>10000</f>
        <v>10000</v>
      </c>
      <c r="S22" s="189" cm="1">
        <f t="array" ref="S22">_xlfn.IFS(R22&gt;17000,R22*50%,R22&lt;10500,R22*20%,R22&lt;17000,R22*40%)</f>
        <v>2000</v>
      </c>
      <c r="T22" s="189">
        <v>1600</v>
      </c>
      <c r="U22" s="189">
        <f t="shared" si="0"/>
        <v>833</v>
      </c>
      <c r="V22" s="41">
        <f>3817+1000</f>
        <v>4817</v>
      </c>
      <c r="W22" s="189">
        <f t="shared" si="11"/>
        <v>0</v>
      </c>
      <c r="X22" s="189">
        <f t="shared" si="1"/>
        <v>0</v>
      </c>
      <c r="Y22" s="28">
        <f t="shared" si="2"/>
        <v>0</v>
      </c>
      <c r="Z22" s="29">
        <f>ROUND(SUM(R22:Y22),0)</f>
        <v>19250</v>
      </c>
      <c r="AA22" s="29">
        <f>ROUND(IF(O22="Yes",IF((Z22-S22)&gt;15000,1800,SUM(Z22-S22)*12%),),)</f>
        <v>1800</v>
      </c>
      <c r="AB22" s="29">
        <f t="shared" si="6"/>
        <v>0</v>
      </c>
      <c r="AC22" s="29">
        <f>ROUND(IF(P22="Yes",Z22*0.75%,0),0)</f>
        <v>144</v>
      </c>
      <c r="AD22" s="29">
        <f t="shared" si="8"/>
        <v>0</v>
      </c>
      <c r="AE22" s="29">
        <f t="shared" si="9"/>
        <v>200</v>
      </c>
      <c r="AF22" s="30">
        <f t="shared" ref="AF22:AF36" si="13">ROUND(Z22-SUM(AA22:AE22),0)</f>
        <v>17106</v>
      </c>
      <c r="AG22" s="29">
        <f t="shared" si="4"/>
        <v>19250</v>
      </c>
      <c r="AH22" s="38">
        <f t="shared" si="5"/>
        <v>231000</v>
      </c>
      <c r="AI22" s="270"/>
      <c r="AJ22" s="298">
        <v>19250</v>
      </c>
      <c r="AK22" s="128"/>
      <c r="AL22" s="204"/>
      <c r="AM22" s="128"/>
      <c r="AN22" s="128"/>
      <c r="AO22" s="128"/>
      <c r="AP22" s="128"/>
    </row>
    <row r="23" spans="1:42" s="45" customFormat="1" ht="25.2" customHeight="1" x14ac:dyDescent="0.3">
      <c r="A23" s="64">
        <v>19</v>
      </c>
      <c r="B23" s="70" t="s">
        <v>125</v>
      </c>
      <c r="C23" s="65"/>
      <c r="D23" s="70" t="s">
        <v>162</v>
      </c>
      <c r="E23" s="70" t="s">
        <v>161</v>
      </c>
      <c r="F23" s="70" t="s">
        <v>55</v>
      </c>
      <c r="G23" s="70" t="s">
        <v>54</v>
      </c>
      <c r="H23" s="71">
        <v>44774</v>
      </c>
      <c r="I23" s="70" t="s">
        <v>51</v>
      </c>
      <c r="J23" s="72">
        <v>101865613135</v>
      </c>
      <c r="K23" s="295">
        <v>3517670835</v>
      </c>
      <c r="L23" s="63"/>
      <c r="M23" s="55" t="s">
        <v>48</v>
      </c>
      <c r="N23" s="217"/>
      <c r="O23" s="8" t="s">
        <v>49</v>
      </c>
      <c r="P23" s="9" t="s">
        <v>49</v>
      </c>
      <c r="Q23" s="35"/>
      <c r="R23" s="40">
        <f>10000</f>
        <v>10000</v>
      </c>
      <c r="S23" s="189" cm="1">
        <f t="array" ref="S23">_xlfn.IFS(R23&gt;17000,R23*50%,R23&lt;10500,R23*20%,R23&lt;17000,R23*40%)</f>
        <v>2000</v>
      </c>
      <c r="T23" s="189">
        <v>1600</v>
      </c>
      <c r="U23" s="189">
        <f t="shared" si="0"/>
        <v>833</v>
      </c>
      <c r="V23" s="41">
        <f>4317+1000</f>
        <v>5317</v>
      </c>
      <c r="W23" s="189">
        <f t="shared" si="11"/>
        <v>0</v>
      </c>
      <c r="X23" s="189">
        <f t="shared" si="1"/>
        <v>0</v>
      </c>
      <c r="Y23" s="28">
        <f t="shared" si="2"/>
        <v>0</v>
      </c>
      <c r="Z23" s="29">
        <f t="shared" si="3"/>
        <v>19750</v>
      </c>
      <c r="AA23" s="29">
        <f t="shared" si="12"/>
        <v>1800</v>
      </c>
      <c r="AB23" s="29">
        <f t="shared" si="6"/>
        <v>0</v>
      </c>
      <c r="AC23" s="29">
        <f t="shared" si="7"/>
        <v>148</v>
      </c>
      <c r="AD23" s="29">
        <f t="shared" si="8"/>
        <v>0</v>
      </c>
      <c r="AE23" s="29">
        <f t="shared" si="9"/>
        <v>200</v>
      </c>
      <c r="AF23" s="30">
        <f t="shared" si="13"/>
        <v>17602</v>
      </c>
      <c r="AG23" s="29">
        <f t="shared" si="4"/>
        <v>19750</v>
      </c>
      <c r="AH23" s="38">
        <f t="shared" si="5"/>
        <v>237000</v>
      </c>
      <c r="AI23" s="270"/>
      <c r="AJ23" s="298">
        <v>19750</v>
      </c>
      <c r="AK23" s="128"/>
      <c r="AL23" s="204"/>
      <c r="AM23" s="128"/>
      <c r="AN23" s="128"/>
      <c r="AO23" s="128"/>
      <c r="AP23" s="128"/>
    </row>
    <row r="24" spans="1:42" s="33" customFormat="1" ht="25.2" customHeight="1" x14ac:dyDescent="0.3">
      <c r="A24" s="64">
        <v>20</v>
      </c>
      <c r="B24" s="70" t="s">
        <v>126</v>
      </c>
      <c r="C24" s="70"/>
      <c r="D24" s="81" t="s">
        <v>163</v>
      </c>
      <c r="E24" s="70" t="s">
        <v>164</v>
      </c>
      <c r="F24" s="70" t="s">
        <v>46</v>
      </c>
      <c r="G24" s="70" t="s">
        <v>85</v>
      </c>
      <c r="H24" s="71">
        <v>44805</v>
      </c>
      <c r="I24" s="70" t="s">
        <v>51</v>
      </c>
      <c r="J24" s="72">
        <v>101876428980</v>
      </c>
      <c r="K24" s="63">
        <v>3517694410</v>
      </c>
      <c r="L24" s="63"/>
      <c r="M24" s="55" t="s">
        <v>48</v>
      </c>
      <c r="N24" s="217"/>
      <c r="O24" s="8" t="s">
        <v>49</v>
      </c>
      <c r="P24" s="13" t="s">
        <v>50</v>
      </c>
      <c r="Q24" s="35"/>
      <c r="R24" s="40">
        <f>10000</f>
        <v>10000</v>
      </c>
      <c r="S24" s="189" cm="1">
        <f t="array" ref="S24">_xlfn.IFS(R24&gt;17000,R24*50%,R24&lt;10500,R24*20%,R24&lt;17000,R24*40%)</f>
        <v>2000</v>
      </c>
      <c r="T24" s="189">
        <v>1600</v>
      </c>
      <c r="U24" s="189">
        <f t="shared" si="0"/>
        <v>833</v>
      </c>
      <c r="V24" s="41">
        <f>8043+924+3000</f>
        <v>11967</v>
      </c>
      <c r="W24" s="189">
        <f t="shared" si="11"/>
        <v>1800</v>
      </c>
      <c r="X24" s="189">
        <f t="shared" si="1"/>
        <v>1800</v>
      </c>
      <c r="Y24" s="28">
        <f t="shared" si="2"/>
        <v>0</v>
      </c>
      <c r="Z24" s="29">
        <f t="shared" si="3"/>
        <v>30000</v>
      </c>
      <c r="AA24" s="29">
        <f t="shared" si="12"/>
        <v>1800</v>
      </c>
      <c r="AB24" s="29">
        <f t="shared" si="6"/>
        <v>1800</v>
      </c>
      <c r="AC24" s="29">
        <f t="shared" si="7"/>
        <v>0</v>
      </c>
      <c r="AD24" s="29">
        <f t="shared" si="8"/>
        <v>0</v>
      </c>
      <c r="AE24" s="29">
        <f t="shared" si="9"/>
        <v>200</v>
      </c>
      <c r="AF24" s="30">
        <f t="shared" si="13"/>
        <v>26200</v>
      </c>
      <c r="AG24" s="29">
        <f t="shared" si="4"/>
        <v>30000</v>
      </c>
      <c r="AH24" s="38">
        <f t="shared" si="5"/>
        <v>360000</v>
      </c>
      <c r="AI24" s="270"/>
      <c r="AJ24" s="298">
        <v>30000</v>
      </c>
      <c r="AK24" s="128"/>
      <c r="AL24" s="204"/>
      <c r="AM24" s="128"/>
      <c r="AN24" s="128"/>
      <c r="AO24" s="128"/>
      <c r="AP24" s="128"/>
    </row>
    <row r="25" spans="1:42" s="33" customFormat="1" ht="25.2" customHeight="1" x14ac:dyDescent="0.3">
      <c r="A25" s="64">
        <v>21</v>
      </c>
      <c r="B25" s="70" t="s">
        <v>127</v>
      </c>
      <c r="C25" s="70"/>
      <c r="D25" s="81" t="s">
        <v>165</v>
      </c>
      <c r="E25" s="70" t="s">
        <v>56</v>
      </c>
      <c r="F25" s="70" t="s">
        <v>57</v>
      </c>
      <c r="G25" s="70" t="s">
        <v>86</v>
      </c>
      <c r="H25" s="71">
        <v>45202</v>
      </c>
      <c r="I25" s="70" t="s">
        <v>51</v>
      </c>
      <c r="J25" s="72">
        <v>101349756741</v>
      </c>
      <c r="K25" s="63" t="s">
        <v>87</v>
      </c>
      <c r="L25" s="77"/>
      <c r="M25" s="55" t="s">
        <v>48</v>
      </c>
      <c r="N25" s="218"/>
      <c r="O25" s="12" t="s">
        <v>49</v>
      </c>
      <c r="P25" s="13" t="s">
        <v>50</v>
      </c>
      <c r="Q25" s="35"/>
      <c r="R25" s="40">
        <v>11500</v>
      </c>
      <c r="S25" s="189" cm="1">
        <f t="array" ref="S25">_xlfn.IFS(R25&gt;17000,R25*50%,R25&lt;10500,R25*20%,R25&lt;17000,R25*40%)</f>
        <v>4600</v>
      </c>
      <c r="T25" s="189">
        <v>1600</v>
      </c>
      <c r="U25" s="189">
        <f t="shared" si="0"/>
        <v>958</v>
      </c>
      <c r="V25" s="41">
        <f>12742+2500</f>
        <v>15242</v>
      </c>
      <c r="W25" s="189">
        <f t="shared" si="11"/>
        <v>1800</v>
      </c>
      <c r="X25" s="189">
        <f t="shared" si="1"/>
        <v>1800</v>
      </c>
      <c r="Y25" s="28">
        <f t="shared" si="2"/>
        <v>0</v>
      </c>
      <c r="Z25" s="29">
        <f t="shared" si="3"/>
        <v>37500</v>
      </c>
      <c r="AA25" s="29">
        <f t="shared" si="12"/>
        <v>1800</v>
      </c>
      <c r="AB25" s="29">
        <f t="shared" si="6"/>
        <v>1800</v>
      </c>
      <c r="AC25" s="29">
        <f t="shared" si="7"/>
        <v>0</v>
      </c>
      <c r="AD25" s="29">
        <f t="shared" si="8"/>
        <v>0</v>
      </c>
      <c r="AE25" s="29">
        <f t="shared" si="9"/>
        <v>200</v>
      </c>
      <c r="AF25" s="42">
        <f t="shared" si="13"/>
        <v>33700</v>
      </c>
      <c r="AG25" s="43">
        <f t="shared" si="4"/>
        <v>37500</v>
      </c>
      <c r="AH25" s="44">
        <f t="shared" si="5"/>
        <v>450000</v>
      </c>
      <c r="AI25" s="270"/>
      <c r="AJ25" s="128">
        <v>37500</v>
      </c>
      <c r="AK25" s="128"/>
      <c r="AL25" s="204"/>
      <c r="AM25" s="128"/>
      <c r="AN25" s="128"/>
      <c r="AO25" s="128"/>
      <c r="AP25" s="128"/>
    </row>
    <row r="26" spans="1:42" s="33" customFormat="1" ht="25.2" customHeight="1" x14ac:dyDescent="0.3">
      <c r="A26" s="64">
        <v>22</v>
      </c>
      <c r="B26" s="70" t="s">
        <v>128</v>
      </c>
      <c r="C26" s="70"/>
      <c r="D26" s="81" t="s">
        <v>166</v>
      </c>
      <c r="E26" s="70" t="s">
        <v>56</v>
      </c>
      <c r="F26" s="70" t="s">
        <v>57</v>
      </c>
      <c r="G26" s="70" t="s">
        <v>86</v>
      </c>
      <c r="H26" s="71">
        <v>45215</v>
      </c>
      <c r="I26" s="70" t="s">
        <v>51</v>
      </c>
      <c r="J26" s="72">
        <v>101315235480</v>
      </c>
      <c r="K26" s="72" t="s">
        <v>87</v>
      </c>
      <c r="L26" s="63"/>
      <c r="M26" s="55" t="s">
        <v>48</v>
      </c>
      <c r="N26" s="218"/>
      <c r="O26" s="12" t="s">
        <v>49</v>
      </c>
      <c r="P26" s="13" t="s">
        <v>50</v>
      </c>
      <c r="Q26" s="35"/>
      <c r="R26" s="40">
        <v>11500</v>
      </c>
      <c r="S26" s="189" cm="1">
        <f t="array" ref="S26">_xlfn.IFS(R26&gt;17000,R26*50%,R26&lt;10500,R26*20%,R26&lt;17000,R26*40%)</f>
        <v>4600</v>
      </c>
      <c r="T26" s="189">
        <v>1600</v>
      </c>
      <c r="U26" s="189">
        <f t="shared" si="0"/>
        <v>958</v>
      </c>
      <c r="V26" s="41">
        <f>9542+2500</f>
        <v>12042</v>
      </c>
      <c r="W26" s="189">
        <f t="shared" si="11"/>
        <v>1800</v>
      </c>
      <c r="X26" s="189">
        <f t="shared" si="1"/>
        <v>1800</v>
      </c>
      <c r="Y26" s="28">
        <f t="shared" si="2"/>
        <v>0</v>
      </c>
      <c r="Z26" s="29">
        <f t="shared" si="3"/>
        <v>34300</v>
      </c>
      <c r="AA26" s="29">
        <f t="shared" si="12"/>
        <v>1800</v>
      </c>
      <c r="AB26" s="29">
        <f t="shared" si="6"/>
        <v>1800</v>
      </c>
      <c r="AC26" s="29">
        <f t="shared" si="7"/>
        <v>0</v>
      </c>
      <c r="AD26" s="29">
        <f t="shared" si="8"/>
        <v>0</v>
      </c>
      <c r="AE26" s="29">
        <f t="shared" si="9"/>
        <v>200</v>
      </c>
      <c r="AF26" s="30">
        <f t="shared" si="13"/>
        <v>30500</v>
      </c>
      <c r="AG26" s="29">
        <f t="shared" si="4"/>
        <v>34300</v>
      </c>
      <c r="AH26" s="38">
        <f t="shared" si="5"/>
        <v>411600</v>
      </c>
      <c r="AI26" s="270"/>
      <c r="AJ26" s="128">
        <v>34300</v>
      </c>
      <c r="AK26" s="128"/>
      <c r="AL26" s="204"/>
      <c r="AM26" s="128"/>
      <c r="AN26" s="128"/>
      <c r="AO26" s="128"/>
      <c r="AP26" s="128"/>
    </row>
    <row r="27" spans="1:42" s="33" customFormat="1" ht="25.2" customHeight="1" x14ac:dyDescent="0.3">
      <c r="A27" s="64">
        <v>23</v>
      </c>
      <c r="B27" s="70" t="s">
        <v>129</v>
      </c>
      <c r="C27" s="70"/>
      <c r="D27" s="70" t="s">
        <v>166</v>
      </c>
      <c r="E27" s="70" t="s">
        <v>167</v>
      </c>
      <c r="F27" s="70" t="s">
        <v>157</v>
      </c>
      <c r="G27" s="70" t="s">
        <v>54</v>
      </c>
      <c r="H27" s="71">
        <v>45271</v>
      </c>
      <c r="I27" s="70" t="s">
        <v>51</v>
      </c>
      <c r="J27" s="80">
        <v>102032578055</v>
      </c>
      <c r="K27" s="78" t="s">
        <v>87</v>
      </c>
      <c r="L27" s="78" t="s">
        <v>168</v>
      </c>
      <c r="M27" s="55" t="s">
        <v>48</v>
      </c>
      <c r="N27" s="218"/>
      <c r="O27" s="12" t="s">
        <v>49</v>
      </c>
      <c r="P27" s="13" t="s">
        <v>50</v>
      </c>
      <c r="Q27" s="35"/>
      <c r="R27" s="40">
        <v>15000</v>
      </c>
      <c r="S27" s="189" cm="1">
        <f t="array" ref="S27">_xlfn.IFS(R27&gt;17000,R27*50%,R27&lt;10500,R27*20%,R27&lt;17000,R27*40%)</f>
        <v>6000</v>
      </c>
      <c r="T27" s="189">
        <v>1600</v>
      </c>
      <c r="U27" s="189">
        <f t="shared" si="0"/>
        <v>1250</v>
      </c>
      <c r="V27" s="41">
        <f>47550+7500</f>
        <v>55050</v>
      </c>
      <c r="W27" s="189">
        <f t="shared" si="11"/>
        <v>1800</v>
      </c>
      <c r="X27" s="189">
        <f t="shared" si="1"/>
        <v>1800</v>
      </c>
      <c r="Y27" s="28">
        <f t="shared" si="2"/>
        <v>0</v>
      </c>
      <c r="Z27" s="29">
        <f t="shared" si="3"/>
        <v>82500</v>
      </c>
      <c r="AA27" s="29">
        <f t="shared" si="12"/>
        <v>1800</v>
      </c>
      <c r="AB27" s="29">
        <f t="shared" si="6"/>
        <v>1800</v>
      </c>
      <c r="AC27" s="29">
        <f t="shared" si="7"/>
        <v>0</v>
      </c>
      <c r="AD27" s="29">
        <f t="shared" si="8"/>
        <v>0</v>
      </c>
      <c r="AE27" s="29">
        <f t="shared" si="9"/>
        <v>200</v>
      </c>
      <c r="AF27" s="30">
        <f t="shared" si="13"/>
        <v>78700</v>
      </c>
      <c r="AG27" s="29">
        <f t="shared" si="4"/>
        <v>82500</v>
      </c>
      <c r="AH27" s="38">
        <f t="shared" si="5"/>
        <v>990000</v>
      </c>
      <c r="AI27" s="270"/>
      <c r="AJ27" s="128">
        <v>82500</v>
      </c>
      <c r="AK27" s="128"/>
      <c r="AL27" s="204"/>
      <c r="AM27" s="128"/>
      <c r="AN27" s="128"/>
      <c r="AO27" s="128"/>
      <c r="AP27" s="128"/>
    </row>
    <row r="28" spans="1:42" s="33" customFormat="1" ht="25.2" customHeight="1" x14ac:dyDescent="0.3">
      <c r="A28" s="64">
        <v>24</v>
      </c>
      <c r="B28" s="70" t="s">
        <v>130</v>
      </c>
      <c r="C28" s="70"/>
      <c r="D28" s="70" t="s">
        <v>169</v>
      </c>
      <c r="E28" s="70" t="s">
        <v>167</v>
      </c>
      <c r="F28" s="70" t="s">
        <v>157</v>
      </c>
      <c r="G28" s="70" t="s">
        <v>54</v>
      </c>
      <c r="H28" s="66">
        <v>45271</v>
      </c>
      <c r="I28" s="65" t="s">
        <v>51</v>
      </c>
      <c r="J28" s="80">
        <v>101906330962</v>
      </c>
      <c r="K28" s="78" t="s">
        <v>87</v>
      </c>
      <c r="L28" s="69" t="s">
        <v>170</v>
      </c>
      <c r="M28" s="55" t="s">
        <v>48</v>
      </c>
      <c r="N28" s="219"/>
      <c r="O28" s="12" t="s">
        <v>49</v>
      </c>
      <c r="P28" s="13" t="s">
        <v>50</v>
      </c>
      <c r="Q28" s="39"/>
      <c r="R28" s="40">
        <v>15000</v>
      </c>
      <c r="S28" s="189" cm="1">
        <f t="array" ref="S28">_xlfn.IFS(R28&gt;17000,R28*50%,R28&lt;10500,R28*20%,R28&lt;17000,R28*40%)</f>
        <v>6000</v>
      </c>
      <c r="T28" s="189">
        <v>1600</v>
      </c>
      <c r="U28" s="189">
        <f t="shared" si="0"/>
        <v>1250</v>
      </c>
      <c r="V28" s="41">
        <f>43550+7500</f>
        <v>51050</v>
      </c>
      <c r="W28" s="189">
        <f t="shared" si="11"/>
        <v>1800</v>
      </c>
      <c r="X28" s="189">
        <f t="shared" si="1"/>
        <v>1800</v>
      </c>
      <c r="Y28" s="28">
        <f t="shared" si="2"/>
        <v>0</v>
      </c>
      <c r="Z28" s="29">
        <f t="shared" si="3"/>
        <v>78500</v>
      </c>
      <c r="AA28" s="29">
        <f t="shared" si="12"/>
        <v>1800</v>
      </c>
      <c r="AB28" s="29">
        <f t="shared" si="6"/>
        <v>1800</v>
      </c>
      <c r="AC28" s="29">
        <f t="shared" si="7"/>
        <v>0</v>
      </c>
      <c r="AD28" s="29">
        <f t="shared" si="8"/>
        <v>0</v>
      </c>
      <c r="AE28" s="29">
        <f t="shared" si="9"/>
        <v>200</v>
      </c>
      <c r="AF28" s="30">
        <f t="shared" si="13"/>
        <v>74700</v>
      </c>
      <c r="AG28" s="29">
        <f t="shared" si="4"/>
        <v>78500</v>
      </c>
      <c r="AH28" s="38">
        <f t="shared" si="5"/>
        <v>942000</v>
      </c>
      <c r="AI28" s="270"/>
      <c r="AJ28" s="128">
        <v>78500</v>
      </c>
      <c r="AK28" s="128"/>
      <c r="AL28" s="204"/>
      <c r="AM28" s="128"/>
      <c r="AN28" s="128"/>
      <c r="AO28" s="128"/>
      <c r="AP28" s="128"/>
    </row>
    <row r="29" spans="1:42" s="33" customFormat="1" ht="25.2" customHeight="1" x14ac:dyDescent="0.3">
      <c r="A29" s="75">
        <v>25</v>
      </c>
      <c r="B29" s="70" t="s">
        <v>131</v>
      </c>
      <c r="C29" s="70"/>
      <c r="D29" s="70" t="s">
        <v>171</v>
      </c>
      <c r="E29" s="65" t="s">
        <v>172</v>
      </c>
      <c r="F29" s="70" t="s">
        <v>173</v>
      </c>
      <c r="G29" s="70" t="s">
        <v>85</v>
      </c>
      <c r="H29" s="66">
        <v>45293</v>
      </c>
      <c r="I29" s="65" t="s">
        <v>47</v>
      </c>
      <c r="J29" s="80">
        <v>100179202231</v>
      </c>
      <c r="K29" s="78" t="s">
        <v>174</v>
      </c>
      <c r="L29" s="69" t="s">
        <v>175</v>
      </c>
      <c r="M29" s="55" t="s">
        <v>48</v>
      </c>
      <c r="N29" s="219"/>
      <c r="O29" s="46" t="s">
        <v>49</v>
      </c>
      <c r="P29" s="47" t="s">
        <v>50</v>
      </c>
      <c r="Q29" s="39"/>
      <c r="R29" s="40">
        <v>10000</v>
      </c>
      <c r="S29" s="189" cm="1">
        <f t="array" ref="S29">_xlfn.IFS(R29&gt;17000,R29*50%,R29&lt;10500,R29*20%,R29&lt;17000,R29*40%)</f>
        <v>2000</v>
      </c>
      <c r="T29" s="189">
        <v>1600</v>
      </c>
      <c r="U29" s="189">
        <f t="shared" si="0"/>
        <v>833</v>
      </c>
      <c r="V29" s="41">
        <f>12967+1500</f>
        <v>14467</v>
      </c>
      <c r="W29" s="189">
        <f t="shared" si="11"/>
        <v>1800</v>
      </c>
      <c r="X29" s="189">
        <f t="shared" si="1"/>
        <v>1800</v>
      </c>
      <c r="Y29" s="28">
        <f t="shared" si="2"/>
        <v>0</v>
      </c>
      <c r="Z29" s="29">
        <f t="shared" si="3"/>
        <v>32500</v>
      </c>
      <c r="AA29" s="29">
        <f t="shared" si="12"/>
        <v>1800</v>
      </c>
      <c r="AB29" s="29">
        <f t="shared" si="6"/>
        <v>1800</v>
      </c>
      <c r="AC29" s="29">
        <f t="shared" si="7"/>
        <v>0</v>
      </c>
      <c r="AD29" s="29">
        <f t="shared" si="8"/>
        <v>0</v>
      </c>
      <c r="AE29" s="29">
        <f t="shared" si="9"/>
        <v>200</v>
      </c>
      <c r="AF29" s="30">
        <f t="shared" si="13"/>
        <v>28700</v>
      </c>
      <c r="AG29" s="29">
        <f t="shared" si="4"/>
        <v>32500</v>
      </c>
      <c r="AH29" s="38">
        <f t="shared" si="5"/>
        <v>390000</v>
      </c>
      <c r="AI29" s="270"/>
      <c r="AJ29" s="128">
        <v>32500</v>
      </c>
      <c r="AK29" s="128"/>
      <c r="AL29" s="204"/>
      <c r="AM29" s="128"/>
      <c r="AN29" s="128"/>
      <c r="AO29" s="128"/>
      <c r="AP29" s="128"/>
    </row>
    <row r="30" spans="1:42" s="33" customFormat="1" ht="25.2" customHeight="1" x14ac:dyDescent="0.3">
      <c r="A30" s="64">
        <v>26</v>
      </c>
      <c r="B30" s="70" t="s">
        <v>132</v>
      </c>
      <c r="C30" s="70"/>
      <c r="D30" s="70" t="s">
        <v>176</v>
      </c>
      <c r="E30" s="70" t="s">
        <v>177</v>
      </c>
      <c r="F30" s="70" t="s">
        <v>55</v>
      </c>
      <c r="G30" s="70" t="s">
        <v>98</v>
      </c>
      <c r="H30" s="66">
        <v>45384</v>
      </c>
      <c r="I30" s="65" t="s">
        <v>51</v>
      </c>
      <c r="J30" s="80" t="s">
        <v>178</v>
      </c>
      <c r="K30" s="78" t="s">
        <v>87</v>
      </c>
      <c r="L30" s="69" t="s">
        <v>87</v>
      </c>
      <c r="M30" s="55" t="s">
        <v>48</v>
      </c>
      <c r="N30" s="219"/>
      <c r="O30" s="46" t="s">
        <v>50</v>
      </c>
      <c r="P30" s="47" t="s">
        <v>50</v>
      </c>
      <c r="Q30" s="39"/>
      <c r="R30" s="40">
        <v>15000</v>
      </c>
      <c r="S30" s="189" cm="1">
        <f t="array" ref="S30">_xlfn.IFS(R30&gt;17000,R30*50%,R30&lt;10500,R30*20%,R30&lt;17000,R30*40%)</f>
        <v>6000</v>
      </c>
      <c r="T30" s="189">
        <v>1600</v>
      </c>
      <c r="U30" s="189">
        <f t="shared" si="0"/>
        <v>1250</v>
      </c>
      <c r="V30" s="41">
        <f>11150+2000</f>
        <v>13150</v>
      </c>
      <c r="W30" s="189">
        <f t="shared" si="11"/>
        <v>0</v>
      </c>
      <c r="X30" s="189">
        <f t="shared" si="1"/>
        <v>0</v>
      </c>
      <c r="Y30" s="28">
        <f t="shared" si="2"/>
        <v>0</v>
      </c>
      <c r="Z30" s="29">
        <f t="shared" si="3"/>
        <v>37000</v>
      </c>
      <c r="AA30" s="29">
        <f t="shared" si="12"/>
        <v>0</v>
      </c>
      <c r="AB30" s="29">
        <f t="shared" si="6"/>
        <v>0</v>
      </c>
      <c r="AC30" s="29">
        <f t="shared" si="7"/>
        <v>0</v>
      </c>
      <c r="AD30" s="29">
        <f t="shared" si="8"/>
        <v>0</v>
      </c>
      <c r="AE30" s="29">
        <f t="shared" si="9"/>
        <v>200</v>
      </c>
      <c r="AF30" s="30">
        <f t="shared" si="13"/>
        <v>36800</v>
      </c>
      <c r="AG30" s="29">
        <f t="shared" si="4"/>
        <v>37000</v>
      </c>
      <c r="AH30" s="38">
        <f t="shared" si="5"/>
        <v>444000</v>
      </c>
      <c r="AI30" s="270"/>
      <c r="AJ30" s="128">
        <v>37000</v>
      </c>
      <c r="AK30" s="128"/>
      <c r="AL30" s="204"/>
      <c r="AM30" s="128"/>
      <c r="AN30" s="128"/>
      <c r="AO30" s="128"/>
      <c r="AP30" s="128"/>
    </row>
    <row r="31" spans="1:42" s="45" customFormat="1" ht="25.2" customHeight="1" x14ac:dyDescent="0.3">
      <c r="A31" s="64">
        <v>27</v>
      </c>
      <c r="B31" s="70" t="s">
        <v>182</v>
      </c>
      <c r="C31" s="70"/>
      <c r="D31" s="70" t="s">
        <v>183</v>
      </c>
      <c r="E31" s="70" t="s">
        <v>184</v>
      </c>
      <c r="F31" s="70" t="s">
        <v>46</v>
      </c>
      <c r="G31" s="70" t="s">
        <v>85</v>
      </c>
      <c r="H31" s="66">
        <v>45444</v>
      </c>
      <c r="I31" s="70" t="s">
        <v>51</v>
      </c>
      <c r="J31" s="76">
        <v>102077286251</v>
      </c>
      <c r="K31" s="77" t="s">
        <v>87</v>
      </c>
      <c r="L31" s="77" t="s">
        <v>185</v>
      </c>
      <c r="M31" s="56" t="s">
        <v>48</v>
      </c>
      <c r="N31" s="218"/>
      <c r="O31" s="12" t="s">
        <v>49</v>
      </c>
      <c r="P31" s="13" t="s">
        <v>50</v>
      </c>
      <c r="Q31" s="35"/>
      <c r="R31" s="36">
        <v>10000</v>
      </c>
      <c r="S31" s="189" cm="1">
        <f t="array" ref="S31">_xlfn.IFS(R31&gt;17000,R31*50%,R31&lt;10500,R31*20%,R31&lt;17000,R31*40%)</f>
        <v>2000</v>
      </c>
      <c r="T31" s="189">
        <v>1600</v>
      </c>
      <c r="U31" s="189">
        <f t="shared" si="0"/>
        <v>833</v>
      </c>
      <c r="V31" s="41">
        <f>4967+2000</f>
        <v>6967</v>
      </c>
      <c r="W31" s="189">
        <f t="shared" si="11"/>
        <v>1800</v>
      </c>
      <c r="X31" s="189">
        <f t="shared" si="1"/>
        <v>1800</v>
      </c>
      <c r="Y31" s="28">
        <f t="shared" si="2"/>
        <v>0</v>
      </c>
      <c r="Z31" s="29">
        <f t="shared" si="3"/>
        <v>25000</v>
      </c>
      <c r="AA31" s="29">
        <f t="shared" si="12"/>
        <v>1800</v>
      </c>
      <c r="AB31" s="29">
        <f t="shared" si="6"/>
        <v>1800</v>
      </c>
      <c r="AC31" s="29">
        <f t="shared" si="7"/>
        <v>0</v>
      </c>
      <c r="AD31" s="29">
        <f t="shared" si="8"/>
        <v>0</v>
      </c>
      <c r="AE31" s="29">
        <f t="shared" si="9"/>
        <v>200</v>
      </c>
      <c r="AF31" s="30">
        <f t="shared" si="13"/>
        <v>21200</v>
      </c>
      <c r="AG31" s="29">
        <f t="shared" si="4"/>
        <v>25000</v>
      </c>
      <c r="AH31" s="38">
        <f t="shared" si="5"/>
        <v>300000</v>
      </c>
      <c r="AI31" s="270"/>
      <c r="AJ31" s="128">
        <v>25000</v>
      </c>
      <c r="AK31" s="128"/>
      <c r="AL31" s="204"/>
      <c r="AM31" s="128"/>
      <c r="AN31" s="128"/>
      <c r="AO31" s="128"/>
      <c r="AP31" s="128"/>
    </row>
    <row r="32" spans="1:42" s="33" customFormat="1" ht="25.2" customHeight="1" x14ac:dyDescent="0.3">
      <c r="A32" s="64">
        <v>28</v>
      </c>
      <c r="B32" s="70" t="s">
        <v>229</v>
      </c>
      <c r="C32" s="70"/>
      <c r="D32" s="70" t="s">
        <v>171</v>
      </c>
      <c r="E32" s="70" t="s">
        <v>136</v>
      </c>
      <c r="F32" s="70" t="s">
        <v>46</v>
      </c>
      <c r="G32" s="70" t="s">
        <v>85</v>
      </c>
      <c r="H32" s="71">
        <v>45389</v>
      </c>
      <c r="I32" s="70" t="s">
        <v>51</v>
      </c>
      <c r="J32" s="76">
        <v>102011734457</v>
      </c>
      <c r="K32" s="78"/>
      <c r="L32" s="77" t="s">
        <v>230</v>
      </c>
      <c r="M32" s="55" t="s">
        <v>48</v>
      </c>
      <c r="N32" s="219"/>
      <c r="O32" s="12" t="s">
        <v>49</v>
      </c>
      <c r="P32" s="13" t="s">
        <v>49</v>
      </c>
      <c r="Q32" s="39"/>
      <c r="R32" s="40">
        <v>10000</v>
      </c>
      <c r="S32" s="189" cm="1">
        <f t="array" ref="S32">_xlfn.IFS(R32&gt;17000,R32*50%,R32&lt;10500,R32*20%,R32&lt;17000,R32*40%)</f>
        <v>2000</v>
      </c>
      <c r="T32" s="189">
        <v>1600</v>
      </c>
      <c r="U32" s="189">
        <f t="shared" si="0"/>
        <v>833</v>
      </c>
      <c r="V32" s="41">
        <f>1317+0</f>
        <v>1317</v>
      </c>
      <c r="W32" s="189">
        <v>1800</v>
      </c>
      <c r="X32" s="189">
        <v>1800</v>
      </c>
      <c r="Y32" s="28">
        <v>650</v>
      </c>
      <c r="Z32" s="29">
        <f t="shared" si="3"/>
        <v>20000</v>
      </c>
      <c r="AA32" s="29">
        <f t="shared" si="12"/>
        <v>1800</v>
      </c>
      <c r="AB32" s="29">
        <f t="shared" si="6"/>
        <v>1800</v>
      </c>
      <c r="AC32" s="29">
        <f t="shared" si="7"/>
        <v>150</v>
      </c>
      <c r="AD32" s="29">
        <f t="shared" si="8"/>
        <v>650</v>
      </c>
      <c r="AE32" s="29">
        <f t="shared" si="9"/>
        <v>200</v>
      </c>
      <c r="AF32" s="30">
        <f t="shared" si="13"/>
        <v>15400</v>
      </c>
      <c r="AG32" s="29">
        <f t="shared" si="4"/>
        <v>20000</v>
      </c>
      <c r="AH32" s="38">
        <f t="shared" si="5"/>
        <v>240000</v>
      </c>
      <c r="AI32" s="270"/>
      <c r="AJ32" s="128">
        <v>20000</v>
      </c>
      <c r="AK32" s="128"/>
      <c r="AL32" s="204"/>
      <c r="AM32" s="128"/>
      <c r="AN32" s="128"/>
      <c r="AO32" s="128"/>
      <c r="AP32" s="128"/>
    </row>
    <row r="33" spans="1:42" s="45" customFormat="1" ht="25.2" customHeight="1" x14ac:dyDescent="0.3">
      <c r="A33" s="75">
        <v>29</v>
      </c>
      <c r="B33" s="70"/>
      <c r="C33" s="70"/>
      <c r="D33" s="70"/>
      <c r="E33" s="70"/>
      <c r="F33" s="70"/>
      <c r="G33" s="70"/>
      <c r="H33" s="66"/>
      <c r="I33" s="70"/>
      <c r="J33" s="76"/>
      <c r="K33" s="77"/>
      <c r="L33" s="77"/>
      <c r="M33" s="56"/>
      <c r="N33" s="218"/>
      <c r="O33" s="12"/>
      <c r="P33" s="13"/>
      <c r="Q33" s="35"/>
      <c r="R33" s="36"/>
      <c r="S33" s="189" cm="1">
        <f t="array" ref="S33">_xlfn.IFS(R33&gt;17000,R33*50%,R33&lt;10500,R33*20%,R33&lt;17000,R33*40%)</f>
        <v>0</v>
      </c>
      <c r="T33" s="189"/>
      <c r="U33" s="189">
        <f t="shared" si="0"/>
        <v>0</v>
      </c>
      <c r="V33" s="41"/>
      <c r="W33" s="189">
        <f t="shared" ref="W33:W39" si="14">IF(B33="Sagar Kadam",0,IF(B33="Rahul Jadhav",0,ROUND(IF(O33="Yes",IF((AJ33-S33)&gt;15000,1800,SUM(AJ33-S33)*12%),0)+IF(P33="Yes",AJ33*0.75%,0),0)))</f>
        <v>0</v>
      </c>
      <c r="X33" s="189">
        <f t="shared" ref="X33:X39" si="15">IF(B33="Sagar Kadam",0,IF(B33="Rahul Jadhav",0,ROUND(IF(O33="Yes",IF((AJ33-S33)&gt;15000,1800,SUM(AJ33-S33)*12%),),)))</f>
        <v>0</v>
      </c>
      <c r="Y33" s="28">
        <f t="shared" ref="Y33:Y36" si="16">IF(B33="Sagar Kadam",0,IF(B33="Rahul Jadhav",0,ROUND(IF(P33="Yes",AJ33*3.25%,0),0)))</f>
        <v>0</v>
      </c>
      <c r="Z33" s="29">
        <f t="shared" ref="Z33:Z36" si="17">ROUND(SUM(R33:Y33),0)</f>
        <v>0</v>
      </c>
      <c r="AA33" s="29">
        <f t="shared" ref="AA33:AA36" si="18">ROUND(IF(O33="Yes",IF((Z33-S33)&gt;15000,1800,SUM(Z33-S33)*12%),),)</f>
        <v>0</v>
      </c>
      <c r="AB33" s="29">
        <f t="shared" si="6"/>
        <v>0</v>
      </c>
      <c r="AC33" s="29">
        <f t="shared" si="7"/>
        <v>0</v>
      </c>
      <c r="AD33" s="29">
        <f t="shared" si="8"/>
        <v>0</v>
      </c>
      <c r="AE33" s="29">
        <f t="shared" si="9"/>
        <v>0</v>
      </c>
      <c r="AF33" s="30">
        <f t="shared" si="13"/>
        <v>0</v>
      </c>
      <c r="AG33" s="29">
        <f t="shared" si="4"/>
        <v>0</v>
      </c>
      <c r="AH33" s="38">
        <f t="shared" si="5"/>
        <v>0</v>
      </c>
      <c r="AI33" s="270"/>
      <c r="AJ33" s="128"/>
      <c r="AK33" s="128"/>
      <c r="AL33" s="204"/>
      <c r="AM33" s="128"/>
      <c r="AN33" s="128"/>
      <c r="AO33" s="128"/>
      <c r="AP33" s="128"/>
    </row>
    <row r="34" spans="1:42" s="33" customFormat="1" ht="25.2" customHeight="1" x14ac:dyDescent="0.3">
      <c r="A34" s="64">
        <v>30</v>
      </c>
      <c r="B34" s="70"/>
      <c r="C34" s="70"/>
      <c r="D34" s="70"/>
      <c r="E34" s="70"/>
      <c r="F34" s="70"/>
      <c r="G34" s="70"/>
      <c r="H34" s="71"/>
      <c r="I34" s="70"/>
      <c r="J34" s="76"/>
      <c r="K34" s="78"/>
      <c r="L34" s="77"/>
      <c r="M34" s="55"/>
      <c r="N34" s="219"/>
      <c r="O34" s="12"/>
      <c r="P34" s="13"/>
      <c r="Q34" s="39"/>
      <c r="R34" s="40"/>
      <c r="S34" s="189" cm="1">
        <f t="array" ref="S34">_xlfn.IFS(R34&gt;17000,R34*50%,R34&lt;10500,R34*20%,R34&lt;17000,R34*40%)</f>
        <v>0</v>
      </c>
      <c r="T34" s="189"/>
      <c r="U34" s="189">
        <f t="shared" si="0"/>
        <v>0</v>
      </c>
      <c r="V34" s="41"/>
      <c r="W34" s="189">
        <f t="shared" si="14"/>
        <v>0</v>
      </c>
      <c r="X34" s="189">
        <f t="shared" si="15"/>
        <v>0</v>
      </c>
      <c r="Y34" s="28">
        <f t="shared" si="16"/>
        <v>0</v>
      </c>
      <c r="Z34" s="29">
        <f t="shared" si="17"/>
        <v>0</v>
      </c>
      <c r="AA34" s="29">
        <f t="shared" si="18"/>
        <v>0</v>
      </c>
      <c r="AB34" s="29">
        <f t="shared" si="6"/>
        <v>0</v>
      </c>
      <c r="AC34" s="29">
        <f t="shared" si="7"/>
        <v>0</v>
      </c>
      <c r="AD34" s="29">
        <f t="shared" si="8"/>
        <v>0</v>
      </c>
      <c r="AE34" s="29">
        <f t="shared" si="9"/>
        <v>0</v>
      </c>
      <c r="AF34" s="30">
        <f t="shared" si="13"/>
        <v>0</v>
      </c>
      <c r="AG34" s="29">
        <f t="shared" si="4"/>
        <v>0</v>
      </c>
      <c r="AH34" s="38">
        <f t="shared" si="5"/>
        <v>0</v>
      </c>
      <c r="AI34" s="270"/>
      <c r="AJ34" s="128"/>
      <c r="AK34" s="128"/>
      <c r="AL34" s="204"/>
      <c r="AM34" s="128"/>
      <c r="AN34" s="128"/>
      <c r="AO34" s="128"/>
      <c r="AP34" s="128"/>
    </row>
    <row r="35" spans="1:42" s="33" customFormat="1" ht="25.2" customHeight="1" x14ac:dyDescent="0.3">
      <c r="A35" s="64">
        <v>31</v>
      </c>
      <c r="B35" s="70"/>
      <c r="C35" s="70"/>
      <c r="D35" s="70"/>
      <c r="E35" s="70"/>
      <c r="F35" s="70"/>
      <c r="G35" s="70"/>
      <c r="H35" s="71"/>
      <c r="I35" s="70"/>
      <c r="J35" s="76"/>
      <c r="K35" s="78"/>
      <c r="L35" s="77"/>
      <c r="M35" s="56"/>
      <c r="N35" s="217"/>
      <c r="O35" s="12"/>
      <c r="P35" s="13"/>
      <c r="Q35" s="35"/>
      <c r="R35" s="40"/>
      <c r="S35" s="189" cm="1">
        <f t="array" ref="S35">_xlfn.IFS(R35&gt;17000,R35*50%,R35&lt;10500,R35*20%,R35&lt;17000,R35*40%)</f>
        <v>0</v>
      </c>
      <c r="T35" s="41"/>
      <c r="U35" s="189">
        <f>ROUND(R35/12,0)</f>
        <v>0</v>
      </c>
      <c r="V35" s="41"/>
      <c r="W35" s="189">
        <f t="shared" si="14"/>
        <v>0</v>
      </c>
      <c r="X35" s="189">
        <f t="shared" si="15"/>
        <v>0</v>
      </c>
      <c r="Y35" s="28">
        <f t="shared" si="16"/>
        <v>0</v>
      </c>
      <c r="Z35" s="29">
        <f t="shared" si="17"/>
        <v>0</v>
      </c>
      <c r="AA35" s="29">
        <f t="shared" si="18"/>
        <v>0</v>
      </c>
      <c r="AB35" s="29">
        <f t="shared" si="6"/>
        <v>0</v>
      </c>
      <c r="AC35" s="29">
        <f t="shared" si="7"/>
        <v>0</v>
      </c>
      <c r="AD35" s="29">
        <f t="shared" si="8"/>
        <v>0</v>
      </c>
      <c r="AE35" s="29">
        <f t="shared" si="9"/>
        <v>0</v>
      </c>
      <c r="AF35" s="30">
        <f t="shared" si="13"/>
        <v>0</v>
      </c>
      <c r="AG35" s="29">
        <f t="shared" si="4"/>
        <v>0</v>
      </c>
      <c r="AH35" s="38">
        <f t="shared" si="5"/>
        <v>0</v>
      </c>
      <c r="AI35" s="34"/>
      <c r="AJ35" s="128">
        <v>0</v>
      </c>
      <c r="AK35" s="128"/>
      <c r="AL35" s="204"/>
      <c r="AM35" s="128"/>
      <c r="AN35" s="128"/>
      <c r="AO35" s="128"/>
    </row>
    <row r="36" spans="1:42" s="33" customFormat="1" ht="25.2" customHeight="1" x14ac:dyDescent="0.3">
      <c r="A36" s="64">
        <v>32</v>
      </c>
      <c r="B36" s="70"/>
      <c r="C36" s="65"/>
      <c r="D36" s="70"/>
      <c r="E36" s="70"/>
      <c r="F36" s="70"/>
      <c r="G36" s="70"/>
      <c r="H36" s="66"/>
      <c r="I36" s="70"/>
      <c r="J36" s="76"/>
      <c r="K36" s="78"/>
      <c r="L36" s="77"/>
      <c r="M36" s="56"/>
      <c r="N36" s="219"/>
      <c r="O36" s="46"/>
      <c r="P36" s="47"/>
      <c r="Q36" s="39"/>
      <c r="R36" s="40"/>
      <c r="S36" s="189" cm="1">
        <f t="array" ref="S36">_xlfn.IFS(R36&gt;17000,R36*50%,R36&lt;10500,R36*20%,R36&lt;17000,R36*40%)</f>
        <v>0</v>
      </c>
      <c r="T36" s="41"/>
      <c r="U36" s="189">
        <f>ROUND(R36/12,0)</f>
        <v>0</v>
      </c>
      <c r="V36" s="41"/>
      <c r="W36" s="189">
        <f t="shared" si="14"/>
        <v>0</v>
      </c>
      <c r="X36" s="189">
        <f t="shared" si="15"/>
        <v>0</v>
      </c>
      <c r="Y36" s="28">
        <f t="shared" si="16"/>
        <v>0</v>
      </c>
      <c r="Z36" s="29">
        <f t="shared" si="17"/>
        <v>0</v>
      </c>
      <c r="AA36" s="29">
        <f t="shared" si="18"/>
        <v>0</v>
      </c>
      <c r="AB36" s="29">
        <f t="shared" si="6"/>
        <v>0</v>
      </c>
      <c r="AC36" s="29">
        <f t="shared" si="7"/>
        <v>0</v>
      </c>
      <c r="AD36" s="29">
        <f t="shared" si="8"/>
        <v>0</v>
      </c>
      <c r="AE36" s="29">
        <f t="shared" si="9"/>
        <v>0</v>
      </c>
      <c r="AF36" s="30">
        <f t="shared" si="13"/>
        <v>0</v>
      </c>
      <c r="AG36" s="29">
        <f t="shared" si="4"/>
        <v>0</v>
      </c>
      <c r="AH36" s="38">
        <f t="shared" si="5"/>
        <v>0</v>
      </c>
      <c r="AI36" s="34"/>
      <c r="AJ36" s="128"/>
      <c r="AK36" s="128"/>
      <c r="AL36" s="204"/>
      <c r="AM36" s="128"/>
      <c r="AN36" s="128"/>
      <c r="AO36" s="128"/>
    </row>
    <row r="37" spans="1:42" s="33" customFormat="1" ht="25.2" customHeight="1" x14ac:dyDescent="0.3">
      <c r="A37" s="64">
        <v>33</v>
      </c>
      <c r="B37" s="70"/>
      <c r="C37" s="70"/>
      <c r="D37" s="70"/>
      <c r="E37" s="70"/>
      <c r="F37" s="70"/>
      <c r="G37" s="70"/>
      <c r="H37" s="66"/>
      <c r="I37" s="65"/>
      <c r="J37" s="76"/>
      <c r="K37" s="78"/>
      <c r="L37" s="74"/>
      <c r="M37" s="56"/>
      <c r="N37" s="219"/>
      <c r="O37" s="46"/>
      <c r="P37" s="47"/>
      <c r="Q37" s="39"/>
      <c r="R37" s="40"/>
      <c r="S37" s="189" cm="1">
        <f t="array" ref="S37">_xlfn.IFS(R37&gt;17000,R37*50%,R37&lt;10500,R37*20%,R37&lt;17000,R37*40%)</f>
        <v>0</v>
      </c>
      <c r="T37" s="41"/>
      <c r="U37" s="189">
        <f>ROUND(R37/12,0)</f>
        <v>0</v>
      </c>
      <c r="V37" s="37"/>
      <c r="W37" s="189">
        <f t="shared" si="14"/>
        <v>0</v>
      </c>
      <c r="X37" s="189">
        <f t="shared" si="15"/>
        <v>0</v>
      </c>
      <c r="Y37" s="28">
        <f>IF(B37="Sagar Kadam",0,IF(B37="Rahul Jadhav",0,ROUND(IF(P37="Yes",AJ37*3.25%,0),0)))</f>
        <v>0</v>
      </c>
      <c r="Z37" s="29">
        <f>ROUND(SUM(R37:Y37),0)</f>
        <v>0</v>
      </c>
      <c r="AA37" s="29">
        <f>ROUND(IF(O37="Yes",IF((Z37-S37)&gt;15000,1800,SUM(Z37-S37)*12%),),)</f>
        <v>0</v>
      </c>
      <c r="AB37" s="29">
        <f>IF(B37="Sagar Kadam",0,IF(B37="Rahul Jadhav",0,ROUND(IF(O37="Yes",IF((Z37-S37)&gt;15000,1800,SUM(Z37-S37)*12%),),)))</f>
        <v>0</v>
      </c>
      <c r="AC37" s="29">
        <f>ROUND(IF(P37="Yes",Z37*0.75%,0),0)</f>
        <v>0</v>
      </c>
      <c r="AD37" s="29">
        <f>IF(B37="Sagar Kadam",0,IF(B37="Rahul Jadhav",0,ROUND(IF(P37="Yes",Z37*3.25%,0),0)))</f>
        <v>0</v>
      </c>
      <c r="AE37" s="29">
        <f>IF(I37="Female",IF(Z37&gt;24999,200,0),IF(Z37&gt;7500,200,0))</f>
        <v>0</v>
      </c>
      <c r="AF37" s="30">
        <f>ROUND(Z37-SUM(AA37:AE37),0)</f>
        <v>0</v>
      </c>
      <c r="AG37" s="29">
        <f>ROUND(Z37,0)</f>
        <v>0</v>
      </c>
      <c r="AH37" s="38">
        <f>AG37*12</f>
        <v>0</v>
      </c>
      <c r="AI37" s="34"/>
      <c r="AJ37" s="128"/>
      <c r="AK37" s="128"/>
      <c r="AL37" s="204"/>
      <c r="AM37" s="128"/>
      <c r="AN37" s="128"/>
      <c r="AO37" s="128"/>
    </row>
    <row r="38" spans="1:42" s="33" customFormat="1" ht="25.2" customHeight="1" x14ac:dyDescent="0.3">
      <c r="A38" s="64">
        <v>34</v>
      </c>
      <c r="B38" s="70"/>
      <c r="C38" s="70"/>
      <c r="D38" s="70"/>
      <c r="E38" s="70"/>
      <c r="F38" s="70"/>
      <c r="G38" s="70"/>
      <c r="H38" s="66"/>
      <c r="I38" s="65"/>
      <c r="J38" s="76"/>
      <c r="K38" s="78"/>
      <c r="L38" s="74"/>
      <c r="M38" s="56"/>
      <c r="N38" s="219"/>
      <c r="O38" s="46"/>
      <c r="P38" s="47"/>
      <c r="Q38" s="39"/>
      <c r="R38" s="40"/>
      <c r="S38" s="189" cm="1">
        <f t="array" ref="S38">_xlfn.IFS(R38&gt;17000,R38*50%,R38&lt;10500,R38*20%,R38&lt;17000,R38*40%)</f>
        <v>0</v>
      </c>
      <c r="T38" s="41"/>
      <c r="U38" s="189">
        <f>ROUND(R38/12,0)</f>
        <v>0</v>
      </c>
      <c r="V38" s="37"/>
      <c r="W38" s="189">
        <f t="shared" si="14"/>
        <v>0</v>
      </c>
      <c r="X38" s="189">
        <f t="shared" si="15"/>
        <v>0</v>
      </c>
      <c r="Y38" s="28">
        <f>IF(B38="Sagar Kadam",0,IF(B38="Rahul Jadhav",0,ROUND(IF(P38="Yes",AJ38*3.25%,0),0)))</f>
        <v>0</v>
      </c>
      <c r="Z38" s="29">
        <f>ROUND(SUM(R38:Y38),0)</f>
        <v>0</v>
      </c>
      <c r="AA38" s="29">
        <f>ROUND(IF(O38="Yes",IF((Z38-S38)&gt;15000,1800,SUM(Z38-S38)*12%),),)</f>
        <v>0</v>
      </c>
      <c r="AB38" s="29">
        <f>IF(B38="Sagar Kadam",0,IF(B38="Rahul Jadhav",0,ROUND(IF(O38="Yes",IF((Z38-S38)&gt;15000,1800,SUM(Z38-S38)*12%),),)))</f>
        <v>0</v>
      </c>
      <c r="AC38" s="29">
        <f>ROUND(IF(P38="Yes",Z38*0.75%,0),0)</f>
        <v>0</v>
      </c>
      <c r="AD38" s="29">
        <f>IF(B38="Sagar Kadam",0,IF(B38="Rahul Jadhav",0,ROUND(IF(P38="Yes",Z38*3.25%,0),0)))</f>
        <v>0</v>
      </c>
      <c r="AE38" s="29">
        <f>IF(I38="Female",IF(Z38&gt;24999,200,0),IF(Z38&gt;7500,200,0))</f>
        <v>0</v>
      </c>
      <c r="AF38" s="30">
        <f>ROUND(Z38-SUM(AA38:AE38),0)</f>
        <v>0</v>
      </c>
      <c r="AG38" s="29">
        <f>ROUND(Z38,0)</f>
        <v>0</v>
      </c>
      <c r="AH38" s="38">
        <f>AG38*12</f>
        <v>0</v>
      </c>
      <c r="AI38" s="34"/>
      <c r="AJ38" s="128"/>
      <c r="AK38" s="128"/>
      <c r="AL38" s="204"/>
      <c r="AM38" s="128"/>
      <c r="AN38" s="128"/>
      <c r="AO38" s="128"/>
    </row>
    <row r="39" spans="1:42" s="33" customFormat="1" ht="25.2" customHeight="1" thickBot="1" x14ac:dyDescent="0.35">
      <c r="A39" s="82">
        <v>35</v>
      </c>
      <c r="B39" s="83"/>
      <c r="C39" s="83"/>
      <c r="D39" s="83"/>
      <c r="E39" s="83"/>
      <c r="F39" s="83"/>
      <c r="G39" s="83"/>
      <c r="H39" s="192"/>
      <c r="I39" s="193"/>
      <c r="J39" s="84"/>
      <c r="K39" s="85"/>
      <c r="L39" s="194"/>
      <c r="M39" s="57"/>
      <c r="N39" s="220"/>
      <c r="O39" s="195"/>
      <c r="P39" s="197"/>
      <c r="Q39" s="196"/>
      <c r="R39" s="48"/>
      <c r="S39" s="189" cm="1">
        <f t="array" ref="S39">_xlfn.IFS(R39&gt;17000,R39*50%,R39&lt;10500,R39*20%,R39&lt;17000,R39*40%)</f>
        <v>0</v>
      </c>
      <c r="T39" s="49"/>
      <c r="U39" s="203">
        <f>ROUND(R39/12,0)</f>
        <v>0</v>
      </c>
      <c r="V39" s="49"/>
      <c r="W39" s="189">
        <f t="shared" si="14"/>
        <v>0</v>
      </c>
      <c r="X39" s="189">
        <f t="shared" si="15"/>
        <v>0</v>
      </c>
      <c r="Y39" s="28">
        <f>IF(B39="Sagar Kadam",0,IF(B39="Rahul Jadhav",0,ROUND(IF(P39="Yes",AJ39*3.25%,0),0)))</f>
        <v>0</v>
      </c>
      <c r="Z39" s="50">
        <f>ROUND(SUM(R39:Y39),0)</f>
        <v>0</v>
      </c>
      <c r="AA39" s="50">
        <f>ROUND(IF(O39="Yes",IF((Z39-S39)&gt;15000,1800,SUM(Z39-S39)*12%),),)</f>
        <v>0</v>
      </c>
      <c r="AB39" s="50">
        <f>IF(B39="Sagar Kadam",0,IF(B39="Rahul Jadhav",0,ROUND(IF(O39="Yes",IF((Z39-S39)&gt;15000,1800,SUM(Z39-S39)*12%),),)))</f>
        <v>0</v>
      </c>
      <c r="AC39" s="50">
        <f>ROUND(IF(P39="Yes",Z39*0.75%,0),0)</f>
        <v>0</v>
      </c>
      <c r="AD39" s="50">
        <f>IF(B39="Sagar Kadam",0,IF(B39="Rahul Jadhav",0,ROUND(IF(P39="Yes",Z39*3.25%,0),0)))</f>
        <v>0</v>
      </c>
      <c r="AE39" s="50">
        <f>IF(I39="Female",IF(Z39&gt;24999,200,0),IF(Z39&gt;7500,200,0))</f>
        <v>0</v>
      </c>
      <c r="AF39" s="50">
        <f>ROUND(Z39-SUM(AA39:AE39),0)</f>
        <v>0</v>
      </c>
      <c r="AG39" s="50">
        <f>ROUND(Z39,0)</f>
        <v>0</v>
      </c>
      <c r="AH39" s="51">
        <f>AG39*12</f>
        <v>0</v>
      </c>
      <c r="AI39" s="34"/>
      <c r="AJ39" s="128"/>
      <c r="AK39" s="128"/>
      <c r="AL39" s="204"/>
      <c r="AM39" s="128"/>
      <c r="AN39" s="128"/>
      <c r="AO39" s="128"/>
    </row>
    <row r="40" spans="1:42" x14ac:dyDescent="0.3">
      <c r="A40" s="15"/>
      <c r="B40" s="15"/>
      <c r="C40" s="15"/>
      <c r="D40" s="15"/>
      <c r="E40" s="15"/>
      <c r="F40" s="15"/>
      <c r="G40" s="15"/>
      <c r="H40" s="52"/>
      <c r="I40" s="15"/>
      <c r="J40" s="15"/>
      <c r="K40" s="15"/>
      <c r="L40" s="15"/>
      <c r="M40" s="15"/>
      <c r="N40" s="221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</row>
    <row r="41" spans="1:42" x14ac:dyDescent="0.3">
      <c r="A41" s="15"/>
      <c r="B41" s="15"/>
      <c r="C41" s="15"/>
      <c r="D41" s="15"/>
      <c r="E41" s="15"/>
      <c r="F41" s="15"/>
      <c r="G41" s="15"/>
      <c r="H41" s="52"/>
      <c r="I41" s="15"/>
      <c r="J41" s="15"/>
      <c r="K41" s="15"/>
      <c r="L41" s="15"/>
      <c r="M41" s="15"/>
      <c r="N41" s="221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</row>
  </sheetData>
  <sheetProtection algorithmName="SHA-512" hashValue="jhLCP2EGUxQAiHmjDacXqRR6NTUdUARuq8686WR8mhntdPioeAz7RetkLKFbYVnlDFYTe+yDxXrSmgxzVDBF+w==" saltValue="XVthueO3Og8f6czdrlfHyg==" spinCount="100000" sheet="1" insertRows="0" selectLockedCells="1"/>
  <protectedRanges>
    <protectedRange sqref="AJ34:AJ39 AJ32:AK32" name="Range1"/>
  </protectedRanges>
  <dataConsolidate link="1"/>
  <mergeCells count="2">
    <mergeCell ref="A1:AH1"/>
    <mergeCell ref="A2:AH2"/>
  </mergeCells>
  <conditionalFormatting sqref="V1:V4 V40:V1048576">
    <cfRule type="cellIs" dxfId="39" priority="2" operator="lessThan">
      <formula>0</formula>
    </cfRule>
  </conditionalFormatting>
  <conditionalFormatting sqref="V5:V39">
    <cfRule type="cellIs" dxfId="38" priority="1" operator="lessThan">
      <formula>0</formula>
    </cfRule>
  </conditionalFormatting>
  <dataValidations count="5">
    <dataValidation type="list" allowBlank="1" showInputMessage="1" showErrorMessage="1" sqref="G5:G39" xr:uid="{F680ED5A-0D40-4A8B-AD54-0719DF0CC03D}">
      <formula1>"HO,Ansa Factory,Koparkhairne Factory,Service,South"</formula1>
    </dataValidation>
    <dataValidation type="list" allowBlank="1" showInputMessage="1" showErrorMessage="1" sqref="N5:N39" xr:uid="{716215BB-396E-4068-8530-70CDCC27B768}">
      <formula1>"Apr-2024,May-2024,Jun-2024,Jul-2024,Aug-2024,Sep-2024,Oct-2024,Nov-2024,Dec-2024,Jan-2025,Feb-2025,Mar-2025"</formula1>
    </dataValidation>
    <dataValidation type="list" allowBlank="1" showInputMessage="1" showErrorMessage="1" sqref="O5:Q39" xr:uid="{05FA7B22-0975-49B7-A1BD-60DC5431B60D}">
      <formula1>"Yes,No"</formula1>
    </dataValidation>
    <dataValidation type="list" allowBlank="1" showInputMessage="1" showErrorMessage="1" sqref="M5:M39" xr:uid="{E9E279D4-F53F-4E37-93A4-BD63F8EF793E}">
      <formula1>"Working,Left"</formula1>
    </dataValidation>
    <dataValidation type="list" allowBlank="1" showInputMessage="1" showErrorMessage="1" sqref="I5:I39" xr:uid="{EB8AC8A4-11D5-4BF3-A05F-ABCE94F912ED}">
      <formula1>"Male,Female"</formula1>
    </dataValidation>
  </dataValidations>
  <pageMargins left="0.7" right="0.7" top="0.75" bottom="0.75" header="0.3" footer="0.3"/>
  <pageSetup scale="2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9ECB4-5E7F-473E-9BD6-FAA8EADCC562}">
  <sheetPr codeName="Sheet49">
    <tabColor rgb="FFFFFF00"/>
    <pageSetUpPr fitToPage="1"/>
  </sheetPr>
  <dimension ref="A1:AP41"/>
  <sheetViews>
    <sheetView workbookViewId="0">
      <pane xSplit="3" ySplit="4" topLeftCell="W5" activePane="bottomRight" state="frozen"/>
      <selection activeCell="M36" sqref="M36"/>
      <selection pane="topRight" activeCell="M36" sqref="M36"/>
      <selection pane="bottomLeft" activeCell="M36" sqref="M36"/>
      <selection pane="bottomRight" activeCell="B28" sqref="B28"/>
    </sheetView>
  </sheetViews>
  <sheetFormatPr defaultColWidth="8.88671875" defaultRowHeight="13.2" x14ac:dyDescent="0.3"/>
  <cols>
    <col min="1" max="1" width="4" style="14" bestFit="1" customWidth="1"/>
    <col min="2" max="2" width="22.33203125" style="14" bestFit="1" customWidth="1"/>
    <col min="3" max="3" width="0.44140625" style="14" customWidth="1"/>
    <col min="4" max="4" width="9" style="14" customWidth="1"/>
    <col min="5" max="5" width="17.6640625" style="14" customWidth="1"/>
    <col min="6" max="6" width="10" style="14" bestFit="1" customWidth="1"/>
    <col min="7" max="7" width="11.6640625" style="14" customWidth="1"/>
    <col min="8" max="8" width="10.44140625" style="53" bestFit="1" customWidth="1"/>
    <col min="9" max="9" width="6.44140625" style="14" customWidth="1"/>
    <col min="10" max="10" width="13.109375" style="14" bestFit="1" customWidth="1"/>
    <col min="11" max="11" width="11" style="14" bestFit="1" customWidth="1"/>
    <col min="12" max="12" width="12.88671875" style="14" bestFit="1" customWidth="1"/>
    <col min="13" max="13" width="7.6640625" style="14" bestFit="1" customWidth="1"/>
    <col min="14" max="14" width="8.6640625" style="222" bestFit="1" customWidth="1"/>
    <col min="15" max="16" width="5.6640625" style="14" customWidth="1"/>
    <col min="17" max="17" width="0.44140625" style="14" customWidth="1"/>
    <col min="18" max="18" width="12" style="14" customWidth="1"/>
    <col min="19" max="19" width="9.6640625" style="14" bestFit="1" customWidth="1"/>
    <col min="20" max="21" width="9.88671875" style="14" customWidth="1"/>
    <col min="22" max="26" width="9.6640625" style="14" customWidth="1"/>
    <col min="27" max="28" width="8.6640625" style="14" customWidth="1"/>
    <col min="29" max="30" width="7.44140625" style="14" customWidth="1"/>
    <col min="31" max="31" width="7.88671875" style="14" customWidth="1"/>
    <col min="32" max="33" width="9.6640625" style="14" customWidth="1"/>
    <col min="34" max="34" width="11.33203125" style="14" customWidth="1"/>
    <col min="35" max="35" width="11.44140625" style="14" customWidth="1"/>
    <col min="36" max="36" width="9.6640625" style="14" customWidth="1"/>
    <col min="37" max="37" width="10.44140625" style="14" customWidth="1"/>
    <col min="38" max="40" width="9.6640625" style="14" customWidth="1"/>
    <col min="41" max="41" width="9.6640625" style="14" bestFit="1" customWidth="1"/>
    <col min="42" max="42" width="9.44140625" style="14" bestFit="1" customWidth="1"/>
    <col min="43" max="16384" width="8.88671875" style="14"/>
  </cols>
  <sheetData>
    <row r="1" spans="1:42" ht="24.6" x14ac:dyDescent="0.3">
      <c r="A1" s="355" t="s">
        <v>107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  <c r="AD1" s="356"/>
      <c r="AE1" s="356"/>
      <c r="AF1" s="356"/>
      <c r="AG1" s="356"/>
      <c r="AH1" s="356"/>
      <c r="AI1" s="15"/>
    </row>
    <row r="2" spans="1:42" ht="18.600000000000001" x14ac:dyDescent="0.3">
      <c r="A2" s="357" t="s">
        <v>201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358"/>
      <c r="AC2" s="358"/>
      <c r="AD2" s="358"/>
      <c r="AE2" s="358"/>
      <c r="AF2" s="358"/>
      <c r="AG2" s="358"/>
      <c r="AH2" s="358"/>
      <c r="AI2" s="15"/>
    </row>
    <row r="3" spans="1:42" ht="4.95" customHeight="1" thickBot="1" x14ac:dyDescent="0.35">
      <c r="A3" s="16"/>
      <c r="B3" s="17"/>
      <c r="C3" s="17"/>
      <c r="D3" s="17"/>
      <c r="E3" s="17"/>
      <c r="F3" s="17"/>
      <c r="G3" s="17"/>
      <c r="H3" s="18"/>
      <c r="I3" s="17"/>
      <c r="J3" s="17"/>
      <c r="K3" s="17"/>
      <c r="L3" s="17"/>
      <c r="M3" s="17"/>
      <c r="N3" s="213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5"/>
    </row>
    <row r="4" spans="1:42" s="26" customFormat="1" ht="40.200000000000003" thickBot="1" x14ac:dyDescent="0.35">
      <c r="A4" s="58" t="s">
        <v>58</v>
      </c>
      <c r="B4" s="59" t="s">
        <v>59</v>
      </c>
      <c r="C4" s="59"/>
      <c r="D4" s="59" t="s">
        <v>33</v>
      </c>
      <c r="E4" s="59" t="s">
        <v>34</v>
      </c>
      <c r="F4" s="59" t="s">
        <v>35</v>
      </c>
      <c r="G4" s="59" t="s">
        <v>36</v>
      </c>
      <c r="H4" s="60" t="s">
        <v>37</v>
      </c>
      <c r="I4" s="59" t="s">
        <v>38</v>
      </c>
      <c r="J4" s="59" t="s">
        <v>39</v>
      </c>
      <c r="K4" s="59" t="s">
        <v>40</v>
      </c>
      <c r="L4" s="59" t="s">
        <v>41</v>
      </c>
      <c r="M4" s="54" t="s">
        <v>42</v>
      </c>
      <c r="N4" s="214" t="s">
        <v>43</v>
      </c>
      <c r="O4" s="6" t="s">
        <v>44</v>
      </c>
      <c r="P4" s="7" t="s">
        <v>45</v>
      </c>
      <c r="Q4" s="19"/>
      <c r="R4" s="20" t="s">
        <v>60</v>
      </c>
      <c r="S4" s="21" t="s">
        <v>61</v>
      </c>
      <c r="T4" s="22" t="s">
        <v>2</v>
      </c>
      <c r="U4" s="21" t="s">
        <v>3</v>
      </c>
      <c r="V4" s="21" t="s">
        <v>13</v>
      </c>
      <c r="W4" s="21" t="s">
        <v>91</v>
      </c>
      <c r="X4" s="21" t="s">
        <v>92</v>
      </c>
      <c r="Y4" s="202" t="s">
        <v>93</v>
      </c>
      <c r="Z4" s="23" t="s">
        <v>63</v>
      </c>
      <c r="AA4" s="23" t="s">
        <v>8</v>
      </c>
      <c r="AB4" s="23" t="s">
        <v>94</v>
      </c>
      <c r="AC4" s="24" t="s">
        <v>10</v>
      </c>
      <c r="AD4" s="24" t="s">
        <v>95</v>
      </c>
      <c r="AE4" s="23" t="s">
        <v>64</v>
      </c>
      <c r="AF4" s="23" t="s">
        <v>65</v>
      </c>
      <c r="AG4" s="23" t="s">
        <v>66</v>
      </c>
      <c r="AH4" s="25" t="s">
        <v>67</v>
      </c>
      <c r="AI4" s="319" t="s">
        <v>231</v>
      </c>
    </row>
    <row r="5" spans="1:42" s="33" customFormat="1" ht="25.2" customHeight="1" x14ac:dyDescent="0.3">
      <c r="A5" s="61">
        <v>1</v>
      </c>
      <c r="B5" s="266" t="s">
        <v>108</v>
      </c>
      <c r="C5" s="62"/>
      <c r="D5" s="266" t="s">
        <v>133</v>
      </c>
      <c r="E5" s="266" t="s">
        <v>134</v>
      </c>
      <c r="F5" s="266" t="s">
        <v>46</v>
      </c>
      <c r="G5" s="266" t="s">
        <v>85</v>
      </c>
      <c r="H5" s="267">
        <v>33604</v>
      </c>
      <c r="I5" s="62" t="s">
        <v>51</v>
      </c>
      <c r="J5" s="67" t="s">
        <v>87</v>
      </c>
      <c r="K5" s="68" t="s">
        <v>87</v>
      </c>
      <c r="L5" s="63"/>
      <c r="M5" s="55" t="s">
        <v>48</v>
      </c>
      <c r="N5" s="215"/>
      <c r="O5" s="8" t="s">
        <v>50</v>
      </c>
      <c r="P5" s="9" t="s">
        <v>50</v>
      </c>
      <c r="Q5" s="27"/>
      <c r="R5" s="190">
        <f>17500+2500</f>
        <v>20000</v>
      </c>
      <c r="S5" s="189" cm="1">
        <f t="array" ref="S5">_xlfn.IFS(R5&gt;17000,R5*50%,R5&lt;10500,R5*20%,R5&lt;17000,R5*40%)</f>
        <v>10000</v>
      </c>
      <c r="T5" s="189">
        <v>1600</v>
      </c>
      <c r="U5" s="189">
        <f t="shared" ref="U5:U34" si="0">ROUND(R5/12,0)</f>
        <v>1667</v>
      </c>
      <c r="V5" s="189">
        <f>40733+4000</f>
        <v>44733</v>
      </c>
      <c r="W5" s="189">
        <f>IF(B5="Sagar Kadam",0,IF(B5="Rahul Jadhav",0,ROUND(IF(O5="Yes",IF((AJ5-S5)&gt;15000,1800,SUM(AJ5-S5)*12%),0)+IF(P5="Yes",AJ5*0.75%,0),0)))</f>
        <v>0</v>
      </c>
      <c r="X5" s="189">
        <f t="shared" ref="X5:X31" si="1">IF(B5="Sagar Kadam",0,IF(B5="Rahul Jadhav",0,ROUND(IF(O5="Yes",IF((AJ5-S5)&gt;15000,1800,SUM(AJ5-S5)*12%),),)))</f>
        <v>0</v>
      </c>
      <c r="Y5" s="28">
        <f t="shared" ref="Y5:Y31" si="2">IF(B5="Sagar Kadam",0,IF(B5="Rahul Jadhav",0,ROUND(IF(P5="Yes",AJ5*3.25%,0),0)))</f>
        <v>0</v>
      </c>
      <c r="Z5" s="29">
        <f t="shared" ref="Z5:Z21" si="3">ROUND(SUM(R5:Y5),0)</f>
        <v>78000</v>
      </c>
      <c r="AA5" s="29">
        <f>ROUND(IF(O5="Yes",IF((Z5-S5)&gt;15000,1800,SUM(Z5-S5)*12%),),)</f>
        <v>0</v>
      </c>
      <c r="AB5" s="29">
        <f>IF(B5="Sagar Kadam",0,IF(B5="Rahul Jadhav",0,ROUND(IF(O5="Yes",IF((Z5-S5)&gt;15000,1800,SUM(Z5-S5)*12%),),)))</f>
        <v>0</v>
      </c>
      <c r="AC5" s="29">
        <f>ROUND(IF(P5="Yes",Z5*0.75%,0),0)</f>
        <v>0</v>
      </c>
      <c r="AD5" s="29">
        <f>IF(B5="Sagar Kadam",0,IF(B5="Rahul Jadhav",0,ROUND(IF(P5="Yes",Z5*3.25%,0),0)))</f>
        <v>0</v>
      </c>
      <c r="AE5" s="29">
        <f>IF(I5="Female",IF(Z5&gt;24999,200,0),IF(Z5&gt;7500,200,0))</f>
        <v>200</v>
      </c>
      <c r="AF5" s="29">
        <f>ROUND(Z5-SUM(AA5:AE5),0)</f>
        <v>77800</v>
      </c>
      <c r="AG5" s="31">
        <f t="shared" ref="AG5:AG36" si="4">ROUND(Z5,0)</f>
        <v>78000</v>
      </c>
      <c r="AH5" s="32">
        <f t="shared" ref="AH5:AH36" si="5">AG5*12</f>
        <v>936000</v>
      </c>
      <c r="AI5" s="270"/>
      <c r="AJ5" s="128">
        <v>78000</v>
      </c>
      <c r="AK5" s="128"/>
      <c r="AL5" s="204"/>
      <c r="AM5" s="128"/>
      <c r="AN5" s="128"/>
      <c r="AO5" s="128"/>
      <c r="AP5" s="128"/>
    </row>
    <row r="6" spans="1:42" s="33" customFormat="1" ht="25.2" customHeight="1" x14ac:dyDescent="0.3">
      <c r="A6" s="64">
        <v>2</v>
      </c>
      <c r="B6" s="70" t="s">
        <v>109</v>
      </c>
      <c r="C6" s="65"/>
      <c r="D6" s="70" t="s">
        <v>135</v>
      </c>
      <c r="E6" s="70" t="s">
        <v>136</v>
      </c>
      <c r="F6" s="70" t="s">
        <v>46</v>
      </c>
      <c r="G6" s="70" t="s">
        <v>85</v>
      </c>
      <c r="H6" s="71">
        <v>35947</v>
      </c>
      <c r="I6" s="65" t="s">
        <v>51</v>
      </c>
      <c r="J6" s="63" t="s">
        <v>187</v>
      </c>
      <c r="K6" s="63" t="s">
        <v>87</v>
      </c>
      <c r="L6" s="69"/>
      <c r="M6" s="55" t="s">
        <v>48</v>
      </c>
      <c r="N6" s="215"/>
      <c r="O6" s="8" t="s">
        <v>50</v>
      </c>
      <c r="P6" s="11" t="s">
        <v>50</v>
      </c>
      <c r="Q6" s="35"/>
      <c r="R6" s="40">
        <f>10000+1500</f>
        <v>11500</v>
      </c>
      <c r="S6" s="189" cm="1">
        <f t="array" ref="S6">_xlfn.IFS(R6&gt;17000,R6*50%,R6&lt;10500,R6*20%,R6&lt;17000,R6*40%)</f>
        <v>4600</v>
      </c>
      <c r="T6" s="189">
        <v>1600</v>
      </c>
      <c r="U6" s="189">
        <f t="shared" si="0"/>
        <v>958</v>
      </c>
      <c r="V6" s="41">
        <f>16842+2000</f>
        <v>18842</v>
      </c>
      <c r="W6" s="189">
        <f>IF(B6="Sagar Kadam",0,IF(B6="Rahul Jadhav",0,ROUND(IF(O6="Yes",IF((AJ6-S6)&gt;15000,1800,SUM(AJ6-S6)*12%),0)+IF(P6="Yes",AJ6*0.75%,0),0)))</f>
        <v>0</v>
      </c>
      <c r="X6" s="189">
        <f t="shared" si="1"/>
        <v>0</v>
      </c>
      <c r="Y6" s="28">
        <f t="shared" si="2"/>
        <v>0</v>
      </c>
      <c r="Z6" s="29">
        <f t="shared" si="3"/>
        <v>37500</v>
      </c>
      <c r="AA6" s="29">
        <f>ROUND(IF(O6="Yes",IF((Z6-S6)&gt;15000,1800,SUM(Z6-S6)*12%),),)</f>
        <v>0</v>
      </c>
      <c r="AB6" s="29">
        <f t="shared" ref="AB6:AB36" si="6">IF(B6="Sagar Kadam",0,IF(B6="Rahul Jadhav",0,ROUND(IF(O6="Yes",IF((Z6-S6)&gt;15000,1800,SUM(Z6-S6)*12%),),)))</f>
        <v>0</v>
      </c>
      <c r="AC6" s="29">
        <f t="shared" ref="AC6:AC21" si="7">ROUND(IF(P6="Yes",Z6*0.75%,0),0)</f>
        <v>0</v>
      </c>
      <c r="AD6" s="29">
        <f t="shared" ref="AD6:AD36" si="8">IF(B6="Sagar Kadam",0,IF(B6="Rahul Jadhav",0,ROUND(IF(P6="Yes",Z6*3.25%,0),0)))</f>
        <v>0</v>
      </c>
      <c r="AE6" s="29">
        <f t="shared" ref="AE6:AE36" si="9">IF(I6="Female",IF(Z6&gt;24999,200,0),IF(Z6&gt;7500,200,0))</f>
        <v>200</v>
      </c>
      <c r="AF6" s="30">
        <f t="shared" ref="AF6:AF20" si="10">ROUND(Z6-SUM(AA6:AE6),0)</f>
        <v>37300</v>
      </c>
      <c r="AG6" s="29">
        <f t="shared" si="4"/>
        <v>37500</v>
      </c>
      <c r="AH6" s="38">
        <f t="shared" si="5"/>
        <v>450000</v>
      </c>
      <c r="AI6" s="270"/>
      <c r="AJ6" s="128">
        <v>37500</v>
      </c>
      <c r="AK6" s="128"/>
      <c r="AL6" s="204"/>
      <c r="AM6" s="128"/>
      <c r="AN6" s="128"/>
      <c r="AO6" s="128"/>
      <c r="AP6" s="128"/>
    </row>
    <row r="7" spans="1:42" s="33" customFormat="1" ht="25.2" customHeight="1" x14ac:dyDescent="0.3">
      <c r="A7" s="64">
        <v>3</v>
      </c>
      <c r="B7" s="65" t="s">
        <v>110</v>
      </c>
      <c r="C7" s="70"/>
      <c r="D7" s="65" t="s">
        <v>137</v>
      </c>
      <c r="E7" s="65" t="s">
        <v>138</v>
      </c>
      <c r="F7" s="65" t="s">
        <v>55</v>
      </c>
      <c r="G7" s="65" t="s">
        <v>54</v>
      </c>
      <c r="H7" s="66">
        <v>37218</v>
      </c>
      <c r="I7" s="70" t="s">
        <v>51</v>
      </c>
      <c r="J7" s="79" t="s">
        <v>87</v>
      </c>
      <c r="K7" s="69" t="s">
        <v>87</v>
      </c>
      <c r="L7" s="63"/>
      <c r="M7" s="55" t="s">
        <v>48</v>
      </c>
      <c r="N7" s="216"/>
      <c r="O7" s="8" t="s">
        <v>50</v>
      </c>
      <c r="P7" s="9" t="s">
        <v>50</v>
      </c>
      <c r="Q7" s="39"/>
      <c r="R7" s="190">
        <f>17500+2500</f>
        <v>20000</v>
      </c>
      <c r="S7" s="189" cm="1">
        <f t="array" ref="S7">_xlfn.IFS(R7&gt;17000,R7*50%,R7&lt;10500,R7*20%,R7&lt;17000,R7*40%)</f>
        <v>10000</v>
      </c>
      <c r="T7" s="189">
        <v>1600</v>
      </c>
      <c r="U7" s="189">
        <f t="shared" si="0"/>
        <v>1667</v>
      </c>
      <c r="V7" s="37">
        <f>24233+3000</f>
        <v>27233</v>
      </c>
      <c r="W7" s="189">
        <f t="shared" ref="W7:W31" si="11">IF(B7="Sagar Kadam",0,IF(B7="Rahul Jadhav",0,ROUND(IF(O7="Yes",IF((AJ7-S7)&gt;15000,1800,SUM(AJ7-S7)*12%),0)+IF(P7="Yes",AJ7*0.75%,0),0)))</f>
        <v>0</v>
      </c>
      <c r="X7" s="189">
        <f t="shared" si="1"/>
        <v>0</v>
      </c>
      <c r="Y7" s="28">
        <f t="shared" si="2"/>
        <v>0</v>
      </c>
      <c r="Z7" s="29">
        <f t="shared" si="3"/>
        <v>60500</v>
      </c>
      <c r="AA7" s="29">
        <f>ROUND(IF(O7="Yes",IF((Z7-S7)&gt;15000,1800,SUM(Z7-S7)*12%),),)</f>
        <v>0</v>
      </c>
      <c r="AB7" s="29">
        <f t="shared" si="6"/>
        <v>0</v>
      </c>
      <c r="AC7" s="29">
        <f t="shared" si="7"/>
        <v>0</v>
      </c>
      <c r="AD7" s="29">
        <f t="shared" si="8"/>
        <v>0</v>
      </c>
      <c r="AE7" s="29">
        <f t="shared" si="9"/>
        <v>200</v>
      </c>
      <c r="AF7" s="30">
        <f t="shared" si="10"/>
        <v>60300</v>
      </c>
      <c r="AG7" s="29">
        <f t="shared" si="4"/>
        <v>60500</v>
      </c>
      <c r="AH7" s="38">
        <f t="shared" si="5"/>
        <v>726000</v>
      </c>
      <c r="AI7" s="270"/>
      <c r="AJ7" s="128">
        <v>60500</v>
      </c>
      <c r="AK7" s="128"/>
      <c r="AL7" s="204"/>
      <c r="AM7" s="128"/>
      <c r="AN7" s="128"/>
      <c r="AO7" s="128"/>
      <c r="AP7" s="128"/>
    </row>
    <row r="8" spans="1:42" s="33" customFormat="1" ht="25.2" customHeight="1" x14ac:dyDescent="0.3">
      <c r="A8" s="64">
        <v>4</v>
      </c>
      <c r="B8" s="65" t="s">
        <v>111</v>
      </c>
      <c r="C8" s="65"/>
      <c r="D8" s="65" t="s">
        <v>139</v>
      </c>
      <c r="E8" s="65" t="s">
        <v>140</v>
      </c>
      <c r="F8" s="65" t="s">
        <v>46</v>
      </c>
      <c r="G8" s="65" t="s">
        <v>85</v>
      </c>
      <c r="H8" s="66">
        <v>38166</v>
      </c>
      <c r="I8" s="65" t="s">
        <v>51</v>
      </c>
      <c r="J8" s="67">
        <v>100333067161</v>
      </c>
      <c r="K8" s="67" t="s">
        <v>87</v>
      </c>
      <c r="L8" s="74"/>
      <c r="M8" s="55" t="s">
        <v>48</v>
      </c>
      <c r="N8" s="217"/>
      <c r="O8" s="10" t="s">
        <v>49</v>
      </c>
      <c r="P8" s="11" t="s">
        <v>50</v>
      </c>
      <c r="Q8" s="35"/>
      <c r="R8" s="40">
        <f>10000+1500</f>
        <v>11500</v>
      </c>
      <c r="S8" s="189" cm="1">
        <f t="array" ref="S8">_xlfn.IFS(R8&gt;17000,R8*50%,R8&lt;10500,R8*20%,R8&lt;17000,R8*40%)</f>
        <v>4600</v>
      </c>
      <c r="T8" s="189">
        <v>1600</v>
      </c>
      <c r="U8" s="189">
        <f t="shared" si="0"/>
        <v>958</v>
      </c>
      <c r="V8" s="37">
        <f>4742+1000</f>
        <v>5742</v>
      </c>
      <c r="W8" s="189">
        <f t="shared" si="11"/>
        <v>1800</v>
      </c>
      <c r="X8" s="189">
        <f t="shared" si="1"/>
        <v>1800</v>
      </c>
      <c r="Y8" s="28">
        <f t="shared" si="2"/>
        <v>0</v>
      </c>
      <c r="Z8" s="29">
        <f t="shared" si="3"/>
        <v>28000</v>
      </c>
      <c r="AA8" s="29">
        <f t="shared" ref="AA8:AA21" si="12">ROUND(IF(O8="Yes",IF((Z8-S8)&gt;15000,1800,SUM(Z8-S8)*12%),),)</f>
        <v>1800</v>
      </c>
      <c r="AB8" s="29">
        <f t="shared" si="6"/>
        <v>1800</v>
      </c>
      <c r="AC8" s="29">
        <f t="shared" si="7"/>
        <v>0</v>
      </c>
      <c r="AD8" s="29">
        <f t="shared" si="8"/>
        <v>0</v>
      </c>
      <c r="AE8" s="29">
        <f t="shared" si="9"/>
        <v>200</v>
      </c>
      <c r="AF8" s="30">
        <f t="shared" si="10"/>
        <v>24200</v>
      </c>
      <c r="AG8" s="29">
        <f t="shared" si="4"/>
        <v>28000</v>
      </c>
      <c r="AH8" s="38">
        <f t="shared" si="5"/>
        <v>336000</v>
      </c>
      <c r="AI8" s="270"/>
      <c r="AJ8" s="128">
        <v>28000</v>
      </c>
      <c r="AK8" s="128"/>
      <c r="AL8" s="204"/>
      <c r="AM8" s="128"/>
      <c r="AN8" s="128"/>
      <c r="AO8" s="128"/>
      <c r="AP8" s="128"/>
    </row>
    <row r="9" spans="1:42" s="33" customFormat="1" ht="25.2" customHeight="1" x14ac:dyDescent="0.3">
      <c r="A9" s="64">
        <v>5</v>
      </c>
      <c r="B9" s="70" t="s">
        <v>112</v>
      </c>
      <c r="C9" s="65"/>
      <c r="D9" s="70" t="s">
        <v>141</v>
      </c>
      <c r="E9" s="70" t="s">
        <v>142</v>
      </c>
      <c r="F9" s="70" t="s">
        <v>46</v>
      </c>
      <c r="G9" s="70" t="s">
        <v>85</v>
      </c>
      <c r="H9" s="71">
        <v>39213</v>
      </c>
      <c r="I9" s="65" t="s">
        <v>47</v>
      </c>
      <c r="J9" s="63">
        <v>100129979250</v>
      </c>
      <c r="K9" s="63" t="s">
        <v>87</v>
      </c>
      <c r="L9" s="67"/>
      <c r="M9" s="55" t="s">
        <v>48</v>
      </c>
      <c r="N9" s="218"/>
      <c r="O9" s="10" t="s">
        <v>50</v>
      </c>
      <c r="P9" s="11" t="s">
        <v>50</v>
      </c>
      <c r="Q9" s="35"/>
      <c r="R9" s="40">
        <f>10000+1500</f>
        <v>11500</v>
      </c>
      <c r="S9" s="189" cm="1">
        <f t="array" ref="S9">_xlfn.IFS(R9&gt;17000,R9*50%,R9&lt;10500,R9*20%,R9&lt;17000,R9*40%)</f>
        <v>4600</v>
      </c>
      <c r="T9" s="189">
        <v>1600</v>
      </c>
      <c r="U9" s="189">
        <f t="shared" si="0"/>
        <v>958</v>
      </c>
      <c r="V9" s="41">
        <f>16842+2000</f>
        <v>18842</v>
      </c>
      <c r="W9" s="189">
        <f t="shared" si="11"/>
        <v>0</v>
      </c>
      <c r="X9" s="189">
        <f t="shared" si="1"/>
        <v>0</v>
      </c>
      <c r="Y9" s="28">
        <f t="shared" si="2"/>
        <v>0</v>
      </c>
      <c r="Z9" s="29">
        <f t="shared" si="3"/>
        <v>37500</v>
      </c>
      <c r="AA9" s="29">
        <f t="shared" si="12"/>
        <v>0</v>
      </c>
      <c r="AB9" s="29">
        <f t="shared" si="6"/>
        <v>0</v>
      </c>
      <c r="AC9" s="29">
        <f t="shared" si="7"/>
        <v>0</v>
      </c>
      <c r="AD9" s="29">
        <f t="shared" si="8"/>
        <v>0</v>
      </c>
      <c r="AE9" s="29">
        <f t="shared" si="9"/>
        <v>200</v>
      </c>
      <c r="AF9" s="42">
        <f t="shared" si="10"/>
        <v>37300</v>
      </c>
      <c r="AG9" s="43">
        <f t="shared" si="4"/>
        <v>37500</v>
      </c>
      <c r="AH9" s="44">
        <f t="shared" si="5"/>
        <v>450000</v>
      </c>
      <c r="AI9" s="270"/>
      <c r="AJ9" s="128">
        <v>37500</v>
      </c>
      <c r="AK9" s="128"/>
      <c r="AL9" s="204"/>
      <c r="AM9" s="128"/>
      <c r="AN9" s="128"/>
      <c r="AO9" s="128"/>
      <c r="AP9" s="128"/>
    </row>
    <row r="10" spans="1:42" s="33" customFormat="1" ht="25.2" customHeight="1" x14ac:dyDescent="0.3">
      <c r="A10" s="64">
        <v>6</v>
      </c>
      <c r="B10" s="70" t="s">
        <v>113</v>
      </c>
      <c r="C10" s="70"/>
      <c r="D10" s="70" t="s">
        <v>143</v>
      </c>
      <c r="E10" s="70" t="s">
        <v>144</v>
      </c>
      <c r="F10" s="70" t="s">
        <v>53</v>
      </c>
      <c r="G10" s="70" t="s">
        <v>54</v>
      </c>
      <c r="H10" s="71">
        <v>39328</v>
      </c>
      <c r="I10" s="70" t="s">
        <v>47</v>
      </c>
      <c r="J10" s="72" t="s">
        <v>87</v>
      </c>
      <c r="K10" s="63" t="s">
        <v>87</v>
      </c>
      <c r="L10" s="63"/>
      <c r="M10" s="55" t="s">
        <v>48</v>
      </c>
      <c r="N10" s="218"/>
      <c r="O10" s="8" t="s">
        <v>50</v>
      </c>
      <c r="P10" s="9" t="s">
        <v>50</v>
      </c>
      <c r="Q10" s="35"/>
      <c r="R10" s="190">
        <f>17500+2500</f>
        <v>20000</v>
      </c>
      <c r="S10" s="189" cm="1">
        <f t="array" ref="S10">_xlfn.IFS(R10&gt;17000,R10*50%,R10&lt;10500,R10*20%,R10&lt;17000,R10*40%)</f>
        <v>10000</v>
      </c>
      <c r="T10" s="189">
        <v>1600</v>
      </c>
      <c r="U10" s="189">
        <f t="shared" si="0"/>
        <v>1667</v>
      </c>
      <c r="V10" s="41">
        <f>36933+3800</f>
        <v>40733</v>
      </c>
      <c r="W10" s="189">
        <f t="shared" si="11"/>
        <v>0</v>
      </c>
      <c r="X10" s="189">
        <f t="shared" si="1"/>
        <v>0</v>
      </c>
      <c r="Y10" s="28">
        <f t="shared" si="2"/>
        <v>0</v>
      </c>
      <c r="Z10" s="29">
        <f t="shared" si="3"/>
        <v>74000</v>
      </c>
      <c r="AA10" s="29">
        <f t="shared" si="12"/>
        <v>0</v>
      </c>
      <c r="AB10" s="29">
        <f t="shared" si="6"/>
        <v>0</v>
      </c>
      <c r="AC10" s="29">
        <f t="shared" si="7"/>
        <v>0</v>
      </c>
      <c r="AD10" s="29">
        <f t="shared" si="8"/>
        <v>0</v>
      </c>
      <c r="AE10" s="29">
        <f t="shared" si="9"/>
        <v>200</v>
      </c>
      <c r="AF10" s="30">
        <f t="shared" si="10"/>
        <v>73800</v>
      </c>
      <c r="AG10" s="29">
        <f t="shared" si="4"/>
        <v>74000</v>
      </c>
      <c r="AH10" s="38">
        <f t="shared" si="5"/>
        <v>888000</v>
      </c>
      <c r="AI10" s="270"/>
      <c r="AJ10" s="128">
        <v>74000</v>
      </c>
      <c r="AK10" s="128"/>
      <c r="AL10" s="204"/>
      <c r="AM10" s="128"/>
      <c r="AN10" s="128"/>
      <c r="AO10" s="128"/>
      <c r="AP10" s="128"/>
    </row>
    <row r="11" spans="1:42" s="33" customFormat="1" ht="25.2" customHeight="1" x14ac:dyDescent="0.3">
      <c r="A11" s="75">
        <v>7</v>
      </c>
      <c r="B11" s="65" t="s">
        <v>114</v>
      </c>
      <c r="C11" s="70"/>
      <c r="D11" s="65" t="s">
        <v>145</v>
      </c>
      <c r="E11" s="65" t="s">
        <v>56</v>
      </c>
      <c r="F11" s="65" t="s">
        <v>57</v>
      </c>
      <c r="G11" s="65" t="s">
        <v>86</v>
      </c>
      <c r="H11" s="66">
        <v>42074</v>
      </c>
      <c r="I11" s="70" t="s">
        <v>51</v>
      </c>
      <c r="J11" s="67" t="s">
        <v>87</v>
      </c>
      <c r="K11" s="67" t="s">
        <v>87</v>
      </c>
      <c r="L11" s="63"/>
      <c r="M11" s="55" t="s">
        <v>48</v>
      </c>
      <c r="N11" s="217"/>
      <c r="O11" s="8" t="s">
        <v>50</v>
      </c>
      <c r="P11" s="9" t="s">
        <v>50</v>
      </c>
      <c r="Q11" s="35"/>
      <c r="R11" s="36">
        <f>15100+1400</f>
        <v>16500</v>
      </c>
      <c r="S11" s="189" cm="1">
        <f t="array" ref="S11">_xlfn.IFS(R11&gt;17000,R11*50%,R11&lt;10500,R11*20%,R11&lt;17000,R11*40%)</f>
        <v>6600</v>
      </c>
      <c r="T11" s="189">
        <v>1600</v>
      </c>
      <c r="U11" s="189">
        <f t="shared" si="0"/>
        <v>1375</v>
      </c>
      <c r="V11" s="37">
        <f>17925+2000</f>
        <v>19925</v>
      </c>
      <c r="W11" s="189">
        <f t="shared" si="11"/>
        <v>0</v>
      </c>
      <c r="X11" s="189">
        <f t="shared" si="1"/>
        <v>0</v>
      </c>
      <c r="Y11" s="28">
        <f t="shared" si="2"/>
        <v>0</v>
      </c>
      <c r="Z11" s="29">
        <f t="shared" si="3"/>
        <v>46000</v>
      </c>
      <c r="AA11" s="29">
        <f t="shared" si="12"/>
        <v>0</v>
      </c>
      <c r="AB11" s="29">
        <f t="shared" si="6"/>
        <v>0</v>
      </c>
      <c r="AC11" s="29">
        <f t="shared" si="7"/>
        <v>0</v>
      </c>
      <c r="AD11" s="29">
        <f t="shared" si="8"/>
        <v>0</v>
      </c>
      <c r="AE11" s="29">
        <f t="shared" si="9"/>
        <v>200</v>
      </c>
      <c r="AF11" s="30">
        <f t="shared" si="10"/>
        <v>45800</v>
      </c>
      <c r="AG11" s="29">
        <f t="shared" si="4"/>
        <v>46000</v>
      </c>
      <c r="AH11" s="38">
        <f t="shared" si="5"/>
        <v>552000</v>
      </c>
      <c r="AI11" s="270"/>
      <c r="AJ11" s="128">
        <v>46000</v>
      </c>
      <c r="AK11" s="128"/>
      <c r="AL11" s="204"/>
      <c r="AM11" s="128"/>
      <c r="AN11" s="128"/>
      <c r="AO11" s="128"/>
      <c r="AP11" s="128"/>
    </row>
    <row r="12" spans="1:42" s="45" customFormat="1" ht="25.2" customHeight="1" x14ac:dyDescent="0.3">
      <c r="A12" s="75">
        <v>8</v>
      </c>
      <c r="B12" s="70" t="s">
        <v>115</v>
      </c>
      <c r="C12" s="65"/>
      <c r="D12" s="70" t="s">
        <v>146</v>
      </c>
      <c r="E12" s="70" t="s">
        <v>52</v>
      </c>
      <c r="F12" s="70" t="s">
        <v>46</v>
      </c>
      <c r="G12" s="70" t="s">
        <v>85</v>
      </c>
      <c r="H12" s="71">
        <v>42172</v>
      </c>
      <c r="I12" s="65" t="s">
        <v>47</v>
      </c>
      <c r="J12" s="80" t="s">
        <v>87</v>
      </c>
      <c r="K12" s="72" t="s">
        <v>87</v>
      </c>
      <c r="L12" s="74"/>
      <c r="M12" s="55" t="s">
        <v>48</v>
      </c>
      <c r="N12" s="217"/>
      <c r="O12" s="10" t="s">
        <v>50</v>
      </c>
      <c r="P12" s="11" t="s">
        <v>50</v>
      </c>
      <c r="Q12" s="35"/>
      <c r="R12" s="190">
        <f>17500+2500</f>
        <v>20000</v>
      </c>
      <c r="S12" s="189" cm="1">
        <f t="array" ref="S12">_xlfn.IFS(R12&gt;17000,R12*50%,R12&lt;10500,R12*20%,R12&lt;17000,R12*40%)</f>
        <v>10000</v>
      </c>
      <c r="T12" s="189">
        <v>1600</v>
      </c>
      <c r="U12" s="189">
        <f t="shared" si="0"/>
        <v>1667</v>
      </c>
      <c r="V12" s="41">
        <f>43233+3500</f>
        <v>46733</v>
      </c>
      <c r="W12" s="189">
        <f t="shared" si="11"/>
        <v>0</v>
      </c>
      <c r="X12" s="189">
        <f t="shared" si="1"/>
        <v>0</v>
      </c>
      <c r="Y12" s="28">
        <f t="shared" si="2"/>
        <v>0</v>
      </c>
      <c r="Z12" s="29">
        <f t="shared" si="3"/>
        <v>80000</v>
      </c>
      <c r="AA12" s="29">
        <f t="shared" si="12"/>
        <v>0</v>
      </c>
      <c r="AB12" s="29">
        <f t="shared" si="6"/>
        <v>0</v>
      </c>
      <c r="AC12" s="29">
        <f t="shared" si="7"/>
        <v>0</v>
      </c>
      <c r="AD12" s="29">
        <f t="shared" si="8"/>
        <v>0</v>
      </c>
      <c r="AE12" s="29">
        <f t="shared" si="9"/>
        <v>200</v>
      </c>
      <c r="AF12" s="42">
        <f t="shared" si="10"/>
        <v>79800</v>
      </c>
      <c r="AG12" s="43">
        <f t="shared" si="4"/>
        <v>80000</v>
      </c>
      <c r="AH12" s="44">
        <f t="shared" si="5"/>
        <v>960000</v>
      </c>
      <c r="AI12" s="270"/>
      <c r="AJ12" s="128">
        <v>80000</v>
      </c>
      <c r="AK12" s="128"/>
      <c r="AL12" s="204"/>
      <c r="AM12" s="128"/>
      <c r="AN12" s="128"/>
      <c r="AO12" s="128"/>
      <c r="AP12" s="128"/>
    </row>
    <row r="13" spans="1:42" s="45" customFormat="1" ht="25.2" customHeight="1" x14ac:dyDescent="0.3">
      <c r="A13" s="64">
        <v>9</v>
      </c>
      <c r="B13" s="65" t="s">
        <v>116</v>
      </c>
      <c r="C13" s="65"/>
      <c r="D13" s="65" t="s">
        <v>147</v>
      </c>
      <c r="E13" s="65" t="s">
        <v>148</v>
      </c>
      <c r="F13" s="65" t="s">
        <v>53</v>
      </c>
      <c r="G13" s="65" t="s">
        <v>85</v>
      </c>
      <c r="H13" s="66">
        <v>42660</v>
      </c>
      <c r="I13" s="70" t="s">
        <v>51</v>
      </c>
      <c r="J13" s="67" t="s">
        <v>87</v>
      </c>
      <c r="K13" s="68" t="s">
        <v>87</v>
      </c>
      <c r="L13" s="63"/>
      <c r="M13" s="55" t="s">
        <v>48</v>
      </c>
      <c r="N13" s="217"/>
      <c r="O13" s="8" t="s">
        <v>50</v>
      </c>
      <c r="P13" s="9" t="s">
        <v>50</v>
      </c>
      <c r="Q13" s="35" t="s">
        <v>49</v>
      </c>
      <c r="R13" s="36">
        <f>15100+1400</f>
        <v>16500</v>
      </c>
      <c r="S13" s="189" cm="1">
        <f t="array" ref="S13">_xlfn.IFS(R13&gt;17000,R13*50%,R13&lt;10500,R13*20%,R13&lt;17000,R13*40%)</f>
        <v>6600</v>
      </c>
      <c r="T13" s="189">
        <v>1600</v>
      </c>
      <c r="U13" s="189">
        <f t="shared" si="0"/>
        <v>1375</v>
      </c>
      <c r="V13" s="37">
        <f>18925+2500</f>
        <v>21425</v>
      </c>
      <c r="W13" s="189">
        <f t="shared" si="11"/>
        <v>0</v>
      </c>
      <c r="X13" s="189">
        <f t="shared" si="1"/>
        <v>0</v>
      </c>
      <c r="Y13" s="28">
        <f t="shared" si="2"/>
        <v>0</v>
      </c>
      <c r="Z13" s="29">
        <f t="shared" si="3"/>
        <v>47500</v>
      </c>
      <c r="AA13" s="29">
        <f t="shared" si="12"/>
        <v>0</v>
      </c>
      <c r="AB13" s="29">
        <f t="shared" si="6"/>
        <v>0</v>
      </c>
      <c r="AC13" s="29">
        <f t="shared" si="7"/>
        <v>0</v>
      </c>
      <c r="AD13" s="29">
        <f t="shared" si="8"/>
        <v>0</v>
      </c>
      <c r="AE13" s="29">
        <f t="shared" si="9"/>
        <v>200</v>
      </c>
      <c r="AF13" s="42">
        <f t="shared" si="10"/>
        <v>47300</v>
      </c>
      <c r="AG13" s="43">
        <f t="shared" si="4"/>
        <v>47500</v>
      </c>
      <c r="AH13" s="44">
        <f t="shared" si="5"/>
        <v>570000</v>
      </c>
      <c r="AI13" s="270"/>
      <c r="AJ13" s="128">
        <v>47500</v>
      </c>
      <c r="AK13" s="128"/>
      <c r="AL13" s="204"/>
      <c r="AM13" s="128"/>
      <c r="AN13" s="128"/>
      <c r="AO13" s="128"/>
      <c r="AP13" s="128"/>
    </row>
    <row r="14" spans="1:42" s="45" customFormat="1" ht="25.2" customHeight="1" x14ac:dyDescent="0.3">
      <c r="A14" s="64">
        <v>10</v>
      </c>
      <c r="B14" s="65" t="s">
        <v>117</v>
      </c>
      <c r="C14" s="65"/>
      <c r="D14" s="65" t="s">
        <v>149</v>
      </c>
      <c r="E14" s="65" t="s">
        <v>134</v>
      </c>
      <c r="F14" s="65" t="s">
        <v>46</v>
      </c>
      <c r="G14" s="65" t="s">
        <v>85</v>
      </c>
      <c r="H14" s="66">
        <v>42688</v>
      </c>
      <c r="I14" s="70" t="s">
        <v>51</v>
      </c>
      <c r="J14" s="73" t="s">
        <v>87</v>
      </c>
      <c r="K14" s="74" t="s">
        <v>87</v>
      </c>
      <c r="L14" s="63"/>
      <c r="M14" s="55" t="s">
        <v>48</v>
      </c>
      <c r="N14" s="219"/>
      <c r="O14" s="8" t="s">
        <v>50</v>
      </c>
      <c r="P14" s="9" t="s">
        <v>50</v>
      </c>
      <c r="Q14" s="39"/>
      <c r="R14" s="36">
        <f>15100+1400</f>
        <v>16500</v>
      </c>
      <c r="S14" s="189" cm="1">
        <f t="array" ref="S14">_xlfn.IFS(R14&gt;17000,R14*50%,R14&lt;10500,R14*20%,R14&lt;17000,R14*40%)</f>
        <v>6600</v>
      </c>
      <c r="T14" s="189">
        <v>1600</v>
      </c>
      <c r="U14" s="189">
        <f t="shared" si="0"/>
        <v>1375</v>
      </c>
      <c r="V14" s="37">
        <f>16425+2500</f>
        <v>18925</v>
      </c>
      <c r="W14" s="189">
        <f t="shared" si="11"/>
        <v>0</v>
      </c>
      <c r="X14" s="189">
        <f t="shared" si="1"/>
        <v>0</v>
      </c>
      <c r="Y14" s="28">
        <f t="shared" si="2"/>
        <v>0</v>
      </c>
      <c r="Z14" s="29">
        <f t="shared" si="3"/>
        <v>45000</v>
      </c>
      <c r="AA14" s="29">
        <f t="shared" si="12"/>
        <v>0</v>
      </c>
      <c r="AB14" s="29">
        <f t="shared" si="6"/>
        <v>0</v>
      </c>
      <c r="AC14" s="29">
        <f t="shared" si="7"/>
        <v>0</v>
      </c>
      <c r="AD14" s="29">
        <f t="shared" si="8"/>
        <v>0</v>
      </c>
      <c r="AE14" s="29">
        <f t="shared" si="9"/>
        <v>200</v>
      </c>
      <c r="AF14" s="30">
        <f t="shared" si="10"/>
        <v>44800</v>
      </c>
      <c r="AG14" s="29">
        <f t="shared" si="4"/>
        <v>45000</v>
      </c>
      <c r="AH14" s="38">
        <f t="shared" si="5"/>
        <v>540000</v>
      </c>
      <c r="AI14" s="270"/>
      <c r="AJ14" s="128">
        <v>45000</v>
      </c>
      <c r="AK14" s="128"/>
      <c r="AL14" s="204"/>
      <c r="AM14" s="128"/>
      <c r="AN14" s="128"/>
      <c r="AO14" s="128"/>
      <c r="AP14" s="128"/>
    </row>
    <row r="15" spans="1:42" s="33" customFormat="1" ht="25.2" customHeight="1" x14ac:dyDescent="0.3">
      <c r="A15" s="64">
        <v>11</v>
      </c>
      <c r="B15" s="70" t="s">
        <v>215</v>
      </c>
      <c r="C15" s="70"/>
      <c r="D15" s="70" t="s">
        <v>150</v>
      </c>
      <c r="E15" s="70"/>
      <c r="F15" s="70" t="s">
        <v>55</v>
      </c>
      <c r="G15" s="70" t="s">
        <v>54</v>
      </c>
      <c r="H15" s="71">
        <v>42773</v>
      </c>
      <c r="I15" s="65" t="s">
        <v>47</v>
      </c>
      <c r="J15" s="72" t="s">
        <v>87</v>
      </c>
      <c r="K15" s="78" t="s">
        <v>87</v>
      </c>
      <c r="L15" s="67"/>
      <c r="M15" s="55" t="s">
        <v>48</v>
      </c>
      <c r="N15" s="218"/>
      <c r="O15" s="10" t="s">
        <v>50</v>
      </c>
      <c r="P15" s="11" t="s">
        <v>50</v>
      </c>
      <c r="Q15" s="35"/>
      <c r="R15" s="36">
        <f>15100+1400</f>
        <v>16500</v>
      </c>
      <c r="S15" s="189" cm="1">
        <f t="array" ref="S15">_xlfn.IFS(R15&gt;17000,R15*50%,R15&lt;10500,R15*20%,R15&lt;17000,R15*40%)</f>
        <v>6600</v>
      </c>
      <c r="T15" s="189">
        <v>1600</v>
      </c>
      <c r="U15" s="189">
        <f t="shared" si="0"/>
        <v>1375</v>
      </c>
      <c r="V15" s="41">
        <f>26425+3000</f>
        <v>29425</v>
      </c>
      <c r="W15" s="189">
        <f t="shared" si="11"/>
        <v>0</v>
      </c>
      <c r="X15" s="189">
        <f t="shared" si="1"/>
        <v>0</v>
      </c>
      <c r="Y15" s="28">
        <f t="shared" si="2"/>
        <v>0</v>
      </c>
      <c r="Z15" s="29">
        <f t="shared" si="3"/>
        <v>55500</v>
      </c>
      <c r="AA15" s="29">
        <f t="shared" si="12"/>
        <v>0</v>
      </c>
      <c r="AB15" s="29">
        <f t="shared" si="6"/>
        <v>0</v>
      </c>
      <c r="AC15" s="29">
        <f t="shared" si="7"/>
        <v>0</v>
      </c>
      <c r="AD15" s="29">
        <f t="shared" si="8"/>
        <v>0</v>
      </c>
      <c r="AE15" s="29">
        <f t="shared" si="9"/>
        <v>200</v>
      </c>
      <c r="AF15" s="30">
        <f t="shared" si="10"/>
        <v>55300</v>
      </c>
      <c r="AG15" s="29">
        <f t="shared" si="4"/>
        <v>55500</v>
      </c>
      <c r="AH15" s="38">
        <f t="shared" si="5"/>
        <v>666000</v>
      </c>
      <c r="AI15" s="270"/>
      <c r="AJ15" s="128">
        <v>55500</v>
      </c>
      <c r="AK15" s="128"/>
      <c r="AL15" s="204"/>
      <c r="AM15" s="128"/>
      <c r="AN15" s="128"/>
      <c r="AO15" s="128"/>
      <c r="AP15" s="128"/>
    </row>
    <row r="16" spans="1:42" s="33" customFormat="1" ht="25.2" customHeight="1" x14ac:dyDescent="0.3">
      <c r="A16" s="75">
        <v>12</v>
      </c>
      <c r="B16" s="65" t="s">
        <v>118</v>
      </c>
      <c r="C16" s="70"/>
      <c r="D16" s="65" t="s">
        <v>151</v>
      </c>
      <c r="E16" s="65" t="s">
        <v>152</v>
      </c>
      <c r="F16" s="65" t="s">
        <v>55</v>
      </c>
      <c r="G16" s="65" t="s">
        <v>54</v>
      </c>
      <c r="H16" s="66">
        <v>43115</v>
      </c>
      <c r="I16" s="65" t="s">
        <v>51</v>
      </c>
      <c r="J16" s="73">
        <v>101247514144</v>
      </c>
      <c r="K16" s="74" t="s">
        <v>87</v>
      </c>
      <c r="L16" s="74"/>
      <c r="M16" s="55" t="s">
        <v>48</v>
      </c>
      <c r="N16" s="218"/>
      <c r="O16" s="10" t="s">
        <v>49</v>
      </c>
      <c r="P16" s="11" t="s">
        <v>50</v>
      </c>
      <c r="Q16" s="35"/>
      <c r="R16" s="40">
        <f>10000+1500</f>
        <v>11500</v>
      </c>
      <c r="S16" s="189" cm="1">
        <f t="array" ref="S16">_xlfn.IFS(R16&gt;17000,R16*50%,R16&lt;10500,R16*20%,R16&lt;17000,R16*40%)</f>
        <v>4600</v>
      </c>
      <c r="T16" s="189">
        <v>1600</v>
      </c>
      <c r="U16" s="189">
        <f t="shared" si="0"/>
        <v>958</v>
      </c>
      <c r="V16" s="37">
        <f>32742+5000</f>
        <v>37742</v>
      </c>
      <c r="W16" s="189">
        <f t="shared" si="11"/>
        <v>1800</v>
      </c>
      <c r="X16" s="189">
        <f t="shared" si="1"/>
        <v>1800</v>
      </c>
      <c r="Y16" s="28">
        <f t="shared" si="2"/>
        <v>0</v>
      </c>
      <c r="Z16" s="29">
        <f t="shared" si="3"/>
        <v>60000</v>
      </c>
      <c r="AA16" s="29">
        <f t="shared" si="12"/>
        <v>1800</v>
      </c>
      <c r="AB16" s="29">
        <f t="shared" si="6"/>
        <v>1800</v>
      </c>
      <c r="AC16" s="29">
        <f t="shared" si="7"/>
        <v>0</v>
      </c>
      <c r="AD16" s="29">
        <f t="shared" si="8"/>
        <v>0</v>
      </c>
      <c r="AE16" s="29">
        <f t="shared" si="9"/>
        <v>200</v>
      </c>
      <c r="AF16" s="42">
        <f t="shared" si="10"/>
        <v>56200</v>
      </c>
      <c r="AG16" s="43">
        <f t="shared" si="4"/>
        <v>60000</v>
      </c>
      <c r="AH16" s="44">
        <f t="shared" si="5"/>
        <v>720000</v>
      </c>
      <c r="AI16" s="270"/>
      <c r="AJ16" s="128">
        <v>60000</v>
      </c>
      <c r="AK16" s="128"/>
      <c r="AL16" s="204"/>
      <c r="AM16" s="128"/>
      <c r="AN16" s="128"/>
      <c r="AO16" s="128"/>
      <c r="AP16" s="128"/>
    </row>
    <row r="17" spans="1:42" s="33" customFormat="1" ht="25.2" customHeight="1" x14ac:dyDescent="0.3">
      <c r="A17" s="64">
        <v>13</v>
      </c>
      <c r="B17" s="70" t="s">
        <v>119</v>
      </c>
      <c r="C17" s="70"/>
      <c r="D17" s="70" t="s">
        <v>153</v>
      </c>
      <c r="E17" s="70" t="s">
        <v>214</v>
      </c>
      <c r="F17" s="70" t="s">
        <v>46</v>
      </c>
      <c r="G17" s="70" t="s">
        <v>86</v>
      </c>
      <c r="H17" s="71">
        <v>43199</v>
      </c>
      <c r="I17" s="70" t="s">
        <v>51</v>
      </c>
      <c r="J17" s="80" t="s">
        <v>87</v>
      </c>
      <c r="K17" s="78" t="s">
        <v>87</v>
      </c>
      <c r="L17" s="63"/>
      <c r="M17" s="55" t="s">
        <v>48</v>
      </c>
      <c r="N17" s="218"/>
      <c r="O17" s="8" t="s">
        <v>50</v>
      </c>
      <c r="P17" s="9" t="s">
        <v>50</v>
      </c>
      <c r="Q17" s="35"/>
      <c r="R17" s="36">
        <f>15100+1400</f>
        <v>16500</v>
      </c>
      <c r="S17" s="189" cm="1">
        <f t="array" ref="S17">_xlfn.IFS(R17&gt;17000,R17*50%,R17&lt;10500,R17*20%,R17&lt;17000,R17*40%)</f>
        <v>6600</v>
      </c>
      <c r="T17" s="189">
        <v>1600</v>
      </c>
      <c r="U17" s="189">
        <f t="shared" si="0"/>
        <v>1375</v>
      </c>
      <c r="V17" s="41">
        <f>7925+2000</f>
        <v>9925</v>
      </c>
      <c r="W17" s="189">
        <f t="shared" si="11"/>
        <v>0</v>
      </c>
      <c r="X17" s="189">
        <f t="shared" si="1"/>
        <v>0</v>
      </c>
      <c r="Y17" s="28">
        <f t="shared" si="2"/>
        <v>0</v>
      </c>
      <c r="Z17" s="29">
        <f t="shared" si="3"/>
        <v>36000</v>
      </c>
      <c r="AA17" s="29">
        <f t="shared" si="12"/>
        <v>0</v>
      </c>
      <c r="AB17" s="29">
        <f t="shared" si="6"/>
        <v>0</v>
      </c>
      <c r="AC17" s="29">
        <f t="shared" si="7"/>
        <v>0</v>
      </c>
      <c r="AD17" s="29">
        <f t="shared" si="8"/>
        <v>0</v>
      </c>
      <c r="AE17" s="29">
        <f t="shared" si="9"/>
        <v>200</v>
      </c>
      <c r="AF17" s="30">
        <f t="shared" si="10"/>
        <v>35800</v>
      </c>
      <c r="AG17" s="29">
        <f t="shared" si="4"/>
        <v>36000</v>
      </c>
      <c r="AH17" s="38">
        <f t="shared" si="5"/>
        <v>432000</v>
      </c>
      <c r="AI17" s="270"/>
      <c r="AJ17" s="128">
        <v>36000</v>
      </c>
      <c r="AK17" s="128"/>
      <c r="AL17" s="204"/>
      <c r="AM17" s="128"/>
      <c r="AN17" s="128"/>
      <c r="AO17" s="128"/>
      <c r="AP17" s="128"/>
    </row>
    <row r="18" spans="1:42" s="45" customFormat="1" ht="25.2" customHeight="1" x14ac:dyDescent="0.3">
      <c r="A18" s="64">
        <v>14</v>
      </c>
      <c r="B18" s="70" t="s">
        <v>120</v>
      </c>
      <c r="C18" s="70"/>
      <c r="D18" s="70" t="s">
        <v>154</v>
      </c>
      <c r="E18" s="70" t="s">
        <v>134</v>
      </c>
      <c r="F18" s="70" t="s">
        <v>46</v>
      </c>
      <c r="G18" s="70" t="s">
        <v>85</v>
      </c>
      <c r="H18" s="71">
        <v>43405</v>
      </c>
      <c r="I18" s="65" t="s">
        <v>51</v>
      </c>
      <c r="J18" s="80" t="s">
        <v>87</v>
      </c>
      <c r="K18" s="77" t="s">
        <v>87</v>
      </c>
      <c r="L18" s="69"/>
      <c r="M18" s="55" t="s">
        <v>48</v>
      </c>
      <c r="N18" s="217"/>
      <c r="O18" s="10" t="s">
        <v>50</v>
      </c>
      <c r="P18" s="11" t="s">
        <v>50</v>
      </c>
      <c r="Q18" s="35"/>
      <c r="R18" s="36">
        <f>15100+1400</f>
        <v>16500</v>
      </c>
      <c r="S18" s="189" cm="1">
        <f t="array" ref="S18">_xlfn.IFS(R18&gt;17000,R18*50%,R18&lt;10500,R18*20%,R18&lt;17000,R18*40%)</f>
        <v>6600</v>
      </c>
      <c r="T18" s="189">
        <v>1600</v>
      </c>
      <c r="U18" s="189">
        <f t="shared" si="0"/>
        <v>1375</v>
      </c>
      <c r="V18" s="41">
        <f>6425+2500</f>
        <v>8925</v>
      </c>
      <c r="W18" s="189">
        <f t="shared" si="11"/>
        <v>0</v>
      </c>
      <c r="X18" s="189">
        <f t="shared" si="1"/>
        <v>0</v>
      </c>
      <c r="Y18" s="28">
        <f t="shared" si="2"/>
        <v>0</v>
      </c>
      <c r="Z18" s="29">
        <f t="shared" si="3"/>
        <v>35000</v>
      </c>
      <c r="AA18" s="29">
        <f t="shared" si="12"/>
        <v>0</v>
      </c>
      <c r="AB18" s="29">
        <f t="shared" si="6"/>
        <v>0</v>
      </c>
      <c r="AC18" s="29">
        <f t="shared" si="7"/>
        <v>0</v>
      </c>
      <c r="AD18" s="29">
        <f t="shared" si="8"/>
        <v>0</v>
      </c>
      <c r="AE18" s="29">
        <f t="shared" si="9"/>
        <v>200</v>
      </c>
      <c r="AF18" s="30">
        <f t="shared" si="10"/>
        <v>34800</v>
      </c>
      <c r="AG18" s="29">
        <f t="shared" si="4"/>
        <v>35000</v>
      </c>
      <c r="AH18" s="38">
        <f t="shared" si="5"/>
        <v>420000</v>
      </c>
      <c r="AI18" s="270"/>
      <c r="AJ18" s="128">
        <v>35000</v>
      </c>
      <c r="AK18" s="128"/>
      <c r="AL18" s="204"/>
      <c r="AM18" s="128"/>
      <c r="AN18" s="128"/>
      <c r="AO18" s="128"/>
      <c r="AP18" s="128"/>
    </row>
    <row r="19" spans="1:42" s="33" customFormat="1" ht="25.2" customHeight="1" x14ac:dyDescent="0.3">
      <c r="A19" s="64">
        <v>15</v>
      </c>
      <c r="B19" s="70" t="s">
        <v>121</v>
      </c>
      <c r="C19" s="70"/>
      <c r="D19" s="70" t="s">
        <v>155</v>
      </c>
      <c r="E19" s="70" t="s">
        <v>156</v>
      </c>
      <c r="F19" s="70" t="s">
        <v>55</v>
      </c>
      <c r="G19" s="65" t="s">
        <v>54</v>
      </c>
      <c r="H19" s="66">
        <v>44175</v>
      </c>
      <c r="I19" s="70" t="s">
        <v>51</v>
      </c>
      <c r="J19" s="80" t="s">
        <v>87</v>
      </c>
      <c r="K19" s="78" t="s">
        <v>87</v>
      </c>
      <c r="L19" s="77"/>
      <c r="M19" s="55" t="s">
        <v>48</v>
      </c>
      <c r="N19" s="218"/>
      <c r="O19" s="8" t="s">
        <v>50</v>
      </c>
      <c r="P19" s="9" t="s">
        <v>50</v>
      </c>
      <c r="Q19" s="35"/>
      <c r="R19" s="36">
        <f>15100+1400</f>
        <v>16500</v>
      </c>
      <c r="S19" s="189" cm="1">
        <f t="array" ref="S19">_xlfn.IFS(R19&gt;17000,R19*50%,R19&lt;10500,R19*20%,R19&lt;17000,R19*40%)</f>
        <v>6600</v>
      </c>
      <c r="T19" s="189">
        <v>1600</v>
      </c>
      <c r="U19" s="189">
        <f t="shared" si="0"/>
        <v>1375</v>
      </c>
      <c r="V19" s="41">
        <f>31925+3000</f>
        <v>34925</v>
      </c>
      <c r="W19" s="189">
        <f t="shared" si="11"/>
        <v>0</v>
      </c>
      <c r="X19" s="189">
        <f t="shared" si="1"/>
        <v>0</v>
      </c>
      <c r="Y19" s="28">
        <f t="shared" si="2"/>
        <v>0</v>
      </c>
      <c r="Z19" s="29">
        <f t="shared" si="3"/>
        <v>61000</v>
      </c>
      <c r="AA19" s="29">
        <f t="shared" si="12"/>
        <v>0</v>
      </c>
      <c r="AB19" s="29">
        <f t="shared" si="6"/>
        <v>0</v>
      </c>
      <c r="AC19" s="29">
        <f t="shared" si="7"/>
        <v>0</v>
      </c>
      <c r="AD19" s="29">
        <f t="shared" si="8"/>
        <v>0</v>
      </c>
      <c r="AE19" s="29">
        <f t="shared" si="9"/>
        <v>200</v>
      </c>
      <c r="AF19" s="30">
        <f t="shared" si="10"/>
        <v>60800</v>
      </c>
      <c r="AG19" s="29">
        <f t="shared" si="4"/>
        <v>61000</v>
      </c>
      <c r="AH19" s="38">
        <f t="shared" si="5"/>
        <v>732000</v>
      </c>
      <c r="AI19" s="270"/>
      <c r="AJ19" s="128">
        <v>61000</v>
      </c>
      <c r="AK19" s="128"/>
      <c r="AL19" s="204"/>
      <c r="AM19" s="128"/>
      <c r="AN19" s="128"/>
      <c r="AO19" s="128"/>
      <c r="AP19" s="128"/>
    </row>
    <row r="20" spans="1:42" s="33" customFormat="1" ht="25.2" customHeight="1" x14ac:dyDescent="0.3">
      <c r="A20" s="64">
        <v>16</v>
      </c>
      <c r="B20" s="70" t="s">
        <v>122</v>
      </c>
      <c r="C20" s="65"/>
      <c r="D20" s="81" t="s">
        <v>158</v>
      </c>
      <c r="E20" s="70" t="s">
        <v>142</v>
      </c>
      <c r="F20" s="70" t="s">
        <v>46</v>
      </c>
      <c r="G20" s="70" t="s">
        <v>85</v>
      </c>
      <c r="H20" s="71">
        <v>44440</v>
      </c>
      <c r="I20" s="70" t="s">
        <v>51</v>
      </c>
      <c r="J20" s="76">
        <v>101276272048</v>
      </c>
      <c r="K20" s="77">
        <v>3517199097</v>
      </c>
      <c r="L20" s="78"/>
      <c r="M20" s="55" t="s">
        <v>48</v>
      </c>
      <c r="N20" s="219"/>
      <c r="O20" s="8" t="s">
        <v>49</v>
      </c>
      <c r="P20" s="9" t="s">
        <v>50</v>
      </c>
      <c r="Q20" s="39"/>
      <c r="R20" s="40">
        <f>10000</f>
        <v>10000</v>
      </c>
      <c r="S20" s="189" cm="1">
        <f t="array" ref="S20">_xlfn.IFS(R20&gt;17000,R20*50%,R20&lt;10500,R20*20%,R20&lt;17000,R20*40%)</f>
        <v>2000</v>
      </c>
      <c r="T20" s="189">
        <v>1600</v>
      </c>
      <c r="U20" s="189">
        <f t="shared" si="0"/>
        <v>833</v>
      </c>
      <c r="V20" s="41">
        <f>8467+1300</f>
        <v>9767</v>
      </c>
      <c r="W20" s="189">
        <f t="shared" si="11"/>
        <v>1800</v>
      </c>
      <c r="X20" s="189">
        <f t="shared" si="1"/>
        <v>1800</v>
      </c>
      <c r="Y20" s="28">
        <f t="shared" si="2"/>
        <v>0</v>
      </c>
      <c r="Z20" s="29">
        <f t="shared" si="3"/>
        <v>27800</v>
      </c>
      <c r="AA20" s="29">
        <f t="shared" si="12"/>
        <v>1800</v>
      </c>
      <c r="AB20" s="29">
        <f t="shared" si="6"/>
        <v>1800</v>
      </c>
      <c r="AC20" s="29">
        <f t="shared" si="7"/>
        <v>0</v>
      </c>
      <c r="AD20" s="29">
        <f t="shared" si="8"/>
        <v>0</v>
      </c>
      <c r="AE20" s="29">
        <f t="shared" si="9"/>
        <v>200</v>
      </c>
      <c r="AF20" s="30">
        <f t="shared" si="10"/>
        <v>24000</v>
      </c>
      <c r="AG20" s="29">
        <f t="shared" si="4"/>
        <v>27800</v>
      </c>
      <c r="AH20" s="38">
        <f t="shared" si="5"/>
        <v>333600</v>
      </c>
      <c r="AI20" s="270"/>
      <c r="AJ20" s="128">
        <v>27800</v>
      </c>
      <c r="AK20" s="128"/>
      <c r="AL20" s="204"/>
      <c r="AM20" s="128"/>
      <c r="AN20" s="128"/>
      <c r="AO20" s="128"/>
      <c r="AP20" s="128"/>
    </row>
    <row r="21" spans="1:42" s="33" customFormat="1" ht="25.2" customHeight="1" x14ac:dyDescent="0.3">
      <c r="A21" s="64">
        <v>17</v>
      </c>
      <c r="B21" s="70" t="s">
        <v>123</v>
      </c>
      <c r="C21" s="70"/>
      <c r="D21" s="81" t="s">
        <v>159</v>
      </c>
      <c r="E21" s="70" t="s">
        <v>142</v>
      </c>
      <c r="F21" s="70" t="s">
        <v>46</v>
      </c>
      <c r="G21" s="70" t="s">
        <v>85</v>
      </c>
      <c r="H21" s="66">
        <v>44562</v>
      </c>
      <c r="I21" s="70" t="s">
        <v>47</v>
      </c>
      <c r="J21" s="76">
        <v>101413492317</v>
      </c>
      <c r="K21" s="77">
        <v>3517296877</v>
      </c>
      <c r="L21" s="77"/>
      <c r="M21" s="55" t="s">
        <v>48</v>
      </c>
      <c r="N21" s="217"/>
      <c r="O21" s="8" t="s">
        <v>49</v>
      </c>
      <c r="P21" s="9" t="s">
        <v>50</v>
      </c>
      <c r="Q21" s="35"/>
      <c r="R21" s="40">
        <f>10000</f>
        <v>10000</v>
      </c>
      <c r="S21" s="189" cm="1">
        <f t="array" ref="S21">_xlfn.IFS(R21&gt;17000,R21*50%,R21&lt;10500,R21*20%,R21&lt;17000,R21*40%)</f>
        <v>2000</v>
      </c>
      <c r="T21" s="189">
        <v>1600</v>
      </c>
      <c r="U21" s="189">
        <f t="shared" si="0"/>
        <v>833</v>
      </c>
      <c r="V21" s="41">
        <f>4656-33+844+1200</f>
        <v>6667</v>
      </c>
      <c r="W21" s="189">
        <f t="shared" si="11"/>
        <v>1800</v>
      </c>
      <c r="X21" s="189">
        <f t="shared" si="1"/>
        <v>1800</v>
      </c>
      <c r="Y21" s="28">
        <f t="shared" si="2"/>
        <v>0</v>
      </c>
      <c r="Z21" s="29">
        <f t="shared" si="3"/>
        <v>24700</v>
      </c>
      <c r="AA21" s="29">
        <f t="shared" si="12"/>
        <v>1800</v>
      </c>
      <c r="AB21" s="29">
        <f t="shared" si="6"/>
        <v>1800</v>
      </c>
      <c r="AC21" s="29">
        <f t="shared" si="7"/>
        <v>0</v>
      </c>
      <c r="AD21" s="29">
        <f t="shared" si="8"/>
        <v>0</v>
      </c>
      <c r="AE21" s="29">
        <f t="shared" si="9"/>
        <v>0</v>
      </c>
      <c r="AF21" s="42">
        <f>ROUND(Z21-SUM(AA21:AE21),0)</f>
        <v>21100</v>
      </c>
      <c r="AG21" s="43">
        <f t="shared" si="4"/>
        <v>24700</v>
      </c>
      <c r="AH21" s="44">
        <f t="shared" si="5"/>
        <v>296400</v>
      </c>
      <c r="AI21" s="270"/>
      <c r="AJ21" s="298">
        <v>24700</v>
      </c>
      <c r="AK21" s="128"/>
      <c r="AL21" s="204"/>
      <c r="AM21" s="128"/>
      <c r="AN21" s="128"/>
      <c r="AO21" s="128"/>
      <c r="AP21" s="128"/>
    </row>
    <row r="22" spans="1:42" s="33" customFormat="1" ht="25.2" customHeight="1" x14ac:dyDescent="0.3">
      <c r="A22" s="64">
        <v>18</v>
      </c>
      <c r="B22" s="70" t="s">
        <v>124</v>
      </c>
      <c r="C22" s="70"/>
      <c r="D22" s="70" t="s">
        <v>160</v>
      </c>
      <c r="E22" s="70" t="s">
        <v>161</v>
      </c>
      <c r="F22" s="70" t="s">
        <v>55</v>
      </c>
      <c r="G22" s="70" t="s">
        <v>54</v>
      </c>
      <c r="H22" s="71">
        <v>44774</v>
      </c>
      <c r="I22" s="70" t="s">
        <v>51</v>
      </c>
      <c r="J22" s="72">
        <v>101865613126</v>
      </c>
      <c r="K22" s="63">
        <v>3517670708</v>
      </c>
      <c r="L22" s="63"/>
      <c r="M22" s="55" t="s">
        <v>48</v>
      </c>
      <c r="N22" s="219"/>
      <c r="O22" s="8" t="s">
        <v>49</v>
      </c>
      <c r="P22" s="9" t="s">
        <v>49</v>
      </c>
      <c r="Q22" s="39"/>
      <c r="R22" s="40">
        <f>10000</f>
        <v>10000</v>
      </c>
      <c r="S22" s="189" cm="1">
        <f t="array" ref="S22">_xlfn.IFS(R22&gt;17000,R22*50%,R22&lt;10500,R22*20%,R22&lt;17000,R22*40%)</f>
        <v>2000</v>
      </c>
      <c r="T22" s="189">
        <v>1600</v>
      </c>
      <c r="U22" s="189">
        <f t="shared" si="0"/>
        <v>833</v>
      </c>
      <c r="V22" s="41">
        <f>3817+1000</f>
        <v>4817</v>
      </c>
      <c r="W22" s="189">
        <f t="shared" si="11"/>
        <v>0</v>
      </c>
      <c r="X22" s="189">
        <f t="shared" si="1"/>
        <v>0</v>
      </c>
      <c r="Y22" s="28">
        <f t="shared" si="2"/>
        <v>0</v>
      </c>
      <c r="Z22" s="29">
        <f>ROUND(SUM(R22:Y22),0)</f>
        <v>19250</v>
      </c>
      <c r="AA22" s="29">
        <f>ROUND(IF(O22="Yes",IF((Z22-S22)&gt;15000,1800,SUM(Z22-S22)*12%),),)</f>
        <v>1800</v>
      </c>
      <c r="AB22" s="29">
        <f t="shared" si="6"/>
        <v>0</v>
      </c>
      <c r="AC22" s="29">
        <f>ROUND(IF(P22="Yes",Z22*0.75%,0),0)</f>
        <v>144</v>
      </c>
      <c r="AD22" s="29">
        <f t="shared" si="8"/>
        <v>0</v>
      </c>
      <c r="AE22" s="29">
        <f t="shared" si="9"/>
        <v>200</v>
      </c>
      <c r="AF22" s="30">
        <f t="shared" ref="AF22:AF36" si="13">ROUND(Z22-SUM(AA22:AE22),0)</f>
        <v>17106</v>
      </c>
      <c r="AG22" s="29">
        <f t="shared" si="4"/>
        <v>19250</v>
      </c>
      <c r="AH22" s="38">
        <f t="shared" si="5"/>
        <v>231000</v>
      </c>
      <c r="AI22" s="270"/>
      <c r="AJ22" s="298">
        <v>19250</v>
      </c>
      <c r="AK22" s="128"/>
      <c r="AL22" s="204"/>
      <c r="AM22" s="128"/>
      <c r="AN22" s="128"/>
      <c r="AO22" s="128"/>
      <c r="AP22" s="128"/>
    </row>
    <row r="23" spans="1:42" s="45" customFormat="1" ht="25.2" customHeight="1" x14ac:dyDescent="0.3">
      <c r="A23" s="64">
        <v>19</v>
      </c>
      <c r="B23" s="70" t="s">
        <v>125</v>
      </c>
      <c r="C23" s="65"/>
      <c r="D23" s="70" t="s">
        <v>162</v>
      </c>
      <c r="E23" s="70" t="s">
        <v>161</v>
      </c>
      <c r="F23" s="70" t="s">
        <v>55</v>
      </c>
      <c r="G23" s="70" t="s">
        <v>54</v>
      </c>
      <c r="H23" s="71">
        <v>44774</v>
      </c>
      <c r="I23" s="70" t="s">
        <v>51</v>
      </c>
      <c r="J23" s="72">
        <v>101865613135</v>
      </c>
      <c r="K23" s="295">
        <v>3517670835</v>
      </c>
      <c r="L23" s="63"/>
      <c r="M23" s="55" t="s">
        <v>48</v>
      </c>
      <c r="N23" s="217"/>
      <c r="O23" s="8" t="s">
        <v>49</v>
      </c>
      <c r="P23" s="9" t="s">
        <v>49</v>
      </c>
      <c r="Q23" s="35"/>
      <c r="R23" s="40">
        <f>10000</f>
        <v>10000</v>
      </c>
      <c r="S23" s="189" cm="1">
        <f t="array" ref="S23">_xlfn.IFS(R23&gt;17000,R23*50%,R23&lt;10500,R23*20%,R23&lt;17000,R23*40%)</f>
        <v>2000</v>
      </c>
      <c r="T23" s="189">
        <v>1600</v>
      </c>
      <c r="U23" s="189">
        <f t="shared" si="0"/>
        <v>833</v>
      </c>
      <c r="V23" s="41">
        <f>4317+1000</f>
        <v>5317</v>
      </c>
      <c r="W23" s="189">
        <f t="shared" si="11"/>
        <v>0</v>
      </c>
      <c r="X23" s="189">
        <f t="shared" si="1"/>
        <v>0</v>
      </c>
      <c r="Y23" s="28">
        <f t="shared" si="2"/>
        <v>0</v>
      </c>
      <c r="Z23" s="29">
        <f t="shared" ref="Z23:Z32" si="14">ROUND(SUM(R23:Y23),0)</f>
        <v>19750</v>
      </c>
      <c r="AA23" s="29">
        <f t="shared" ref="AA23:AA32" si="15">ROUND(IF(O23="Yes",IF((Z23-S23)&gt;15000,1800,SUM(Z23-S23)*12%),),)</f>
        <v>1800</v>
      </c>
      <c r="AB23" s="29">
        <f t="shared" si="6"/>
        <v>0</v>
      </c>
      <c r="AC23" s="29">
        <f t="shared" ref="AC23:AC36" si="16">ROUND(IF(P23="Yes",Z23*0.75%,0),0)</f>
        <v>148</v>
      </c>
      <c r="AD23" s="29">
        <f t="shared" si="8"/>
        <v>0</v>
      </c>
      <c r="AE23" s="29">
        <f t="shared" si="9"/>
        <v>200</v>
      </c>
      <c r="AF23" s="30">
        <f t="shared" si="13"/>
        <v>17602</v>
      </c>
      <c r="AG23" s="29">
        <f t="shared" si="4"/>
        <v>19750</v>
      </c>
      <c r="AH23" s="38">
        <f t="shared" si="5"/>
        <v>237000</v>
      </c>
      <c r="AI23" s="270"/>
      <c r="AJ23" s="298">
        <v>19750</v>
      </c>
      <c r="AK23" s="128"/>
      <c r="AL23" s="204"/>
      <c r="AM23" s="128"/>
      <c r="AN23" s="128"/>
      <c r="AO23" s="128"/>
      <c r="AP23" s="128"/>
    </row>
    <row r="24" spans="1:42" s="33" customFormat="1" ht="25.2" customHeight="1" x14ac:dyDescent="0.3">
      <c r="A24" s="64">
        <v>20</v>
      </c>
      <c r="B24" s="70" t="s">
        <v>126</v>
      </c>
      <c r="C24" s="70"/>
      <c r="D24" s="81" t="s">
        <v>163</v>
      </c>
      <c r="E24" s="70" t="s">
        <v>164</v>
      </c>
      <c r="F24" s="70" t="s">
        <v>46</v>
      </c>
      <c r="G24" s="70" t="s">
        <v>85</v>
      </c>
      <c r="H24" s="71">
        <v>44805</v>
      </c>
      <c r="I24" s="70" t="s">
        <v>51</v>
      </c>
      <c r="J24" s="72">
        <v>101876428980</v>
      </c>
      <c r="K24" s="63">
        <v>3517694410</v>
      </c>
      <c r="L24" s="63"/>
      <c r="M24" s="55" t="s">
        <v>48</v>
      </c>
      <c r="N24" s="217"/>
      <c r="O24" s="8" t="s">
        <v>49</v>
      </c>
      <c r="P24" s="13" t="s">
        <v>50</v>
      </c>
      <c r="Q24" s="35"/>
      <c r="R24" s="40">
        <f>10000</f>
        <v>10000</v>
      </c>
      <c r="S24" s="189" cm="1">
        <f t="array" ref="S24">_xlfn.IFS(R24&gt;17000,R24*50%,R24&lt;10500,R24*20%,R24&lt;17000,R24*40%)</f>
        <v>2000</v>
      </c>
      <c r="T24" s="189">
        <v>1600</v>
      </c>
      <c r="U24" s="189">
        <f t="shared" si="0"/>
        <v>833</v>
      </c>
      <c r="V24" s="41">
        <f>8043+924+3000</f>
        <v>11967</v>
      </c>
      <c r="W24" s="189">
        <f t="shared" si="11"/>
        <v>1800</v>
      </c>
      <c r="X24" s="189">
        <f t="shared" si="1"/>
        <v>1800</v>
      </c>
      <c r="Y24" s="28">
        <f t="shared" si="2"/>
        <v>0</v>
      </c>
      <c r="Z24" s="29">
        <f t="shared" si="14"/>
        <v>30000</v>
      </c>
      <c r="AA24" s="29">
        <f t="shared" si="15"/>
        <v>1800</v>
      </c>
      <c r="AB24" s="29">
        <f t="shared" si="6"/>
        <v>1800</v>
      </c>
      <c r="AC24" s="29">
        <f t="shared" si="16"/>
        <v>0</v>
      </c>
      <c r="AD24" s="29">
        <f t="shared" si="8"/>
        <v>0</v>
      </c>
      <c r="AE24" s="29">
        <f t="shared" si="9"/>
        <v>200</v>
      </c>
      <c r="AF24" s="30">
        <f t="shared" si="13"/>
        <v>26200</v>
      </c>
      <c r="AG24" s="29">
        <f t="shared" si="4"/>
        <v>30000</v>
      </c>
      <c r="AH24" s="38">
        <f t="shared" si="5"/>
        <v>360000</v>
      </c>
      <c r="AI24" s="270"/>
      <c r="AJ24" s="298">
        <v>30000</v>
      </c>
      <c r="AK24" s="128"/>
      <c r="AL24" s="204"/>
      <c r="AM24" s="128"/>
      <c r="AN24" s="128"/>
      <c r="AO24" s="128"/>
      <c r="AP24" s="128"/>
    </row>
    <row r="25" spans="1:42" s="33" customFormat="1" ht="25.2" customHeight="1" x14ac:dyDescent="0.3">
      <c r="A25" s="64">
        <v>21</v>
      </c>
      <c r="B25" s="70" t="s">
        <v>127</v>
      </c>
      <c r="C25" s="70"/>
      <c r="D25" s="81" t="s">
        <v>165</v>
      </c>
      <c r="E25" s="70" t="s">
        <v>56</v>
      </c>
      <c r="F25" s="70" t="s">
        <v>57</v>
      </c>
      <c r="G25" s="70" t="s">
        <v>86</v>
      </c>
      <c r="H25" s="71">
        <v>45202</v>
      </c>
      <c r="I25" s="70" t="s">
        <v>51</v>
      </c>
      <c r="J25" s="72">
        <v>101349756741</v>
      </c>
      <c r="K25" s="63" t="s">
        <v>87</v>
      </c>
      <c r="L25" s="77"/>
      <c r="M25" s="55" t="s">
        <v>48</v>
      </c>
      <c r="N25" s="218"/>
      <c r="O25" s="12" t="s">
        <v>49</v>
      </c>
      <c r="P25" s="13" t="s">
        <v>50</v>
      </c>
      <c r="Q25" s="35"/>
      <c r="R25" s="40">
        <v>11500</v>
      </c>
      <c r="S25" s="189" cm="1">
        <f t="array" ref="S25">_xlfn.IFS(R25&gt;17000,R25*50%,R25&lt;10500,R25*20%,R25&lt;17000,R25*40%)</f>
        <v>4600</v>
      </c>
      <c r="T25" s="189">
        <v>1600</v>
      </c>
      <c r="U25" s="189">
        <f t="shared" si="0"/>
        <v>958</v>
      </c>
      <c r="V25" s="41">
        <f>12742+2500</f>
        <v>15242</v>
      </c>
      <c r="W25" s="189">
        <f t="shared" si="11"/>
        <v>1800</v>
      </c>
      <c r="X25" s="189">
        <f t="shared" si="1"/>
        <v>1800</v>
      </c>
      <c r="Y25" s="28">
        <f t="shared" si="2"/>
        <v>0</v>
      </c>
      <c r="Z25" s="29">
        <f t="shared" si="14"/>
        <v>37500</v>
      </c>
      <c r="AA25" s="29">
        <f t="shared" si="15"/>
        <v>1800</v>
      </c>
      <c r="AB25" s="29">
        <f t="shared" si="6"/>
        <v>1800</v>
      </c>
      <c r="AC25" s="29">
        <f t="shared" si="16"/>
        <v>0</v>
      </c>
      <c r="AD25" s="29">
        <f t="shared" si="8"/>
        <v>0</v>
      </c>
      <c r="AE25" s="29">
        <f t="shared" si="9"/>
        <v>200</v>
      </c>
      <c r="AF25" s="42">
        <f t="shared" si="13"/>
        <v>33700</v>
      </c>
      <c r="AG25" s="43">
        <f t="shared" si="4"/>
        <v>37500</v>
      </c>
      <c r="AH25" s="44">
        <f t="shared" si="5"/>
        <v>450000</v>
      </c>
      <c r="AI25" s="270"/>
      <c r="AJ25" s="128">
        <v>37500</v>
      </c>
      <c r="AK25" s="128"/>
      <c r="AL25" s="204"/>
      <c r="AM25" s="128"/>
      <c r="AN25" s="128"/>
      <c r="AO25" s="128"/>
      <c r="AP25" s="128"/>
    </row>
    <row r="26" spans="1:42" s="33" customFormat="1" ht="25.2" customHeight="1" x14ac:dyDescent="0.3">
      <c r="A26" s="64">
        <v>22</v>
      </c>
      <c r="B26" s="70" t="s">
        <v>128</v>
      </c>
      <c r="C26" s="70"/>
      <c r="D26" s="81" t="s">
        <v>166</v>
      </c>
      <c r="E26" s="70" t="s">
        <v>56</v>
      </c>
      <c r="F26" s="70" t="s">
        <v>57</v>
      </c>
      <c r="G26" s="70" t="s">
        <v>86</v>
      </c>
      <c r="H26" s="71">
        <v>45215</v>
      </c>
      <c r="I26" s="70" t="s">
        <v>51</v>
      </c>
      <c r="J26" s="72">
        <v>101315235480</v>
      </c>
      <c r="K26" s="72" t="s">
        <v>87</v>
      </c>
      <c r="L26" s="63"/>
      <c r="M26" s="55" t="s">
        <v>48</v>
      </c>
      <c r="N26" s="218"/>
      <c r="O26" s="12" t="s">
        <v>49</v>
      </c>
      <c r="P26" s="13" t="s">
        <v>50</v>
      </c>
      <c r="Q26" s="35"/>
      <c r="R26" s="40">
        <v>11500</v>
      </c>
      <c r="S26" s="189" cm="1">
        <f t="array" ref="S26">_xlfn.IFS(R26&gt;17000,R26*50%,R26&lt;10500,R26*20%,R26&lt;17000,R26*40%)</f>
        <v>4600</v>
      </c>
      <c r="T26" s="189">
        <v>1600</v>
      </c>
      <c r="U26" s="189">
        <f t="shared" si="0"/>
        <v>958</v>
      </c>
      <c r="V26" s="41">
        <f>9542+2500+1500</f>
        <v>13542</v>
      </c>
      <c r="W26" s="189">
        <f t="shared" si="11"/>
        <v>1800</v>
      </c>
      <c r="X26" s="189">
        <f t="shared" si="1"/>
        <v>1800</v>
      </c>
      <c r="Y26" s="28">
        <f t="shared" si="2"/>
        <v>0</v>
      </c>
      <c r="Z26" s="29">
        <f t="shared" si="14"/>
        <v>35800</v>
      </c>
      <c r="AA26" s="29">
        <f t="shared" si="15"/>
        <v>1800</v>
      </c>
      <c r="AB26" s="29">
        <f t="shared" si="6"/>
        <v>1800</v>
      </c>
      <c r="AC26" s="29">
        <f t="shared" si="16"/>
        <v>0</v>
      </c>
      <c r="AD26" s="29">
        <f t="shared" si="8"/>
        <v>0</v>
      </c>
      <c r="AE26" s="29">
        <f t="shared" si="9"/>
        <v>200</v>
      </c>
      <c r="AF26" s="30">
        <f t="shared" si="13"/>
        <v>32000</v>
      </c>
      <c r="AG26" s="29">
        <f t="shared" si="4"/>
        <v>35800</v>
      </c>
      <c r="AH26" s="38">
        <f t="shared" si="5"/>
        <v>429600</v>
      </c>
      <c r="AI26" s="270"/>
      <c r="AJ26" s="128">
        <v>34300</v>
      </c>
      <c r="AK26" s="128"/>
      <c r="AL26" s="204"/>
      <c r="AM26" s="128"/>
      <c r="AN26" s="128"/>
      <c r="AO26" s="128"/>
      <c r="AP26" s="128"/>
    </row>
    <row r="27" spans="1:42" s="33" customFormat="1" ht="25.2" customHeight="1" x14ac:dyDescent="0.3">
      <c r="A27" s="64">
        <v>23</v>
      </c>
      <c r="B27" s="70" t="s">
        <v>129</v>
      </c>
      <c r="C27" s="70"/>
      <c r="D27" s="70" t="s">
        <v>166</v>
      </c>
      <c r="E27" s="70" t="s">
        <v>167</v>
      </c>
      <c r="F27" s="70" t="s">
        <v>157</v>
      </c>
      <c r="G27" s="70" t="s">
        <v>54</v>
      </c>
      <c r="H27" s="71">
        <v>45271</v>
      </c>
      <c r="I27" s="70" t="s">
        <v>51</v>
      </c>
      <c r="J27" s="80">
        <v>102032578055</v>
      </c>
      <c r="K27" s="78" t="s">
        <v>87</v>
      </c>
      <c r="L27" s="78" t="s">
        <v>168</v>
      </c>
      <c r="M27" s="55" t="s">
        <v>48</v>
      </c>
      <c r="N27" s="218"/>
      <c r="O27" s="12" t="s">
        <v>49</v>
      </c>
      <c r="P27" s="13" t="s">
        <v>50</v>
      </c>
      <c r="Q27" s="35"/>
      <c r="R27" s="40">
        <v>15000</v>
      </c>
      <c r="S27" s="189" cm="1">
        <f t="array" ref="S27">_xlfn.IFS(R27&gt;17000,R27*50%,R27&lt;10500,R27*20%,R27&lt;17000,R27*40%)</f>
        <v>6000</v>
      </c>
      <c r="T27" s="189">
        <v>1600</v>
      </c>
      <c r="U27" s="189">
        <f t="shared" si="0"/>
        <v>1250</v>
      </c>
      <c r="V27" s="41">
        <f>47550+7500</f>
        <v>55050</v>
      </c>
      <c r="W27" s="189">
        <f t="shared" si="11"/>
        <v>1800</v>
      </c>
      <c r="X27" s="189">
        <f t="shared" si="1"/>
        <v>1800</v>
      </c>
      <c r="Y27" s="28">
        <f t="shared" si="2"/>
        <v>0</v>
      </c>
      <c r="Z27" s="29">
        <f t="shared" si="14"/>
        <v>82500</v>
      </c>
      <c r="AA27" s="29">
        <f t="shared" si="15"/>
        <v>1800</v>
      </c>
      <c r="AB27" s="29">
        <f t="shared" si="6"/>
        <v>1800</v>
      </c>
      <c r="AC27" s="29">
        <f t="shared" si="16"/>
        <v>0</v>
      </c>
      <c r="AD27" s="29">
        <f t="shared" si="8"/>
        <v>0</v>
      </c>
      <c r="AE27" s="29">
        <f t="shared" si="9"/>
        <v>200</v>
      </c>
      <c r="AF27" s="30">
        <f t="shared" si="13"/>
        <v>78700</v>
      </c>
      <c r="AG27" s="29">
        <f t="shared" si="4"/>
        <v>82500</v>
      </c>
      <c r="AH27" s="38">
        <f t="shared" si="5"/>
        <v>990000</v>
      </c>
      <c r="AI27" s="270"/>
      <c r="AJ27" s="128">
        <v>82500</v>
      </c>
      <c r="AK27" s="128"/>
      <c r="AL27" s="204"/>
      <c r="AM27" s="128"/>
      <c r="AN27" s="128"/>
      <c r="AO27" s="128"/>
      <c r="AP27" s="128"/>
    </row>
    <row r="28" spans="1:42" s="33" customFormat="1" ht="25.2" customHeight="1" x14ac:dyDescent="0.3">
      <c r="A28" s="64">
        <v>24</v>
      </c>
      <c r="B28" s="70" t="s">
        <v>130</v>
      </c>
      <c r="C28" s="70"/>
      <c r="D28" s="70" t="s">
        <v>169</v>
      </c>
      <c r="E28" s="70" t="s">
        <v>167</v>
      </c>
      <c r="F28" s="70" t="s">
        <v>157</v>
      </c>
      <c r="G28" s="70" t="s">
        <v>54</v>
      </c>
      <c r="H28" s="66">
        <v>45271</v>
      </c>
      <c r="I28" s="65" t="s">
        <v>51</v>
      </c>
      <c r="J28" s="80">
        <v>101906330962</v>
      </c>
      <c r="K28" s="78" t="s">
        <v>87</v>
      </c>
      <c r="L28" s="69" t="s">
        <v>170</v>
      </c>
      <c r="M28" s="55" t="s">
        <v>48</v>
      </c>
      <c r="N28" s="219"/>
      <c r="O28" s="12" t="s">
        <v>49</v>
      </c>
      <c r="P28" s="13" t="s">
        <v>50</v>
      </c>
      <c r="Q28" s="39"/>
      <c r="R28" s="40">
        <v>15000</v>
      </c>
      <c r="S28" s="189" cm="1">
        <f t="array" ref="S28">_xlfn.IFS(R28&gt;17000,R28*50%,R28&lt;10500,R28*20%,R28&lt;17000,R28*40%)</f>
        <v>6000</v>
      </c>
      <c r="T28" s="189">
        <v>1600</v>
      </c>
      <c r="U28" s="189">
        <f t="shared" si="0"/>
        <v>1250</v>
      </c>
      <c r="V28" s="41">
        <f>43550+7500</f>
        <v>51050</v>
      </c>
      <c r="W28" s="189">
        <f t="shared" si="11"/>
        <v>1800</v>
      </c>
      <c r="X28" s="189">
        <f t="shared" si="1"/>
        <v>1800</v>
      </c>
      <c r="Y28" s="28">
        <f t="shared" si="2"/>
        <v>0</v>
      </c>
      <c r="Z28" s="29">
        <f t="shared" si="14"/>
        <v>78500</v>
      </c>
      <c r="AA28" s="29">
        <f t="shared" si="15"/>
        <v>1800</v>
      </c>
      <c r="AB28" s="29">
        <f t="shared" si="6"/>
        <v>1800</v>
      </c>
      <c r="AC28" s="29">
        <f t="shared" si="16"/>
        <v>0</v>
      </c>
      <c r="AD28" s="29">
        <f t="shared" si="8"/>
        <v>0</v>
      </c>
      <c r="AE28" s="29">
        <f t="shared" si="9"/>
        <v>200</v>
      </c>
      <c r="AF28" s="30">
        <f t="shared" si="13"/>
        <v>74700</v>
      </c>
      <c r="AG28" s="29">
        <f t="shared" si="4"/>
        <v>78500</v>
      </c>
      <c r="AH28" s="38">
        <f t="shared" si="5"/>
        <v>942000</v>
      </c>
      <c r="AI28" s="270"/>
      <c r="AJ28" s="128">
        <v>78500</v>
      </c>
      <c r="AK28" s="128"/>
      <c r="AL28" s="204"/>
      <c r="AM28" s="128"/>
      <c r="AN28" s="128"/>
      <c r="AO28" s="128"/>
      <c r="AP28" s="128"/>
    </row>
    <row r="29" spans="1:42" s="33" customFormat="1" ht="25.2" customHeight="1" x14ac:dyDescent="0.3">
      <c r="A29" s="75">
        <v>25</v>
      </c>
      <c r="B29" s="70" t="s">
        <v>131</v>
      </c>
      <c r="C29" s="70"/>
      <c r="D29" s="70" t="s">
        <v>171</v>
      </c>
      <c r="E29" s="65" t="s">
        <v>172</v>
      </c>
      <c r="F29" s="70" t="s">
        <v>173</v>
      </c>
      <c r="G29" s="70" t="s">
        <v>85</v>
      </c>
      <c r="H29" s="66">
        <v>45293</v>
      </c>
      <c r="I29" s="65" t="s">
        <v>47</v>
      </c>
      <c r="J29" s="80">
        <v>100179202231</v>
      </c>
      <c r="K29" s="78" t="s">
        <v>174</v>
      </c>
      <c r="L29" s="69" t="s">
        <v>175</v>
      </c>
      <c r="M29" s="55" t="s">
        <v>48</v>
      </c>
      <c r="N29" s="219"/>
      <c r="O29" s="46" t="s">
        <v>49</v>
      </c>
      <c r="P29" s="47" t="s">
        <v>50</v>
      </c>
      <c r="Q29" s="39"/>
      <c r="R29" s="40">
        <v>10000</v>
      </c>
      <c r="S29" s="189" cm="1">
        <f t="array" ref="S29">_xlfn.IFS(R29&gt;17000,R29*50%,R29&lt;10500,R29*20%,R29&lt;17000,R29*40%)</f>
        <v>2000</v>
      </c>
      <c r="T29" s="189">
        <v>1600</v>
      </c>
      <c r="U29" s="189">
        <f t="shared" si="0"/>
        <v>833</v>
      </c>
      <c r="V29" s="41">
        <f>12967+1500</f>
        <v>14467</v>
      </c>
      <c r="W29" s="189">
        <f t="shared" si="11"/>
        <v>1800</v>
      </c>
      <c r="X29" s="189">
        <f t="shared" si="1"/>
        <v>1800</v>
      </c>
      <c r="Y29" s="28">
        <f t="shared" si="2"/>
        <v>0</v>
      </c>
      <c r="Z29" s="29">
        <f t="shared" si="14"/>
        <v>32500</v>
      </c>
      <c r="AA29" s="29">
        <f t="shared" si="15"/>
        <v>1800</v>
      </c>
      <c r="AB29" s="29">
        <f t="shared" si="6"/>
        <v>1800</v>
      </c>
      <c r="AC29" s="29">
        <f t="shared" si="16"/>
        <v>0</v>
      </c>
      <c r="AD29" s="29">
        <f t="shared" si="8"/>
        <v>0</v>
      </c>
      <c r="AE29" s="29">
        <f t="shared" si="9"/>
        <v>200</v>
      </c>
      <c r="AF29" s="30">
        <f t="shared" si="13"/>
        <v>28700</v>
      </c>
      <c r="AG29" s="29">
        <f t="shared" si="4"/>
        <v>32500</v>
      </c>
      <c r="AH29" s="38">
        <f t="shared" si="5"/>
        <v>390000</v>
      </c>
      <c r="AI29" s="270"/>
      <c r="AJ29" s="128">
        <v>32500</v>
      </c>
      <c r="AK29" s="128"/>
      <c r="AL29" s="204"/>
      <c r="AM29" s="128"/>
      <c r="AN29" s="128"/>
      <c r="AO29" s="128"/>
      <c r="AP29" s="128"/>
    </row>
    <row r="30" spans="1:42" s="33" customFormat="1" ht="25.2" customHeight="1" x14ac:dyDescent="0.3">
      <c r="A30" s="64">
        <v>26</v>
      </c>
      <c r="B30" s="70" t="s">
        <v>132</v>
      </c>
      <c r="C30" s="70"/>
      <c r="D30" s="70" t="s">
        <v>176</v>
      </c>
      <c r="E30" s="70" t="s">
        <v>177</v>
      </c>
      <c r="F30" s="70" t="s">
        <v>55</v>
      </c>
      <c r="G30" s="70" t="s">
        <v>98</v>
      </c>
      <c r="H30" s="66">
        <v>45384</v>
      </c>
      <c r="I30" s="65" t="s">
        <v>51</v>
      </c>
      <c r="J30" s="80" t="s">
        <v>178</v>
      </c>
      <c r="K30" s="78" t="s">
        <v>87</v>
      </c>
      <c r="L30" s="69" t="s">
        <v>87</v>
      </c>
      <c r="M30" s="55" t="s">
        <v>48</v>
      </c>
      <c r="N30" s="219"/>
      <c r="O30" s="46" t="s">
        <v>50</v>
      </c>
      <c r="P30" s="47" t="s">
        <v>50</v>
      </c>
      <c r="Q30" s="39"/>
      <c r="R30" s="40">
        <v>15000</v>
      </c>
      <c r="S30" s="189" cm="1">
        <f t="array" ref="S30">_xlfn.IFS(R30&gt;17000,R30*50%,R30&lt;10500,R30*20%,R30&lt;17000,R30*40%)</f>
        <v>6000</v>
      </c>
      <c r="T30" s="189">
        <v>1600</v>
      </c>
      <c r="U30" s="189">
        <f t="shared" si="0"/>
        <v>1250</v>
      </c>
      <c r="V30" s="41">
        <f>11150+2000</f>
        <v>13150</v>
      </c>
      <c r="W30" s="189">
        <f t="shared" si="11"/>
        <v>0</v>
      </c>
      <c r="X30" s="189">
        <f t="shared" si="1"/>
        <v>0</v>
      </c>
      <c r="Y30" s="28">
        <f t="shared" si="2"/>
        <v>0</v>
      </c>
      <c r="Z30" s="29">
        <f t="shared" si="14"/>
        <v>37000</v>
      </c>
      <c r="AA30" s="29">
        <f t="shared" si="15"/>
        <v>0</v>
      </c>
      <c r="AB30" s="29">
        <f t="shared" si="6"/>
        <v>0</v>
      </c>
      <c r="AC30" s="29">
        <f t="shared" si="16"/>
        <v>0</v>
      </c>
      <c r="AD30" s="29">
        <f t="shared" si="8"/>
        <v>0</v>
      </c>
      <c r="AE30" s="29">
        <f t="shared" si="9"/>
        <v>200</v>
      </c>
      <c r="AF30" s="30">
        <f t="shared" si="13"/>
        <v>36800</v>
      </c>
      <c r="AG30" s="29">
        <f t="shared" si="4"/>
        <v>37000</v>
      </c>
      <c r="AH30" s="38">
        <f t="shared" si="5"/>
        <v>444000</v>
      </c>
      <c r="AI30" s="270"/>
      <c r="AJ30" s="128">
        <v>37000</v>
      </c>
      <c r="AK30" s="128"/>
      <c r="AL30" s="204"/>
      <c r="AM30" s="128"/>
      <c r="AN30" s="128"/>
      <c r="AO30" s="128"/>
      <c r="AP30" s="128"/>
    </row>
    <row r="31" spans="1:42" s="45" customFormat="1" ht="25.2" customHeight="1" x14ac:dyDescent="0.3">
      <c r="A31" s="64">
        <v>27</v>
      </c>
      <c r="B31" s="70" t="s">
        <v>182</v>
      </c>
      <c r="C31" s="70"/>
      <c r="D31" s="70" t="s">
        <v>183</v>
      </c>
      <c r="E31" s="70" t="s">
        <v>184</v>
      </c>
      <c r="F31" s="70" t="s">
        <v>46</v>
      </c>
      <c r="G31" s="70" t="s">
        <v>85</v>
      </c>
      <c r="H31" s="66">
        <v>45444</v>
      </c>
      <c r="I31" s="70" t="s">
        <v>51</v>
      </c>
      <c r="J31" s="76">
        <v>102077286251</v>
      </c>
      <c r="K31" s="77" t="s">
        <v>87</v>
      </c>
      <c r="L31" s="77" t="s">
        <v>185</v>
      </c>
      <c r="M31" s="56" t="s">
        <v>48</v>
      </c>
      <c r="N31" s="218"/>
      <c r="O31" s="12" t="s">
        <v>49</v>
      </c>
      <c r="P31" s="13" t="s">
        <v>50</v>
      </c>
      <c r="Q31" s="35"/>
      <c r="R31" s="36">
        <v>10000</v>
      </c>
      <c r="S31" s="189" cm="1">
        <f t="array" ref="S31">_xlfn.IFS(R31&gt;17000,R31*50%,R31&lt;10500,R31*20%,R31&lt;17000,R31*40%)</f>
        <v>2000</v>
      </c>
      <c r="T31" s="189">
        <v>1600</v>
      </c>
      <c r="U31" s="189">
        <f t="shared" si="0"/>
        <v>833</v>
      </c>
      <c r="V31" s="41">
        <f>4967+2000</f>
        <v>6967</v>
      </c>
      <c r="W31" s="189">
        <f t="shared" si="11"/>
        <v>1800</v>
      </c>
      <c r="X31" s="189">
        <f t="shared" si="1"/>
        <v>1800</v>
      </c>
      <c r="Y31" s="28">
        <f t="shared" si="2"/>
        <v>0</v>
      </c>
      <c r="Z31" s="29">
        <f t="shared" si="14"/>
        <v>25000</v>
      </c>
      <c r="AA31" s="29">
        <f t="shared" si="15"/>
        <v>1800</v>
      </c>
      <c r="AB31" s="29">
        <f t="shared" si="6"/>
        <v>1800</v>
      </c>
      <c r="AC31" s="29">
        <f t="shared" si="16"/>
        <v>0</v>
      </c>
      <c r="AD31" s="29">
        <f t="shared" si="8"/>
        <v>0</v>
      </c>
      <c r="AE31" s="29">
        <f t="shared" si="9"/>
        <v>200</v>
      </c>
      <c r="AF31" s="30">
        <f t="shared" si="13"/>
        <v>21200</v>
      </c>
      <c r="AG31" s="29">
        <f t="shared" si="4"/>
        <v>25000</v>
      </c>
      <c r="AH31" s="38">
        <f t="shared" si="5"/>
        <v>300000</v>
      </c>
      <c r="AI31" s="270"/>
      <c r="AJ31" s="128">
        <v>25000</v>
      </c>
      <c r="AK31" s="128"/>
      <c r="AL31" s="204"/>
      <c r="AM31" s="128"/>
      <c r="AN31" s="128"/>
      <c r="AO31" s="128"/>
      <c r="AP31" s="128"/>
    </row>
    <row r="32" spans="1:42" s="33" customFormat="1" ht="25.2" customHeight="1" x14ac:dyDescent="0.3">
      <c r="A32" s="64">
        <v>28</v>
      </c>
      <c r="B32" s="70" t="s">
        <v>229</v>
      </c>
      <c r="C32" s="70"/>
      <c r="D32" s="70" t="s">
        <v>171</v>
      </c>
      <c r="E32" s="70" t="s">
        <v>136</v>
      </c>
      <c r="F32" s="70" t="s">
        <v>46</v>
      </c>
      <c r="G32" s="70" t="s">
        <v>85</v>
      </c>
      <c r="H32" s="71">
        <v>45389</v>
      </c>
      <c r="I32" s="70" t="s">
        <v>51</v>
      </c>
      <c r="J32" s="76">
        <v>102011734457</v>
      </c>
      <c r="K32" s="78"/>
      <c r="L32" s="77" t="s">
        <v>230</v>
      </c>
      <c r="M32" s="55" t="s">
        <v>48</v>
      </c>
      <c r="N32" s="219"/>
      <c r="O32" s="12" t="s">
        <v>49</v>
      </c>
      <c r="P32" s="13" t="s">
        <v>49</v>
      </c>
      <c r="Q32" s="39"/>
      <c r="R32" s="40">
        <v>10000</v>
      </c>
      <c r="S32" s="189" cm="1">
        <f t="array" ref="S32">_xlfn.IFS(R32&gt;17000,R32*50%,R32&lt;10500,R32*20%,R32&lt;17000,R32*40%)</f>
        <v>2000</v>
      </c>
      <c r="T32" s="189">
        <v>1600</v>
      </c>
      <c r="U32" s="189">
        <f t="shared" si="0"/>
        <v>833</v>
      </c>
      <c r="V32" s="41">
        <f>1317+0</f>
        <v>1317</v>
      </c>
      <c r="W32" s="189">
        <v>1800</v>
      </c>
      <c r="X32" s="189">
        <v>1800</v>
      </c>
      <c r="Y32" s="28">
        <v>650</v>
      </c>
      <c r="Z32" s="29">
        <f t="shared" si="14"/>
        <v>20000</v>
      </c>
      <c r="AA32" s="29">
        <f t="shared" si="15"/>
        <v>1800</v>
      </c>
      <c r="AB32" s="29">
        <f t="shared" si="6"/>
        <v>1800</v>
      </c>
      <c r="AC32" s="29">
        <f t="shared" si="16"/>
        <v>150</v>
      </c>
      <c r="AD32" s="29">
        <f t="shared" si="8"/>
        <v>650</v>
      </c>
      <c r="AE32" s="29">
        <f t="shared" si="9"/>
        <v>200</v>
      </c>
      <c r="AF32" s="30">
        <f t="shared" si="13"/>
        <v>15400</v>
      </c>
      <c r="AG32" s="29">
        <f t="shared" si="4"/>
        <v>20000</v>
      </c>
      <c r="AH32" s="38">
        <f t="shared" si="5"/>
        <v>240000</v>
      </c>
      <c r="AI32" s="270"/>
      <c r="AJ32" s="128">
        <v>20000</v>
      </c>
      <c r="AK32" s="128"/>
      <c r="AL32" s="204"/>
      <c r="AM32" s="128"/>
      <c r="AN32" s="128"/>
      <c r="AO32" s="128"/>
      <c r="AP32" s="128"/>
    </row>
    <row r="33" spans="1:42" s="45" customFormat="1" ht="25.2" customHeight="1" x14ac:dyDescent="0.3">
      <c r="A33" s="75">
        <v>29</v>
      </c>
      <c r="B33" s="70"/>
      <c r="C33" s="70"/>
      <c r="D33" s="70"/>
      <c r="E33" s="70"/>
      <c r="F33" s="70"/>
      <c r="G33" s="70"/>
      <c r="H33" s="66"/>
      <c r="I33" s="70"/>
      <c r="J33" s="76"/>
      <c r="K33" s="77"/>
      <c r="L33" s="77"/>
      <c r="M33" s="56"/>
      <c r="N33" s="218"/>
      <c r="O33" s="12"/>
      <c r="P33" s="13"/>
      <c r="Q33" s="35"/>
      <c r="R33" s="36"/>
      <c r="S33" s="189" cm="1">
        <f t="array" ref="S33">_xlfn.IFS(R33&gt;17000,R33*50%,R33&lt;10500,R33*20%,R33&lt;17000,R33*40%)</f>
        <v>0</v>
      </c>
      <c r="T33" s="189"/>
      <c r="U33" s="189">
        <f t="shared" si="0"/>
        <v>0</v>
      </c>
      <c r="V33" s="41"/>
      <c r="W33" s="189">
        <f t="shared" ref="W33:W39" si="17">IF(B33="Sagar Kadam",0,IF(B33="Rahul Jadhav",0,ROUND(IF(O33="Yes",IF((AJ33-S33)&gt;15000,1800,SUM(AJ33-S33)*12%),0)+IF(P33="Yes",AJ33*0.75%,0),0)))</f>
        <v>0</v>
      </c>
      <c r="X33" s="189">
        <f t="shared" ref="X33:X39" si="18">IF(B33="Sagar Kadam",0,IF(B33="Rahul Jadhav",0,ROUND(IF(O33="Yes",IF((AJ33-S33)&gt;15000,1800,SUM(AJ33-S33)*12%),),)))</f>
        <v>0</v>
      </c>
      <c r="Y33" s="28">
        <f t="shared" ref="Y33:Y36" si="19">IF(B33="Sagar Kadam",0,IF(B33="Rahul Jadhav",0,ROUND(IF(P33="Yes",AJ33*3.25%,0),0)))</f>
        <v>0</v>
      </c>
      <c r="Z33" s="29">
        <f t="shared" ref="Z33:Z36" si="20">ROUND(SUM(R33:Y33),0)</f>
        <v>0</v>
      </c>
      <c r="AA33" s="29">
        <f t="shared" ref="AA33:AA36" si="21">ROUND(IF(O33="Yes",IF((Z33-S33)&gt;15000,1800,SUM(Z33-S33)*12%),),)</f>
        <v>0</v>
      </c>
      <c r="AB33" s="29">
        <f t="shared" si="6"/>
        <v>0</v>
      </c>
      <c r="AC33" s="29">
        <f t="shared" si="16"/>
        <v>0</v>
      </c>
      <c r="AD33" s="29">
        <f t="shared" si="8"/>
        <v>0</v>
      </c>
      <c r="AE33" s="29">
        <f t="shared" si="9"/>
        <v>0</v>
      </c>
      <c r="AF33" s="30">
        <f t="shared" si="13"/>
        <v>0</v>
      </c>
      <c r="AG33" s="29">
        <f t="shared" si="4"/>
        <v>0</v>
      </c>
      <c r="AH33" s="38">
        <f t="shared" si="5"/>
        <v>0</v>
      </c>
      <c r="AI33" s="270"/>
      <c r="AJ33" s="128"/>
      <c r="AK33" s="128"/>
      <c r="AL33" s="204"/>
      <c r="AM33" s="128"/>
      <c r="AN33" s="128"/>
      <c r="AO33" s="128"/>
      <c r="AP33" s="128"/>
    </row>
    <row r="34" spans="1:42" s="33" customFormat="1" ht="25.2" customHeight="1" x14ac:dyDescent="0.3">
      <c r="A34" s="64">
        <v>30</v>
      </c>
      <c r="B34" s="70"/>
      <c r="C34" s="70"/>
      <c r="D34" s="70"/>
      <c r="E34" s="70"/>
      <c r="F34" s="70"/>
      <c r="G34" s="70"/>
      <c r="H34" s="71"/>
      <c r="I34" s="70"/>
      <c r="J34" s="76"/>
      <c r="K34" s="78"/>
      <c r="L34" s="77"/>
      <c r="M34" s="55"/>
      <c r="N34" s="219"/>
      <c r="O34" s="12"/>
      <c r="P34" s="13"/>
      <c r="Q34" s="39"/>
      <c r="R34" s="40"/>
      <c r="S34" s="189" cm="1">
        <f t="array" ref="S34">_xlfn.IFS(R34&gt;17000,R34*50%,R34&lt;10500,R34*20%,R34&lt;17000,R34*40%)</f>
        <v>0</v>
      </c>
      <c r="T34" s="189"/>
      <c r="U34" s="189">
        <f t="shared" si="0"/>
        <v>0</v>
      </c>
      <c r="V34" s="41"/>
      <c r="W34" s="189">
        <f t="shared" si="17"/>
        <v>0</v>
      </c>
      <c r="X34" s="189">
        <f t="shared" si="18"/>
        <v>0</v>
      </c>
      <c r="Y34" s="28">
        <f t="shared" si="19"/>
        <v>0</v>
      </c>
      <c r="Z34" s="29">
        <f t="shared" si="20"/>
        <v>0</v>
      </c>
      <c r="AA34" s="29">
        <f t="shared" si="21"/>
        <v>0</v>
      </c>
      <c r="AB34" s="29">
        <f t="shared" si="6"/>
        <v>0</v>
      </c>
      <c r="AC34" s="29">
        <f t="shared" si="16"/>
        <v>0</v>
      </c>
      <c r="AD34" s="29">
        <f t="shared" si="8"/>
        <v>0</v>
      </c>
      <c r="AE34" s="29">
        <f t="shared" si="9"/>
        <v>0</v>
      </c>
      <c r="AF34" s="30">
        <f t="shared" si="13"/>
        <v>0</v>
      </c>
      <c r="AG34" s="29">
        <f t="shared" si="4"/>
        <v>0</v>
      </c>
      <c r="AH34" s="38">
        <f t="shared" si="5"/>
        <v>0</v>
      </c>
      <c r="AI34" s="270"/>
      <c r="AJ34" s="128"/>
      <c r="AK34" s="128"/>
      <c r="AL34" s="204"/>
      <c r="AM34" s="128"/>
      <c r="AN34" s="128"/>
      <c r="AO34" s="128"/>
      <c r="AP34" s="128"/>
    </row>
    <row r="35" spans="1:42" s="33" customFormat="1" ht="25.2" customHeight="1" x14ac:dyDescent="0.3">
      <c r="A35" s="64">
        <v>31</v>
      </c>
      <c r="B35" s="70"/>
      <c r="C35" s="70"/>
      <c r="D35" s="70"/>
      <c r="E35" s="70"/>
      <c r="F35" s="70"/>
      <c r="G35" s="70"/>
      <c r="H35" s="71"/>
      <c r="I35" s="70"/>
      <c r="J35" s="76"/>
      <c r="K35" s="78"/>
      <c r="L35" s="77"/>
      <c r="M35" s="56"/>
      <c r="N35" s="217"/>
      <c r="O35" s="12"/>
      <c r="P35" s="13"/>
      <c r="Q35" s="35"/>
      <c r="R35" s="40"/>
      <c r="S35" s="189" cm="1">
        <f t="array" ref="S35">_xlfn.IFS(R35&gt;17000,R35*50%,R35&lt;10500,R35*20%,R35&lt;17000,R35*40%)</f>
        <v>0</v>
      </c>
      <c r="T35" s="41"/>
      <c r="U35" s="189">
        <f>ROUND(R35/12,0)</f>
        <v>0</v>
      </c>
      <c r="V35" s="41"/>
      <c r="W35" s="189">
        <f t="shared" si="17"/>
        <v>0</v>
      </c>
      <c r="X35" s="189">
        <f t="shared" si="18"/>
        <v>0</v>
      </c>
      <c r="Y35" s="28">
        <f t="shared" si="19"/>
        <v>0</v>
      </c>
      <c r="Z35" s="29">
        <f t="shared" si="20"/>
        <v>0</v>
      </c>
      <c r="AA35" s="29">
        <f t="shared" si="21"/>
        <v>0</v>
      </c>
      <c r="AB35" s="29">
        <f t="shared" si="6"/>
        <v>0</v>
      </c>
      <c r="AC35" s="29">
        <f t="shared" si="16"/>
        <v>0</v>
      </c>
      <c r="AD35" s="29">
        <f t="shared" si="8"/>
        <v>0</v>
      </c>
      <c r="AE35" s="29">
        <f t="shared" si="9"/>
        <v>0</v>
      </c>
      <c r="AF35" s="30">
        <f t="shared" si="13"/>
        <v>0</v>
      </c>
      <c r="AG35" s="29">
        <f t="shared" si="4"/>
        <v>0</v>
      </c>
      <c r="AH35" s="38">
        <f t="shared" si="5"/>
        <v>0</v>
      </c>
      <c r="AI35" s="34"/>
      <c r="AJ35" s="128">
        <v>0</v>
      </c>
      <c r="AK35" s="128"/>
      <c r="AL35" s="204"/>
      <c r="AM35" s="128"/>
      <c r="AN35" s="128"/>
      <c r="AO35" s="128"/>
    </row>
    <row r="36" spans="1:42" s="33" customFormat="1" ht="25.2" customHeight="1" x14ac:dyDescent="0.3">
      <c r="A36" s="64">
        <v>32</v>
      </c>
      <c r="B36" s="70"/>
      <c r="C36" s="65"/>
      <c r="D36" s="70"/>
      <c r="E36" s="70"/>
      <c r="F36" s="70"/>
      <c r="G36" s="70"/>
      <c r="H36" s="66"/>
      <c r="I36" s="70"/>
      <c r="J36" s="76"/>
      <c r="K36" s="78"/>
      <c r="L36" s="77"/>
      <c r="M36" s="56"/>
      <c r="N36" s="219"/>
      <c r="O36" s="46"/>
      <c r="P36" s="47"/>
      <c r="Q36" s="39"/>
      <c r="R36" s="40"/>
      <c r="S36" s="189" cm="1">
        <f t="array" ref="S36">_xlfn.IFS(R36&gt;17000,R36*50%,R36&lt;10500,R36*20%,R36&lt;17000,R36*40%)</f>
        <v>0</v>
      </c>
      <c r="T36" s="41"/>
      <c r="U36" s="189">
        <f>ROUND(R36/12,0)</f>
        <v>0</v>
      </c>
      <c r="V36" s="41"/>
      <c r="W36" s="189">
        <f t="shared" si="17"/>
        <v>0</v>
      </c>
      <c r="X36" s="189">
        <f t="shared" si="18"/>
        <v>0</v>
      </c>
      <c r="Y36" s="28">
        <f t="shared" si="19"/>
        <v>0</v>
      </c>
      <c r="Z36" s="29">
        <f t="shared" si="20"/>
        <v>0</v>
      </c>
      <c r="AA36" s="29">
        <f t="shared" si="21"/>
        <v>0</v>
      </c>
      <c r="AB36" s="29">
        <f t="shared" si="6"/>
        <v>0</v>
      </c>
      <c r="AC36" s="29">
        <f t="shared" si="16"/>
        <v>0</v>
      </c>
      <c r="AD36" s="29">
        <f t="shared" si="8"/>
        <v>0</v>
      </c>
      <c r="AE36" s="29">
        <f t="shared" si="9"/>
        <v>0</v>
      </c>
      <c r="AF36" s="30">
        <f t="shared" si="13"/>
        <v>0</v>
      </c>
      <c r="AG36" s="29">
        <f t="shared" si="4"/>
        <v>0</v>
      </c>
      <c r="AH36" s="38">
        <f t="shared" si="5"/>
        <v>0</v>
      </c>
      <c r="AI36" s="34"/>
      <c r="AJ36" s="128"/>
      <c r="AK36" s="128"/>
      <c r="AL36" s="204"/>
      <c r="AM36" s="128"/>
      <c r="AN36" s="128"/>
      <c r="AO36" s="128"/>
    </row>
    <row r="37" spans="1:42" s="33" customFormat="1" ht="25.2" customHeight="1" x14ac:dyDescent="0.3">
      <c r="A37" s="64">
        <v>33</v>
      </c>
      <c r="B37" s="70"/>
      <c r="C37" s="70"/>
      <c r="D37" s="70"/>
      <c r="E37" s="70"/>
      <c r="F37" s="70"/>
      <c r="G37" s="70"/>
      <c r="H37" s="66"/>
      <c r="I37" s="65"/>
      <c r="J37" s="76"/>
      <c r="K37" s="78"/>
      <c r="L37" s="74"/>
      <c r="M37" s="56"/>
      <c r="N37" s="219"/>
      <c r="O37" s="46"/>
      <c r="P37" s="47"/>
      <c r="Q37" s="39"/>
      <c r="R37" s="40"/>
      <c r="S37" s="189" cm="1">
        <f t="array" ref="S37">_xlfn.IFS(R37&gt;17000,R37*50%,R37&lt;10500,R37*20%,R37&lt;17000,R37*40%)</f>
        <v>0</v>
      </c>
      <c r="T37" s="41"/>
      <c r="U37" s="189">
        <f>ROUND(R37/12,0)</f>
        <v>0</v>
      </c>
      <c r="V37" s="37"/>
      <c r="W37" s="189">
        <f t="shared" si="17"/>
        <v>0</v>
      </c>
      <c r="X37" s="189">
        <f t="shared" si="18"/>
        <v>0</v>
      </c>
      <c r="Y37" s="28">
        <f>IF(B37="Sagar Kadam",0,IF(B37="Rahul Jadhav",0,ROUND(IF(P37="Yes",AJ37*3.25%,0),0)))</f>
        <v>0</v>
      </c>
      <c r="Z37" s="29">
        <f>ROUND(SUM(R37:Y37),0)</f>
        <v>0</v>
      </c>
      <c r="AA37" s="29">
        <f>ROUND(IF(O37="Yes",IF((Z37-S37)&gt;15000,1800,SUM(Z37-S37)*12%),),)</f>
        <v>0</v>
      </c>
      <c r="AB37" s="29">
        <f>IF(B37="Sagar Kadam",0,IF(B37="Rahul Jadhav",0,ROUND(IF(O37="Yes",IF((Z37-S37)&gt;15000,1800,SUM(Z37-S37)*12%),),)))</f>
        <v>0</v>
      </c>
      <c r="AC37" s="29">
        <f>ROUND(IF(P37="Yes",Z37*0.75%,0),0)</f>
        <v>0</v>
      </c>
      <c r="AD37" s="29">
        <f>IF(B37="Sagar Kadam",0,IF(B37="Rahul Jadhav",0,ROUND(IF(P37="Yes",Z37*3.25%,0),0)))</f>
        <v>0</v>
      </c>
      <c r="AE37" s="29">
        <f>IF(I37="Female",IF(Z37&gt;24999,200,0),IF(Z37&gt;7500,200,0))</f>
        <v>0</v>
      </c>
      <c r="AF37" s="30">
        <f>ROUND(Z37-SUM(AA37:AE37),0)</f>
        <v>0</v>
      </c>
      <c r="AG37" s="29">
        <f>ROUND(Z37,0)</f>
        <v>0</v>
      </c>
      <c r="AH37" s="38">
        <f>AG37*12</f>
        <v>0</v>
      </c>
      <c r="AI37" s="34"/>
      <c r="AJ37" s="128"/>
      <c r="AK37" s="128"/>
      <c r="AL37" s="204"/>
      <c r="AM37" s="128"/>
      <c r="AN37" s="128"/>
      <c r="AO37" s="128"/>
    </row>
    <row r="38" spans="1:42" s="33" customFormat="1" ht="25.2" customHeight="1" x14ac:dyDescent="0.3">
      <c r="A38" s="64">
        <v>34</v>
      </c>
      <c r="B38" s="70"/>
      <c r="C38" s="70"/>
      <c r="D38" s="70"/>
      <c r="E38" s="70"/>
      <c r="F38" s="70"/>
      <c r="G38" s="70"/>
      <c r="H38" s="66"/>
      <c r="I38" s="65"/>
      <c r="J38" s="76"/>
      <c r="K38" s="78"/>
      <c r="L38" s="74"/>
      <c r="M38" s="56"/>
      <c r="N38" s="219"/>
      <c r="O38" s="46"/>
      <c r="P38" s="47"/>
      <c r="Q38" s="39"/>
      <c r="R38" s="40"/>
      <c r="S38" s="189" cm="1">
        <f t="array" ref="S38">_xlfn.IFS(R38&gt;17000,R38*50%,R38&lt;10500,R38*20%,R38&lt;17000,R38*40%)</f>
        <v>0</v>
      </c>
      <c r="T38" s="41"/>
      <c r="U38" s="189">
        <f>ROUND(R38/12,0)</f>
        <v>0</v>
      </c>
      <c r="V38" s="37"/>
      <c r="W38" s="189">
        <f t="shared" si="17"/>
        <v>0</v>
      </c>
      <c r="X38" s="189">
        <f t="shared" si="18"/>
        <v>0</v>
      </c>
      <c r="Y38" s="28">
        <f>IF(B38="Sagar Kadam",0,IF(B38="Rahul Jadhav",0,ROUND(IF(P38="Yes",AJ38*3.25%,0),0)))</f>
        <v>0</v>
      </c>
      <c r="Z38" s="29">
        <f>ROUND(SUM(R38:Y38),0)</f>
        <v>0</v>
      </c>
      <c r="AA38" s="29">
        <f>ROUND(IF(O38="Yes",IF((Z38-S38)&gt;15000,1800,SUM(Z38-S38)*12%),),)</f>
        <v>0</v>
      </c>
      <c r="AB38" s="29">
        <f>IF(B38="Sagar Kadam",0,IF(B38="Rahul Jadhav",0,ROUND(IF(O38="Yes",IF((Z38-S38)&gt;15000,1800,SUM(Z38-S38)*12%),),)))</f>
        <v>0</v>
      </c>
      <c r="AC38" s="29">
        <f>ROUND(IF(P38="Yes",Z38*0.75%,0),0)</f>
        <v>0</v>
      </c>
      <c r="AD38" s="29">
        <f>IF(B38="Sagar Kadam",0,IF(B38="Rahul Jadhav",0,ROUND(IF(P38="Yes",Z38*3.25%,0),0)))</f>
        <v>0</v>
      </c>
      <c r="AE38" s="29">
        <f>IF(I38="Female",IF(Z38&gt;24999,200,0),IF(Z38&gt;7500,200,0))</f>
        <v>0</v>
      </c>
      <c r="AF38" s="30">
        <f>ROUND(Z38-SUM(AA38:AE38),0)</f>
        <v>0</v>
      </c>
      <c r="AG38" s="29">
        <f>ROUND(Z38,0)</f>
        <v>0</v>
      </c>
      <c r="AH38" s="38">
        <f>AG38*12</f>
        <v>0</v>
      </c>
      <c r="AI38" s="34"/>
      <c r="AJ38" s="128"/>
      <c r="AK38" s="128"/>
      <c r="AL38" s="204"/>
      <c r="AM38" s="128"/>
      <c r="AN38" s="128"/>
      <c r="AO38" s="128"/>
    </row>
    <row r="39" spans="1:42" s="33" customFormat="1" ht="25.2" customHeight="1" thickBot="1" x14ac:dyDescent="0.35">
      <c r="A39" s="82">
        <v>35</v>
      </c>
      <c r="B39" s="83"/>
      <c r="C39" s="83"/>
      <c r="D39" s="83"/>
      <c r="E39" s="83"/>
      <c r="F39" s="83"/>
      <c r="G39" s="83"/>
      <c r="H39" s="192"/>
      <c r="I39" s="193"/>
      <c r="J39" s="84"/>
      <c r="K39" s="85"/>
      <c r="L39" s="194"/>
      <c r="M39" s="57"/>
      <c r="N39" s="220"/>
      <c r="O39" s="195"/>
      <c r="P39" s="197"/>
      <c r="Q39" s="196"/>
      <c r="R39" s="48"/>
      <c r="S39" s="189" cm="1">
        <f t="array" ref="S39">_xlfn.IFS(R39&gt;17000,R39*50%,R39&lt;10500,R39*20%,R39&lt;17000,R39*40%)</f>
        <v>0</v>
      </c>
      <c r="T39" s="49"/>
      <c r="U39" s="203">
        <f>ROUND(R39/12,0)</f>
        <v>0</v>
      </c>
      <c r="V39" s="49"/>
      <c r="W39" s="189">
        <f t="shared" si="17"/>
        <v>0</v>
      </c>
      <c r="X39" s="189">
        <f t="shared" si="18"/>
        <v>0</v>
      </c>
      <c r="Y39" s="28">
        <f>IF(B39="Sagar Kadam",0,IF(B39="Rahul Jadhav",0,ROUND(IF(P39="Yes",AJ39*3.25%,0),0)))</f>
        <v>0</v>
      </c>
      <c r="Z39" s="50">
        <f>ROUND(SUM(R39:Y39),0)</f>
        <v>0</v>
      </c>
      <c r="AA39" s="50">
        <f>ROUND(IF(O39="Yes",IF((Z39-S39)&gt;15000,1800,SUM(Z39-S39)*12%),),)</f>
        <v>0</v>
      </c>
      <c r="AB39" s="50">
        <f>IF(B39="Sagar Kadam",0,IF(B39="Rahul Jadhav",0,ROUND(IF(O39="Yes",IF((Z39-S39)&gt;15000,1800,SUM(Z39-S39)*12%),),)))</f>
        <v>0</v>
      </c>
      <c r="AC39" s="50">
        <f>ROUND(IF(P39="Yes",Z39*0.75%,0),0)</f>
        <v>0</v>
      </c>
      <c r="AD39" s="50">
        <f>IF(B39="Sagar Kadam",0,IF(B39="Rahul Jadhav",0,ROUND(IF(P39="Yes",Z39*3.25%,0),0)))</f>
        <v>0</v>
      </c>
      <c r="AE39" s="50">
        <f>IF(I39="Female",IF(Z39&gt;24999,200,0),IF(Z39&gt;7500,200,0))</f>
        <v>0</v>
      </c>
      <c r="AF39" s="50">
        <f>ROUND(Z39-SUM(AA39:AE39),0)</f>
        <v>0</v>
      </c>
      <c r="AG39" s="50">
        <f>ROUND(Z39,0)</f>
        <v>0</v>
      </c>
      <c r="AH39" s="51">
        <f>AG39*12</f>
        <v>0</v>
      </c>
      <c r="AI39" s="34"/>
      <c r="AJ39" s="128"/>
      <c r="AK39" s="128"/>
      <c r="AL39" s="204"/>
      <c r="AM39" s="128"/>
      <c r="AN39" s="128"/>
      <c r="AO39" s="128"/>
    </row>
    <row r="40" spans="1:42" x14ac:dyDescent="0.3">
      <c r="A40" s="15"/>
      <c r="B40" s="15"/>
      <c r="C40" s="15"/>
      <c r="D40" s="15"/>
      <c r="E40" s="15"/>
      <c r="F40" s="15"/>
      <c r="G40" s="15"/>
      <c r="H40" s="52"/>
      <c r="I40" s="15"/>
      <c r="J40" s="15"/>
      <c r="K40" s="15"/>
      <c r="L40" s="15"/>
      <c r="M40" s="15"/>
      <c r="N40" s="221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</row>
    <row r="41" spans="1:42" x14ac:dyDescent="0.3">
      <c r="A41" s="15"/>
      <c r="B41" s="15"/>
      <c r="C41" s="15"/>
      <c r="D41" s="15"/>
      <c r="E41" s="15"/>
      <c r="F41" s="15"/>
      <c r="G41" s="15"/>
      <c r="H41" s="52"/>
      <c r="I41" s="15"/>
      <c r="J41" s="15"/>
      <c r="K41" s="15"/>
      <c r="L41" s="15"/>
      <c r="M41" s="15"/>
      <c r="N41" s="221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</row>
  </sheetData>
  <sheetProtection algorithmName="SHA-512" hashValue="iaaHDkeHzyn3W5CCgk0in5z98B52KtEMjPwynoYOV+YGOCez67n52BgBZwbWs9BdVhxm+ifQLokFQ6wzh8LPYg==" saltValue="vTR81yU4xwry2LqCErSPCg==" spinCount="100000" sheet="1" insertRows="0" selectLockedCells="1"/>
  <protectedRanges>
    <protectedRange sqref="AJ34:AJ39 AJ32:AK32" name="Range1"/>
  </protectedRanges>
  <dataConsolidate link="1"/>
  <mergeCells count="2">
    <mergeCell ref="A1:AH1"/>
    <mergeCell ref="A2:AH2"/>
  </mergeCells>
  <conditionalFormatting sqref="V1:V4 V40:V1048576">
    <cfRule type="cellIs" dxfId="37" priority="2" operator="lessThan">
      <formula>0</formula>
    </cfRule>
  </conditionalFormatting>
  <conditionalFormatting sqref="V5:V39">
    <cfRule type="cellIs" dxfId="36" priority="1" operator="lessThan">
      <formula>0</formula>
    </cfRule>
  </conditionalFormatting>
  <dataValidations count="5">
    <dataValidation type="list" allowBlank="1" showInputMessage="1" showErrorMessage="1" sqref="I5:I39" xr:uid="{DA220E0A-1798-4D6C-9659-5BC88A9CB8E0}">
      <formula1>"Male,Female"</formula1>
    </dataValidation>
    <dataValidation type="list" allowBlank="1" showInputMessage="1" showErrorMessage="1" sqref="M5:M39" xr:uid="{CA80B56B-8B88-411F-9F1A-02A0496F1E01}">
      <formula1>"Working,Left"</formula1>
    </dataValidation>
    <dataValidation type="list" allowBlank="1" showInputMessage="1" showErrorMessage="1" sqref="O5:Q39" xr:uid="{9F360177-7C7B-4949-BEC1-42CF1EF7C275}">
      <formula1>"Yes,No"</formula1>
    </dataValidation>
    <dataValidation type="list" allowBlank="1" showInputMessage="1" showErrorMessage="1" sqref="N5:N39" xr:uid="{A2FCCBE1-A9D9-4790-AEAC-26932455A74C}">
      <formula1>"Apr-2024,May-2024,Jun-2024,Jul-2024,Aug-2024,Sep-2024,Oct-2024,Nov-2024,Dec-2024,Jan-2025,Feb-2025,Mar-2025"</formula1>
    </dataValidation>
    <dataValidation type="list" allowBlank="1" showInputMessage="1" showErrorMessage="1" sqref="G5:G39" xr:uid="{E56F838F-9A86-4608-99AA-B2CA60A4352A}">
      <formula1>"HO,Ansa Factory,Koparkhairne Factory,Service,South"</formula1>
    </dataValidation>
  </dataValidations>
  <pageMargins left="0.7" right="0.7" top="0.75" bottom="0.75" header="0.3" footer="0.3"/>
  <pageSetup scale="2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4A4A-6C83-4B8D-B08D-220F9F61641C}">
  <sheetPr codeName="Sheet30">
    <tabColor rgb="FF92D050"/>
  </sheetPr>
  <dimension ref="A1:AT40"/>
  <sheetViews>
    <sheetView tabSelected="1" workbookViewId="0">
      <pane xSplit="13" ySplit="4" topLeftCell="Y5" activePane="bottomRight" state="frozen"/>
      <selection activeCell="M36" sqref="M36"/>
      <selection pane="topRight" activeCell="M36" sqref="M36"/>
      <selection pane="bottomLeft" activeCell="M36" sqref="M36"/>
      <selection pane="bottomRight" activeCell="AM7" sqref="AM7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3320312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.33203125" style="133" bestFit="1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9.6640625" style="135" bestFit="1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99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200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IF($J$1="Active",IF(Salary_Master!B5="","",_xlfn.IFS(Salary_Master!M5="Working",IF(Salary_Master!H5&lt;=DATE(2025,4,30),Salary_Master!B5,""),Salary_Master!M5="Left",IF(Salary_Master!N5&gt;DATE(2025,3,31),Salary_Master!B5,""))),"")</f>
        <v>Munna Prasad Vishwakarma</v>
      </c>
      <c r="C5" s="156">
        <v>31</v>
      </c>
      <c r="D5" s="157">
        <f>IF($J$1="Active",IF(B5="","",C5-SUM(E5:G5)-I5),"")</f>
        <v>25</v>
      </c>
      <c r="E5" s="175"/>
      <c r="F5" s="175">
        <v>6</v>
      </c>
      <c r="G5" s="175"/>
      <c r="H5" s="157">
        <f t="shared" ref="H5:H39" si="0">IF(SUM(D5:G5)=0,"",SUM(D5:G5))</f>
        <v>31</v>
      </c>
      <c r="I5" s="176"/>
      <c r="J5" s="176">
        <v>2</v>
      </c>
      <c r="K5" s="158" t="str">
        <f t="shared" ref="K5:K39" si="1">IF($J$1="Active",IF(B5="","",VLOOKUP(B5,Salary_Master,14,FALSE)),"")</f>
        <v>No</v>
      </c>
      <c r="L5" s="158" t="str">
        <f t="shared" ref="L5:L39" si="2">IF($J$1="Active",IF(B5="","",VLOOKUP(B5,Salary_Master,15,FALSE)),"")</f>
        <v>No</v>
      </c>
      <c r="M5" s="159"/>
      <c r="N5" s="169">
        <f t="shared" ref="N5:N39" si="3">IFERROR(ROUND(IF($B5="","",SUM(VLOOKUP($B5,Salary_Master,17,FALSE)/31*$H5)),0),"")</f>
        <v>20000</v>
      </c>
      <c r="O5" s="170">
        <f t="shared" ref="O5:O39" si="4">IFERROR(ROUND(IF($B5="","",SUM(VLOOKUP($B5,Salary_Master,18,FALSE)/31*$H5)),0),"")</f>
        <v>10000</v>
      </c>
      <c r="P5" s="170">
        <f t="shared" ref="P5:P39" si="5">IFERROR(ROUND(IF($B5="","",SUM(VLOOKUP($B5,Salary_Master,19,FALSE)/31*$H5)),0),"")</f>
        <v>1600</v>
      </c>
      <c r="Q5" s="170">
        <f t="shared" ref="Q5:Q39" si="6">IFERROR(ROUND(IF($B5="","",SUM(VLOOKUP($B5,Salary_Master,20,FALSE)/31*$H5)),0),"")</f>
        <v>1667</v>
      </c>
      <c r="R5" s="170">
        <f t="shared" ref="R5:R39" si="7">IFERROR(ROUND(IF($B5="","",SUM(VLOOKUP($B5,Salary_Master,21,FALSE)/31*$H5)),0),"")</f>
        <v>40733</v>
      </c>
      <c r="S5" s="170">
        <f t="shared" ref="S5:S39" si="8">IFERROR(ROUND(IF($B5="","",SUM(VLOOKUP($B5,Salary_Master,22,FALSE)/31*$H5)),0),"")</f>
        <v>0</v>
      </c>
      <c r="T5" s="170">
        <f t="shared" ref="T5:T39" si="9">IFERROR(ROUND(IF($B5="","",SUM(VLOOKUP($B5,Salary_Master,23,FALSE)/31*$H5)),0),"")</f>
        <v>0</v>
      </c>
      <c r="U5" s="170">
        <f t="shared" ref="U5:U39" si="10">IFERROR(ROUND(IF($B5="","",SUM(VLOOKUP($B5,Salary_Master,24,FALSE)/31*$H5)),0),"")</f>
        <v>0</v>
      </c>
      <c r="V5" s="261">
        <f>ROUND(SUM(N5:U5),0)</f>
        <v>74000</v>
      </c>
      <c r="W5" s="161">
        <f>IFERROR(ROUND(IF(K5="Yes",IF((V5-O5)&gt;15000,1800,SUM(V5-O5)*12%),),),"")</f>
        <v>0</v>
      </c>
      <c r="X5" s="160">
        <f t="shared" ref="X5:X25" si="11">IF(B5="Sagar Kadam",0,IF(B5="Rahul Jadhav",0,IF(W5="","",W5)))</f>
        <v>0</v>
      </c>
      <c r="Y5" s="161">
        <f>ROUND(IF(L5="Yes",V5*0.75%,0),0)</f>
        <v>0</v>
      </c>
      <c r="Z5" s="160">
        <f t="shared" ref="Z5:Z22" si="12">IF(B5="Sagar Kadam",0,IF(B5="Rahul Jadhav",0,ROUND(IF(L5="Yes",V5*3.25%,0),0)))</f>
        <v>0</v>
      </c>
      <c r="AA5" s="161">
        <f t="shared" ref="AA5" si="13">IF(AE5="Female",IF(V5&gt;24999,200,0),IF(V5&gt;7500,200,0))</f>
        <v>200</v>
      </c>
      <c r="AB5" s="161">
        <f>AM5</f>
        <v>0</v>
      </c>
      <c r="AC5" s="161">
        <f>AN5</f>
        <v>0</v>
      </c>
      <c r="AD5" s="264">
        <f>ROUND(V5-SUM(W5:AC5),0)</f>
        <v>73800</v>
      </c>
      <c r="AE5" s="207" t="str">
        <f t="shared" ref="AE5:AE39" si="14">IF(B5="","",VLOOKUP(B5,Salary_Master,8,FALSE))</f>
        <v>Male</v>
      </c>
      <c r="AF5" s="164">
        <f>IF($J$1="Active",IF($AK5="Yes",MROUND($AJ5/3,0.5)-$E5,""),"")</f>
        <v>7</v>
      </c>
      <c r="AG5" s="164">
        <f>IF($J$1="Active",IF($AK5="Yes",MROUND($AJ5/3,0.5)-$F5,""),"")</f>
        <v>1</v>
      </c>
      <c r="AH5" s="164">
        <f>IF($J$1="Active",IF($AK5="Yes",($AJ5-(AF5+AG5)-(E5+F5))-$G5,""),"")</f>
        <v>7</v>
      </c>
      <c r="AJ5" s="165">
        <f>IF($J$1="Active",IF(AK5="Yes",21,""),"")</f>
        <v>21</v>
      </c>
      <c r="AK5" s="180" t="s">
        <v>49</v>
      </c>
      <c r="AM5" s="179"/>
      <c r="AN5" s="179"/>
      <c r="AP5" s="166">
        <f t="shared" ref="AP5:AP39" si="15">IFERROR(IF($B5="","",VLOOKUP($B5,Aprr25,4,FALSE)),"")</f>
        <v>0</v>
      </c>
      <c r="AQ5" s="166">
        <f t="shared" ref="AQ5:AQ39" si="16">IFERROR(IF($B5="","",VLOOKUP($B5,Aprr25,5,FALSE)),"")</f>
        <v>6</v>
      </c>
      <c r="AR5" s="166">
        <f t="shared" ref="AR5:AR39" si="17">IFERROR(IF($B5="","",VLOOKUP($B5,Aprr25,6,FALSE)),"")</f>
        <v>0</v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IF($J$1="Active",IF(Salary_Master!B6="","",_xlfn.IFS(Salary_Master!M6="Working",IF(Salary_Master!H6&lt;=DATE(2025,4,30),Salary_Master!B6,""),Salary_Master!M6="Left",IF(Salary_Master!N6&gt;DATE(2025,3,31),Salary_Master!B6,""))),"")</f>
        <v>Ramesh Poojari</v>
      </c>
      <c r="C6" s="156">
        <v>31</v>
      </c>
      <c r="D6" s="157">
        <f t="shared" ref="D6:D39" si="18">IF($J$1="Active",IF(B6="","",C6-SUM(E6:G6)-I6),"")</f>
        <v>31</v>
      </c>
      <c r="E6" s="177"/>
      <c r="F6" s="177"/>
      <c r="G6" s="177"/>
      <c r="H6" s="157">
        <f t="shared" si="0"/>
        <v>31</v>
      </c>
      <c r="I6" s="176"/>
      <c r="J6" s="176">
        <v>2</v>
      </c>
      <c r="K6" s="158" t="str">
        <f t="shared" si="1"/>
        <v>No</v>
      </c>
      <c r="L6" s="158" t="str">
        <f t="shared" si="2"/>
        <v>No</v>
      </c>
      <c r="M6" s="168"/>
      <c r="N6" s="169">
        <f t="shared" si="3"/>
        <v>11500</v>
      </c>
      <c r="O6" s="170">
        <f t="shared" si="4"/>
        <v>4600</v>
      </c>
      <c r="P6" s="170">
        <f t="shared" si="5"/>
        <v>1600</v>
      </c>
      <c r="Q6" s="170">
        <f t="shared" si="6"/>
        <v>958</v>
      </c>
      <c r="R6" s="170">
        <f t="shared" si="7"/>
        <v>16842</v>
      </c>
      <c r="S6" s="170">
        <f t="shared" si="8"/>
        <v>0</v>
      </c>
      <c r="T6" s="170">
        <f t="shared" si="9"/>
        <v>0</v>
      </c>
      <c r="U6" s="170">
        <f t="shared" si="10"/>
        <v>0</v>
      </c>
      <c r="V6" s="262">
        <f>ROUND(SUM(N6:U6),0)</f>
        <v>35500</v>
      </c>
      <c r="W6" s="160">
        <f t="shared" ref="W6:W39" si="19">IFERROR(ROUND(IF(K6="Yes",IF((V6-O6)&gt;15000,1800,SUM(V6-O6)*12%),),),"")</f>
        <v>0</v>
      </c>
      <c r="X6" s="160">
        <f t="shared" si="11"/>
        <v>0</v>
      </c>
      <c r="Y6" s="160">
        <f t="shared" ref="Y6:Y39" si="20">ROUND(IF(L6="Yes",V6*0.75%,0),0)</f>
        <v>0</v>
      </c>
      <c r="Z6" s="160">
        <f t="shared" si="12"/>
        <v>0</v>
      </c>
      <c r="AA6" s="160">
        <f t="shared" ref="AA6:AA39" si="21">IF(AE6="Female",IF(V6&gt;24999,200,0),IF(V6&gt;7500,200,0))</f>
        <v>200</v>
      </c>
      <c r="AB6" s="160">
        <f t="shared" ref="AB6:AB39" si="22">AM6</f>
        <v>10000</v>
      </c>
      <c r="AC6" s="160">
        <f t="shared" ref="AC6:AC39" si="23">AN6</f>
        <v>0</v>
      </c>
      <c r="AD6" s="264">
        <f t="shared" ref="AD6:AD39" si="24">ROUND(V6-SUM(W6:AC6),0)</f>
        <v>25300</v>
      </c>
      <c r="AE6" s="207" t="str">
        <f t="shared" si="14"/>
        <v>Male</v>
      </c>
      <c r="AF6" s="163">
        <f t="shared" ref="AF6:AF39" si="25">IF($J$1="Active",IF($AK6="Yes",MROUND($AJ6/3,0.5)-$E6,""),"")</f>
        <v>7</v>
      </c>
      <c r="AG6" s="163">
        <f t="shared" ref="AG6:AG39" si="26">IF($J$1="Active",IF($AK6="Yes",MROUND($AJ6/3,0.5)-$F6,""),"")</f>
        <v>7</v>
      </c>
      <c r="AH6" s="163">
        <f t="shared" ref="AH6:AH39" si="27">IF($J$1="Active",IF($AK6="Yes",($AJ6-(AF6+AG6)-(E6+F6))-$G6,""),"")</f>
        <v>7</v>
      </c>
      <c r="AJ6" s="165">
        <f t="shared" ref="AJ6:AJ39" si="28">IF($J$1="Active",IF(AK6="Yes",21,""),"")</f>
        <v>21</v>
      </c>
      <c r="AK6" s="180" t="s">
        <v>49</v>
      </c>
      <c r="AM6" s="179">
        <v>10000</v>
      </c>
      <c r="AN6" s="179"/>
      <c r="AP6" s="166">
        <f t="shared" si="15"/>
        <v>0</v>
      </c>
      <c r="AQ6" s="166">
        <f t="shared" si="16"/>
        <v>0</v>
      </c>
      <c r="AR6" s="166">
        <f t="shared" si="17"/>
        <v>0</v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IF($J$1="Active",IF(Salary_Master!B7="","",_xlfn.IFS(Salary_Master!M7="Working",IF(Salary_Master!H7&lt;=DATE(2025,4,30),Salary_Master!B7,""),Salary_Master!M7="Left",IF(Salary_Master!N7&gt;DATE(2025,3,31),Salary_Master!B7,""))),"")</f>
        <v>Rajan Fernandes</v>
      </c>
      <c r="C7" s="156">
        <v>31</v>
      </c>
      <c r="D7" s="157">
        <f t="shared" si="18"/>
        <v>28</v>
      </c>
      <c r="E7" s="177">
        <v>3</v>
      </c>
      <c r="F7" s="177"/>
      <c r="G7" s="177"/>
      <c r="H7" s="157">
        <f t="shared" si="0"/>
        <v>31</v>
      </c>
      <c r="I7" s="176"/>
      <c r="J7" s="176"/>
      <c r="K7" s="158" t="str">
        <f t="shared" si="1"/>
        <v>No</v>
      </c>
      <c r="L7" s="158" t="str">
        <f t="shared" si="2"/>
        <v>No</v>
      </c>
      <c r="M7" s="171"/>
      <c r="N7" s="169">
        <f t="shared" si="3"/>
        <v>20000</v>
      </c>
      <c r="O7" s="170">
        <f t="shared" si="4"/>
        <v>10000</v>
      </c>
      <c r="P7" s="170">
        <f t="shared" si="5"/>
        <v>1600</v>
      </c>
      <c r="Q7" s="170">
        <f t="shared" si="6"/>
        <v>1667</v>
      </c>
      <c r="R7" s="170">
        <f t="shared" si="7"/>
        <v>24233</v>
      </c>
      <c r="S7" s="170">
        <f t="shared" si="8"/>
        <v>0</v>
      </c>
      <c r="T7" s="170">
        <f t="shared" si="9"/>
        <v>0</v>
      </c>
      <c r="U7" s="170">
        <f t="shared" si="10"/>
        <v>0</v>
      </c>
      <c r="V7" s="262">
        <f t="shared" ref="V7:V39" si="29">ROUND(SUM(N7:U7),0)</f>
        <v>57500</v>
      </c>
      <c r="W7" s="160">
        <f t="shared" si="19"/>
        <v>0</v>
      </c>
      <c r="X7" s="160">
        <f t="shared" si="11"/>
        <v>0</v>
      </c>
      <c r="Y7" s="160">
        <f t="shared" si="20"/>
        <v>0</v>
      </c>
      <c r="Z7" s="160">
        <f t="shared" si="12"/>
        <v>0</v>
      </c>
      <c r="AA7" s="160">
        <f t="shared" si="21"/>
        <v>200</v>
      </c>
      <c r="AB7" s="160">
        <f t="shared" si="22"/>
        <v>0</v>
      </c>
      <c r="AC7" s="160">
        <f t="shared" si="23"/>
        <v>0</v>
      </c>
      <c r="AD7" s="264">
        <f t="shared" si="24"/>
        <v>57300</v>
      </c>
      <c r="AE7" s="207" t="str">
        <f t="shared" si="14"/>
        <v>Male</v>
      </c>
      <c r="AF7" s="163">
        <f t="shared" si="25"/>
        <v>4</v>
      </c>
      <c r="AG7" s="163">
        <f t="shared" si="26"/>
        <v>7</v>
      </c>
      <c r="AH7" s="163">
        <f t="shared" si="27"/>
        <v>7</v>
      </c>
      <c r="AJ7" s="165">
        <f t="shared" si="28"/>
        <v>21</v>
      </c>
      <c r="AK7" s="180" t="s">
        <v>49</v>
      </c>
      <c r="AM7" s="179"/>
      <c r="AN7" s="179"/>
      <c r="AP7" s="166">
        <f t="shared" si="15"/>
        <v>3</v>
      </c>
      <c r="AQ7" s="166">
        <f t="shared" si="16"/>
        <v>0</v>
      </c>
      <c r="AR7" s="166">
        <f t="shared" si="17"/>
        <v>0</v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IF($J$1="Active",IF(Salary_Master!B8="","",_xlfn.IFS(Salary_Master!M8="Working",IF(Salary_Master!H8&lt;=DATE(2025,4,30),Salary_Master!B8,""),Salary_Master!M8="Left",IF(Salary_Master!N8&gt;DATE(2025,3,31),Salary_Master!B8,""))),"")</f>
        <v>Sanjay Jadhav</v>
      </c>
      <c r="C8" s="156">
        <v>31</v>
      </c>
      <c r="D8" s="157">
        <f t="shared" si="18"/>
        <v>29</v>
      </c>
      <c r="E8" s="177">
        <v>2</v>
      </c>
      <c r="F8" s="177"/>
      <c r="G8" s="177"/>
      <c r="H8" s="157">
        <f t="shared" si="0"/>
        <v>31</v>
      </c>
      <c r="I8" s="176"/>
      <c r="J8" s="176">
        <v>5</v>
      </c>
      <c r="K8" s="158" t="str">
        <f t="shared" si="1"/>
        <v>Yes</v>
      </c>
      <c r="L8" s="158" t="str">
        <f t="shared" si="2"/>
        <v>No</v>
      </c>
      <c r="M8" s="168"/>
      <c r="N8" s="169">
        <f t="shared" si="3"/>
        <v>11500</v>
      </c>
      <c r="O8" s="170">
        <f t="shared" si="4"/>
        <v>4600</v>
      </c>
      <c r="P8" s="170">
        <f t="shared" si="5"/>
        <v>1600</v>
      </c>
      <c r="Q8" s="170">
        <f t="shared" si="6"/>
        <v>958</v>
      </c>
      <c r="R8" s="170">
        <f t="shared" si="7"/>
        <v>4742</v>
      </c>
      <c r="S8" s="170">
        <f t="shared" si="8"/>
        <v>1800</v>
      </c>
      <c r="T8" s="170">
        <f t="shared" si="9"/>
        <v>1800</v>
      </c>
      <c r="U8" s="170">
        <f t="shared" si="10"/>
        <v>0</v>
      </c>
      <c r="V8" s="262">
        <f t="shared" si="29"/>
        <v>27000</v>
      </c>
      <c r="W8" s="160">
        <f t="shared" si="19"/>
        <v>1800</v>
      </c>
      <c r="X8" s="160">
        <f t="shared" si="11"/>
        <v>1800</v>
      </c>
      <c r="Y8" s="160">
        <f t="shared" si="20"/>
        <v>0</v>
      </c>
      <c r="Z8" s="160">
        <f t="shared" si="12"/>
        <v>0</v>
      </c>
      <c r="AA8" s="160">
        <f t="shared" si="21"/>
        <v>200</v>
      </c>
      <c r="AB8" s="160">
        <f t="shared" si="22"/>
        <v>0</v>
      </c>
      <c r="AC8" s="160">
        <f t="shared" si="23"/>
        <v>0</v>
      </c>
      <c r="AD8" s="264">
        <f t="shared" si="24"/>
        <v>23200</v>
      </c>
      <c r="AE8" s="207" t="str">
        <f t="shared" si="14"/>
        <v>Male</v>
      </c>
      <c r="AF8" s="163">
        <f t="shared" si="25"/>
        <v>5</v>
      </c>
      <c r="AG8" s="163">
        <f t="shared" si="26"/>
        <v>7</v>
      </c>
      <c r="AH8" s="163">
        <f t="shared" si="27"/>
        <v>7</v>
      </c>
      <c r="AJ8" s="165">
        <f t="shared" si="28"/>
        <v>21</v>
      </c>
      <c r="AK8" s="180" t="s">
        <v>49</v>
      </c>
      <c r="AM8" s="179"/>
      <c r="AN8" s="179"/>
      <c r="AP8" s="166">
        <f t="shared" si="15"/>
        <v>2</v>
      </c>
      <c r="AQ8" s="166">
        <f t="shared" si="16"/>
        <v>0</v>
      </c>
      <c r="AR8" s="166">
        <f t="shared" si="17"/>
        <v>0</v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IF($J$1="Active",IF(Salary_Master!B9="","",_xlfn.IFS(Salary_Master!M9="Working",IF(Salary_Master!H9&lt;=DATE(2025,4,30),Salary_Master!B9,""),Salary_Master!M9="Left",IF(Salary_Master!N9&gt;DATE(2025,3,31),Salary_Master!B9,""))),"")</f>
        <v>Darshana Bhagat</v>
      </c>
      <c r="C9" s="156">
        <v>31</v>
      </c>
      <c r="D9" s="157">
        <f t="shared" si="18"/>
        <v>28.5</v>
      </c>
      <c r="E9" s="177">
        <v>2.5</v>
      </c>
      <c r="F9" s="177"/>
      <c r="G9" s="177"/>
      <c r="H9" s="157">
        <f t="shared" si="0"/>
        <v>31</v>
      </c>
      <c r="I9" s="176"/>
      <c r="J9" s="176"/>
      <c r="K9" s="158" t="str">
        <f t="shared" si="1"/>
        <v>No</v>
      </c>
      <c r="L9" s="158" t="str">
        <f t="shared" si="2"/>
        <v>No</v>
      </c>
      <c r="M9" s="168"/>
      <c r="N9" s="169">
        <f t="shared" si="3"/>
        <v>11500</v>
      </c>
      <c r="O9" s="170">
        <f t="shared" si="4"/>
        <v>4600</v>
      </c>
      <c r="P9" s="170">
        <f t="shared" si="5"/>
        <v>1600</v>
      </c>
      <c r="Q9" s="170">
        <f t="shared" si="6"/>
        <v>958</v>
      </c>
      <c r="R9" s="170">
        <f t="shared" si="7"/>
        <v>16842</v>
      </c>
      <c r="S9" s="170">
        <f t="shared" si="8"/>
        <v>0</v>
      </c>
      <c r="T9" s="170">
        <f t="shared" si="9"/>
        <v>0</v>
      </c>
      <c r="U9" s="170">
        <f t="shared" si="10"/>
        <v>0</v>
      </c>
      <c r="V9" s="262">
        <f t="shared" si="29"/>
        <v>35500</v>
      </c>
      <c r="W9" s="160">
        <f t="shared" si="19"/>
        <v>0</v>
      </c>
      <c r="X9" s="160">
        <f t="shared" si="11"/>
        <v>0</v>
      </c>
      <c r="Y9" s="160">
        <f t="shared" si="20"/>
        <v>0</v>
      </c>
      <c r="Z9" s="160">
        <f t="shared" si="12"/>
        <v>0</v>
      </c>
      <c r="AA9" s="160">
        <f t="shared" si="21"/>
        <v>200</v>
      </c>
      <c r="AB9" s="160">
        <f t="shared" si="22"/>
        <v>0</v>
      </c>
      <c r="AC9" s="160">
        <f t="shared" si="23"/>
        <v>0</v>
      </c>
      <c r="AD9" s="264">
        <f t="shared" si="24"/>
        <v>35300</v>
      </c>
      <c r="AE9" s="207" t="str">
        <f t="shared" si="14"/>
        <v>Female</v>
      </c>
      <c r="AF9" s="163">
        <f t="shared" si="25"/>
        <v>4.5</v>
      </c>
      <c r="AG9" s="163">
        <f t="shared" si="26"/>
        <v>7</v>
      </c>
      <c r="AH9" s="163">
        <f t="shared" si="27"/>
        <v>7</v>
      </c>
      <c r="AJ9" s="165">
        <f t="shared" si="28"/>
        <v>21</v>
      </c>
      <c r="AK9" s="180" t="s">
        <v>49</v>
      </c>
      <c r="AM9" s="179"/>
      <c r="AN9" s="179"/>
      <c r="AP9" s="166">
        <f t="shared" si="15"/>
        <v>2.5</v>
      </c>
      <c r="AQ9" s="166">
        <f t="shared" si="16"/>
        <v>0</v>
      </c>
      <c r="AR9" s="166">
        <f t="shared" si="17"/>
        <v>0</v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IF($J$1="Active",IF(Salary_Master!B10="","",_xlfn.IFS(Salary_Master!M10="Working",IF(Salary_Master!H10&lt;=DATE(2025,4,30),Salary_Master!B10,""),Salary_Master!M10="Left",IF(Salary_Master!N10&gt;DATE(2025,3,31),Salary_Master!B10,""))),"")</f>
        <v>Kavita Sawant</v>
      </c>
      <c r="C10" s="156">
        <v>31</v>
      </c>
      <c r="D10" s="157">
        <f t="shared" si="18"/>
        <v>29</v>
      </c>
      <c r="E10" s="177">
        <v>2</v>
      </c>
      <c r="F10" s="177"/>
      <c r="G10" s="177"/>
      <c r="H10" s="157">
        <f t="shared" si="0"/>
        <v>31</v>
      </c>
      <c r="I10" s="176"/>
      <c r="J10" s="176"/>
      <c r="K10" s="158" t="str">
        <f t="shared" si="1"/>
        <v>No</v>
      </c>
      <c r="L10" s="158" t="str">
        <f t="shared" si="2"/>
        <v>No</v>
      </c>
      <c r="M10" s="168"/>
      <c r="N10" s="169">
        <f t="shared" si="3"/>
        <v>20000</v>
      </c>
      <c r="O10" s="170">
        <f t="shared" si="4"/>
        <v>10000</v>
      </c>
      <c r="P10" s="170">
        <f t="shared" si="5"/>
        <v>1600</v>
      </c>
      <c r="Q10" s="170">
        <f t="shared" si="6"/>
        <v>1667</v>
      </c>
      <c r="R10" s="170">
        <f t="shared" si="7"/>
        <v>36933</v>
      </c>
      <c r="S10" s="170">
        <f t="shared" si="8"/>
        <v>0</v>
      </c>
      <c r="T10" s="170">
        <f t="shared" si="9"/>
        <v>0</v>
      </c>
      <c r="U10" s="170">
        <f t="shared" si="10"/>
        <v>0</v>
      </c>
      <c r="V10" s="262">
        <f t="shared" si="29"/>
        <v>70200</v>
      </c>
      <c r="W10" s="160">
        <f t="shared" si="19"/>
        <v>0</v>
      </c>
      <c r="X10" s="160">
        <f t="shared" si="11"/>
        <v>0</v>
      </c>
      <c r="Y10" s="160">
        <f t="shared" si="20"/>
        <v>0</v>
      </c>
      <c r="Z10" s="160">
        <f t="shared" si="12"/>
        <v>0</v>
      </c>
      <c r="AA10" s="160">
        <f t="shared" si="21"/>
        <v>200</v>
      </c>
      <c r="AB10" s="160">
        <f t="shared" si="22"/>
        <v>0</v>
      </c>
      <c r="AC10" s="160">
        <f t="shared" si="23"/>
        <v>0</v>
      </c>
      <c r="AD10" s="264">
        <f t="shared" si="24"/>
        <v>70000</v>
      </c>
      <c r="AE10" s="207" t="str">
        <f t="shared" si="14"/>
        <v>Female</v>
      </c>
      <c r="AF10" s="163">
        <f t="shared" si="25"/>
        <v>5</v>
      </c>
      <c r="AG10" s="163">
        <f t="shared" si="26"/>
        <v>7</v>
      </c>
      <c r="AH10" s="163">
        <f t="shared" si="27"/>
        <v>7</v>
      </c>
      <c r="AJ10" s="165">
        <f t="shared" si="28"/>
        <v>21</v>
      </c>
      <c r="AK10" s="180" t="s">
        <v>49</v>
      </c>
      <c r="AM10" s="179"/>
      <c r="AN10" s="179"/>
      <c r="AP10" s="166">
        <f t="shared" si="15"/>
        <v>2</v>
      </c>
      <c r="AQ10" s="166">
        <f t="shared" si="16"/>
        <v>0</v>
      </c>
      <c r="AR10" s="166">
        <f t="shared" si="17"/>
        <v>0</v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IF($J$1="Active",IF(Salary_Master!B11="","",_xlfn.IFS(Salary_Master!M11="Working",IF(Salary_Master!H11&lt;=DATE(2025,4,30),Salary_Master!B11,""),Salary_Master!M11="Left",IF(Salary_Master!N11&gt;DATE(2025,3,31),Salary_Master!B11,""))),"")</f>
        <v>Pankajkumar Chodhary</v>
      </c>
      <c r="C11" s="156">
        <v>31</v>
      </c>
      <c r="D11" s="157">
        <f t="shared" si="18"/>
        <v>31</v>
      </c>
      <c r="E11" s="177"/>
      <c r="F11" s="177"/>
      <c r="G11" s="177"/>
      <c r="H11" s="157">
        <f t="shared" si="0"/>
        <v>31</v>
      </c>
      <c r="I11" s="176"/>
      <c r="J11" s="176"/>
      <c r="K11" s="158" t="str">
        <f t="shared" si="1"/>
        <v>No</v>
      </c>
      <c r="L11" s="158" t="str">
        <f t="shared" si="2"/>
        <v>No</v>
      </c>
      <c r="M11" s="168"/>
      <c r="N11" s="169">
        <f t="shared" si="3"/>
        <v>16500</v>
      </c>
      <c r="O11" s="170">
        <f t="shared" si="4"/>
        <v>6600</v>
      </c>
      <c r="P11" s="170">
        <f t="shared" si="5"/>
        <v>1600</v>
      </c>
      <c r="Q11" s="170">
        <f t="shared" si="6"/>
        <v>1375</v>
      </c>
      <c r="R11" s="170">
        <f t="shared" si="7"/>
        <v>17925</v>
      </c>
      <c r="S11" s="170">
        <f t="shared" si="8"/>
        <v>0</v>
      </c>
      <c r="T11" s="170">
        <f t="shared" si="9"/>
        <v>0</v>
      </c>
      <c r="U11" s="170">
        <f t="shared" si="10"/>
        <v>0</v>
      </c>
      <c r="V11" s="262">
        <f t="shared" si="29"/>
        <v>44000</v>
      </c>
      <c r="W11" s="160">
        <f t="shared" si="19"/>
        <v>0</v>
      </c>
      <c r="X11" s="160">
        <f t="shared" si="11"/>
        <v>0</v>
      </c>
      <c r="Y11" s="160">
        <f t="shared" si="20"/>
        <v>0</v>
      </c>
      <c r="Z11" s="160">
        <f t="shared" si="12"/>
        <v>0</v>
      </c>
      <c r="AA11" s="160">
        <f t="shared" si="21"/>
        <v>200</v>
      </c>
      <c r="AB11" s="160">
        <f t="shared" si="22"/>
        <v>0</v>
      </c>
      <c r="AC11" s="160">
        <f t="shared" si="23"/>
        <v>0</v>
      </c>
      <c r="AD11" s="264">
        <f t="shared" si="24"/>
        <v>43800</v>
      </c>
      <c r="AE11" s="207" t="str">
        <f t="shared" si="14"/>
        <v>Male</v>
      </c>
      <c r="AF11" s="163">
        <f t="shared" si="25"/>
        <v>7</v>
      </c>
      <c r="AG11" s="163">
        <f t="shared" si="26"/>
        <v>7</v>
      </c>
      <c r="AH11" s="163">
        <f t="shared" si="27"/>
        <v>7</v>
      </c>
      <c r="AJ11" s="165">
        <f t="shared" si="28"/>
        <v>21</v>
      </c>
      <c r="AK11" s="180" t="s">
        <v>49</v>
      </c>
      <c r="AM11" s="179"/>
      <c r="AN11" s="179"/>
      <c r="AP11" s="166">
        <f t="shared" si="15"/>
        <v>0</v>
      </c>
      <c r="AQ11" s="166">
        <f t="shared" si="16"/>
        <v>0</v>
      </c>
      <c r="AR11" s="166">
        <f t="shared" si="17"/>
        <v>0</v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IF($J$1="Active",IF(Salary_Master!B12="","",_xlfn.IFS(Salary_Master!M12="Working",IF(Salary_Master!H12&lt;=DATE(2025,4,30),Salary_Master!B12,""),Salary_Master!M12="Left",IF(Salary_Master!N12&gt;DATE(2025,3,31),Salary_Master!B12,""))),"")</f>
        <v>Komal Patil</v>
      </c>
      <c r="C12" s="156">
        <v>31</v>
      </c>
      <c r="D12" s="157">
        <f t="shared" si="18"/>
        <v>26</v>
      </c>
      <c r="E12" s="177">
        <v>5</v>
      </c>
      <c r="F12" s="177"/>
      <c r="G12" s="177"/>
      <c r="H12" s="157">
        <f t="shared" si="0"/>
        <v>31</v>
      </c>
      <c r="I12" s="176"/>
      <c r="J12" s="176">
        <v>15</v>
      </c>
      <c r="K12" s="158" t="str">
        <f t="shared" si="1"/>
        <v>No</v>
      </c>
      <c r="L12" s="158" t="str">
        <f t="shared" si="2"/>
        <v>No</v>
      </c>
      <c r="M12" s="168"/>
      <c r="N12" s="169">
        <f t="shared" si="3"/>
        <v>20000</v>
      </c>
      <c r="O12" s="170">
        <f t="shared" si="4"/>
        <v>10000</v>
      </c>
      <c r="P12" s="170">
        <f t="shared" si="5"/>
        <v>1600</v>
      </c>
      <c r="Q12" s="170">
        <f t="shared" si="6"/>
        <v>1667</v>
      </c>
      <c r="R12" s="170">
        <f t="shared" si="7"/>
        <v>43233</v>
      </c>
      <c r="S12" s="170">
        <f t="shared" si="8"/>
        <v>0</v>
      </c>
      <c r="T12" s="170">
        <f t="shared" si="9"/>
        <v>0</v>
      </c>
      <c r="U12" s="170">
        <f t="shared" si="10"/>
        <v>0</v>
      </c>
      <c r="V12" s="262">
        <f t="shared" si="29"/>
        <v>76500</v>
      </c>
      <c r="W12" s="160">
        <f t="shared" si="19"/>
        <v>0</v>
      </c>
      <c r="X12" s="160">
        <f t="shared" si="11"/>
        <v>0</v>
      </c>
      <c r="Y12" s="160">
        <f t="shared" si="20"/>
        <v>0</v>
      </c>
      <c r="Z12" s="160">
        <f t="shared" si="12"/>
        <v>0</v>
      </c>
      <c r="AA12" s="160">
        <f t="shared" si="21"/>
        <v>200</v>
      </c>
      <c r="AB12" s="160">
        <f t="shared" si="22"/>
        <v>0</v>
      </c>
      <c r="AC12" s="160">
        <f t="shared" si="23"/>
        <v>0</v>
      </c>
      <c r="AD12" s="264">
        <f t="shared" si="24"/>
        <v>76300</v>
      </c>
      <c r="AE12" s="207" t="str">
        <f t="shared" si="14"/>
        <v>Female</v>
      </c>
      <c r="AF12" s="163">
        <f t="shared" si="25"/>
        <v>2</v>
      </c>
      <c r="AG12" s="163">
        <f t="shared" si="26"/>
        <v>7</v>
      </c>
      <c r="AH12" s="163">
        <f t="shared" si="27"/>
        <v>7</v>
      </c>
      <c r="AJ12" s="165">
        <f t="shared" si="28"/>
        <v>21</v>
      </c>
      <c r="AK12" s="180" t="s">
        <v>49</v>
      </c>
      <c r="AM12" s="179"/>
      <c r="AN12" s="179"/>
      <c r="AP12" s="166">
        <f t="shared" si="15"/>
        <v>5</v>
      </c>
      <c r="AQ12" s="166">
        <f t="shared" si="16"/>
        <v>0</v>
      </c>
      <c r="AR12" s="166">
        <f t="shared" si="17"/>
        <v>0</v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IF($J$1="Active",IF(Salary_Master!B13="","",_xlfn.IFS(Salary_Master!M13="Working",IF(Salary_Master!H13&lt;=DATE(2025,4,30),Salary_Master!B13,""),Salary_Master!M13="Left",IF(Salary_Master!N13&gt;DATE(2025,3,31),Salary_Master!B13,""))),"")</f>
        <v>Ankit Parmar</v>
      </c>
      <c r="C13" s="156">
        <v>31</v>
      </c>
      <c r="D13" s="157">
        <f t="shared" si="18"/>
        <v>28.5</v>
      </c>
      <c r="E13" s="177">
        <v>2.5</v>
      </c>
      <c r="F13" s="177"/>
      <c r="G13" s="177"/>
      <c r="H13" s="157">
        <f t="shared" si="0"/>
        <v>31</v>
      </c>
      <c r="I13" s="176"/>
      <c r="J13" s="176">
        <v>1</v>
      </c>
      <c r="K13" s="158" t="str">
        <f t="shared" si="1"/>
        <v>No</v>
      </c>
      <c r="L13" s="158" t="str">
        <f t="shared" si="2"/>
        <v>No</v>
      </c>
      <c r="M13" s="168"/>
      <c r="N13" s="169">
        <f t="shared" si="3"/>
        <v>16500</v>
      </c>
      <c r="O13" s="170">
        <f t="shared" si="4"/>
        <v>6600</v>
      </c>
      <c r="P13" s="170">
        <f t="shared" si="5"/>
        <v>1600</v>
      </c>
      <c r="Q13" s="170">
        <f t="shared" si="6"/>
        <v>1375</v>
      </c>
      <c r="R13" s="170">
        <f t="shared" si="7"/>
        <v>18925</v>
      </c>
      <c r="S13" s="170">
        <f t="shared" si="8"/>
        <v>0</v>
      </c>
      <c r="T13" s="170">
        <f t="shared" si="9"/>
        <v>0</v>
      </c>
      <c r="U13" s="170">
        <f t="shared" si="10"/>
        <v>0</v>
      </c>
      <c r="V13" s="262">
        <f t="shared" si="29"/>
        <v>45000</v>
      </c>
      <c r="W13" s="160">
        <f t="shared" si="19"/>
        <v>0</v>
      </c>
      <c r="X13" s="160">
        <f t="shared" si="11"/>
        <v>0</v>
      </c>
      <c r="Y13" s="160">
        <f t="shared" si="20"/>
        <v>0</v>
      </c>
      <c r="Z13" s="160">
        <f t="shared" si="12"/>
        <v>0</v>
      </c>
      <c r="AA13" s="160">
        <f t="shared" si="21"/>
        <v>200</v>
      </c>
      <c r="AB13" s="160">
        <f t="shared" si="22"/>
        <v>0</v>
      </c>
      <c r="AC13" s="160">
        <f t="shared" si="23"/>
        <v>0</v>
      </c>
      <c r="AD13" s="264">
        <f t="shared" si="24"/>
        <v>44800</v>
      </c>
      <c r="AE13" s="207" t="str">
        <f t="shared" si="14"/>
        <v>Male</v>
      </c>
      <c r="AF13" s="163">
        <f t="shared" si="25"/>
        <v>4.5</v>
      </c>
      <c r="AG13" s="163">
        <f t="shared" si="26"/>
        <v>7</v>
      </c>
      <c r="AH13" s="163">
        <f t="shared" si="27"/>
        <v>7</v>
      </c>
      <c r="AJ13" s="165">
        <f t="shared" si="28"/>
        <v>21</v>
      </c>
      <c r="AK13" s="180" t="s">
        <v>49</v>
      </c>
      <c r="AM13" s="179"/>
      <c r="AN13" s="179"/>
      <c r="AP13" s="166">
        <f t="shared" si="15"/>
        <v>2.5</v>
      </c>
      <c r="AQ13" s="166">
        <f t="shared" si="16"/>
        <v>0</v>
      </c>
      <c r="AR13" s="166">
        <f t="shared" si="17"/>
        <v>0</v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IF($J$1="Active",IF(Salary_Master!B14="","",_xlfn.IFS(Salary_Master!M14="Working",IF(Salary_Master!H14&lt;=DATE(2025,4,30),Salary_Master!B14,""),Salary_Master!M14="Left",IF(Salary_Master!N14&gt;DATE(2025,3,31),Salary_Master!B14,""))),"")</f>
        <v>Jayesh Chogle</v>
      </c>
      <c r="C14" s="156">
        <v>31</v>
      </c>
      <c r="D14" s="157">
        <f t="shared" si="18"/>
        <v>28</v>
      </c>
      <c r="E14" s="177">
        <v>3</v>
      </c>
      <c r="F14" s="177"/>
      <c r="G14" s="177"/>
      <c r="H14" s="157">
        <f t="shared" si="0"/>
        <v>31</v>
      </c>
      <c r="I14" s="176"/>
      <c r="J14" s="176">
        <v>13</v>
      </c>
      <c r="K14" s="158" t="str">
        <f t="shared" si="1"/>
        <v>No</v>
      </c>
      <c r="L14" s="158" t="str">
        <f t="shared" si="2"/>
        <v>No</v>
      </c>
      <c r="M14" s="168"/>
      <c r="N14" s="169">
        <f t="shared" si="3"/>
        <v>16500</v>
      </c>
      <c r="O14" s="170">
        <f t="shared" si="4"/>
        <v>6600</v>
      </c>
      <c r="P14" s="170">
        <f t="shared" si="5"/>
        <v>1600</v>
      </c>
      <c r="Q14" s="170">
        <f t="shared" si="6"/>
        <v>1375</v>
      </c>
      <c r="R14" s="170">
        <f t="shared" si="7"/>
        <v>16425</v>
      </c>
      <c r="S14" s="170">
        <f t="shared" si="8"/>
        <v>0</v>
      </c>
      <c r="T14" s="170">
        <f t="shared" si="9"/>
        <v>0</v>
      </c>
      <c r="U14" s="170">
        <f t="shared" si="10"/>
        <v>0</v>
      </c>
      <c r="V14" s="262">
        <f t="shared" si="29"/>
        <v>42500</v>
      </c>
      <c r="W14" s="160">
        <f t="shared" si="19"/>
        <v>0</v>
      </c>
      <c r="X14" s="160">
        <f t="shared" si="11"/>
        <v>0</v>
      </c>
      <c r="Y14" s="160">
        <f t="shared" si="20"/>
        <v>0</v>
      </c>
      <c r="Z14" s="160">
        <f t="shared" si="12"/>
        <v>0</v>
      </c>
      <c r="AA14" s="160">
        <f t="shared" si="21"/>
        <v>200</v>
      </c>
      <c r="AB14" s="160">
        <f t="shared" si="22"/>
        <v>0</v>
      </c>
      <c r="AC14" s="160">
        <f t="shared" si="23"/>
        <v>0</v>
      </c>
      <c r="AD14" s="264">
        <f t="shared" si="24"/>
        <v>42300</v>
      </c>
      <c r="AE14" s="207" t="str">
        <f t="shared" si="14"/>
        <v>Male</v>
      </c>
      <c r="AF14" s="163">
        <f t="shared" si="25"/>
        <v>4</v>
      </c>
      <c r="AG14" s="163">
        <f t="shared" si="26"/>
        <v>7</v>
      </c>
      <c r="AH14" s="163">
        <f t="shared" si="27"/>
        <v>7</v>
      </c>
      <c r="AJ14" s="165">
        <f t="shared" si="28"/>
        <v>21</v>
      </c>
      <c r="AK14" s="180" t="s">
        <v>49</v>
      </c>
      <c r="AM14" s="179"/>
      <c r="AN14" s="179"/>
      <c r="AP14" s="166">
        <f t="shared" si="15"/>
        <v>3</v>
      </c>
      <c r="AQ14" s="166">
        <f t="shared" si="16"/>
        <v>0</v>
      </c>
      <c r="AR14" s="166">
        <f t="shared" si="17"/>
        <v>0</v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IF($J$1="Active",IF(Salary_Master!B15="","",_xlfn.IFS(Salary_Master!M15="Working",IF(Salary_Master!H15&lt;=DATE(2025,4,30),Salary_Master!B15,""),Salary_Master!M15="Left",IF(Salary_Master!N15&gt;DATE(2025,3,31),Salary_Master!B15,""))),"")</f>
        <v>Aparna Raithatha</v>
      </c>
      <c r="C15" s="156">
        <v>31</v>
      </c>
      <c r="D15" s="157">
        <f t="shared" si="18"/>
        <v>30</v>
      </c>
      <c r="E15" s="177">
        <v>1</v>
      </c>
      <c r="F15" s="177"/>
      <c r="G15" s="177"/>
      <c r="H15" s="157">
        <f t="shared" si="0"/>
        <v>31</v>
      </c>
      <c r="I15" s="176"/>
      <c r="J15" s="176">
        <v>4</v>
      </c>
      <c r="K15" s="158" t="str">
        <f t="shared" si="1"/>
        <v>No</v>
      </c>
      <c r="L15" s="158" t="str">
        <f t="shared" si="2"/>
        <v>No</v>
      </c>
      <c r="M15" s="171"/>
      <c r="N15" s="169">
        <f t="shared" si="3"/>
        <v>16500</v>
      </c>
      <c r="O15" s="170">
        <f t="shared" si="4"/>
        <v>6600</v>
      </c>
      <c r="P15" s="170">
        <f t="shared" si="5"/>
        <v>1600</v>
      </c>
      <c r="Q15" s="170">
        <f t="shared" si="6"/>
        <v>1375</v>
      </c>
      <c r="R15" s="170">
        <f t="shared" si="7"/>
        <v>26425</v>
      </c>
      <c r="S15" s="170">
        <f t="shared" si="8"/>
        <v>0</v>
      </c>
      <c r="T15" s="170">
        <f t="shared" si="9"/>
        <v>0</v>
      </c>
      <c r="U15" s="170">
        <f t="shared" si="10"/>
        <v>0</v>
      </c>
      <c r="V15" s="262">
        <f t="shared" si="29"/>
        <v>52500</v>
      </c>
      <c r="W15" s="160">
        <f t="shared" si="19"/>
        <v>0</v>
      </c>
      <c r="X15" s="160">
        <f t="shared" si="11"/>
        <v>0</v>
      </c>
      <c r="Y15" s="160">
        <f t="shared" si="20"/>
        <v>0</v>
      </c>
      <c r="Z15" s="160">
        <f t="shared" si="12"/>
        <v>0</v>
      </c>
      <c r="AA15" s="160">
        <f t="shared" si="21"/>
        <v>200</v>
      </c>
      <c r="AB15" s="160">
        <f t="shared" si="22"/>
        <v>0</v>
      </c>
      <c r="AC15" s="160">
        <f t="shared" si="23"/>
        <v>0</v>
      </c>
      <c r="AD15" s="264">
        <f t="shared" si="24"/>
        <v>52300</v>
      </c>
      <c r="AE15" s="207" t="str">
        <f t="shared" si="14"/>
        <v>Female</v>
      </c>
      <c r="AF15" s="163">
        <f t="shared" si="25"/>
        <v>6</v>
      </c>
      <c r="AG15" s="163">
        <f t="shared" si="26"/>
        <v>7</v>
      </c>
      <c r="AH15" s="163">
        <f t="shared" si="27"/>
        <v>7</v>
      </c>
      <c r="AJ15" s="165">
        <f t="shared" si="28"/>
        <v>21</v>
      </c>
      <c r="AK15" s="180" t="s">
        <v>49</v>
      </c>
      <c r="AM15" s="179"/>
      <c r="AN15" s="179"/>
      <c r="AP15" s="166">
        <f t="shared" si="15"/>
        <v>1</v>
      </c>
      <c r="AQ15" s="166">
        <f t="shared" si="16"/>
        <v>0</v>
      </c>
      <c r="AR15" s="166">
        <f t="shared" si="17"/>
        <v>0</v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IF($J$1="Active",IF(Salary_Master!B16="","",_xlfn.IFS(Salary_Master!M16="Working",IF(Salary_Master!H16&lt;=DATE(2025,4,30),Salary_Master!B16,""),Salary_Master!M16="Left",IF(Salary_Master!N16&gt;DATE(2025,3,31),Salary_Master!B16,""))),"")</f>
        <v>Ravin Gaikwad</v>
      </c>
      <c r="C16" s="156">
        <v>31</v>
      </c>
      <c r="D16" s="157">
        <f t="shared" si="18"/>
        <v>31</v>
      </c>
      <c r="E16" s="177"/>
      <c r="F16" s="177"/>
      <c r="G16" s="177"/>
      <c r="H16" s="157">
        <f t="shared" si="0"/>
        <v>31</v>
      </c>
      <c r="I16" s="176"/>
      <c r="J16" s="176"/>
      <c r="K16" s="158" t="str">
        <f t="shared" si="1"/>
        <v>Yes</v>
      </c>
      <c r="L16" s="158" t="str">
        <f t="shared" si="2"/>
        <v>No</v>
      </c>
      <c r="M16" s="168"/>
      <c r="N16" s="169">
        <f t="shared" si="3"/>
        <v>11500</v>
      </c>
      <c r="O16" s="170">
        <f t="shared" si="4"/>
        <v>4600</v>
      </c>
      <c r="P16" s="170">
        <f t="shared" si="5"/>
        <v>1600</v>
      </c>
      <c r="Q16" s="170">
        <f t="shared" si="6"/>
        <v>958</v>
      </c>
      <c r="R16" s="170">
        <f t="shared" si="7"/>
        <v>32742</v>
      </c>
      <c r="S16" s="170">
        <f t="shared" si="8"/>
        <v>1800</v>
      </c>
      <c r="T16" s="170">
        <f t="shared" si="9"/>
        <v>1800</v>
      </c>
      <c r="U16" s="170">
        <f t="shared" si="10"/>
        <v>0</v>
      </c>
      <c r="V16" s="262">
        <f t="shared" si="29"/>
        <v>55000</v>
      </c>
      <c r="W16" s="160">
        <f t="shared" si="19"/>
        <v>1800</v>
      </c>
      <c r="X16" s="160">
        <f t="shared" si="11"/>
        <v>1800</v>
      </c>
      <c r="Y16" s="160">
        <f t="shared" si="20"/>
        <v>0</v>
      </c>
      <c r="Z16" s="160">
        <f t="shared" si="12"/>
        <v>0</v>
      </c>
      <c r="AA16" s="160">
        <f t="shared" si="21"/>
        <v>200</v>
      </c>
      <c r="AB16" s="160">
        <f t="shared" si="22"/>
        <v>0</v>
      </c>
      <c r="AC16" s="160">
        <f t="shared" si="23"/>
        <v>0</v>
      </c>
      <c r="AD16" s="264">
        <f t="shared" si="24"/>
        <v>51200</v>
      </c>
      <c r="AE16" s="207" t="str">
        <f t="shared" si="14"/>
        <v>Male</v>
      </c>
      <c r="AF16" s="163">
        <f t="shared" si="25"/>
        <v>7</v>
      </c>
      <c r="AG16" s="163">
        <f t="shared" si="26"/>
        <v>7</v>
      </c>
      <c r="AH16" s="163">
        <f t="shared" si="27"/>
        <v>7</v>
      </c>
      <c r="AJ16" s="165">
        <f t="shared" si="28"/>
        <v>21</v>
      </c>
      <c r="AK16" s="180" t="s">
        <v>49</v>
      </c>
      <c r="AM16" s="179"/>
      <c r="AN16" s="179"/>
      <c r="AP16" s="166">
        <f t="shared" si="15"/>
        <v>0</v>
      </c>
      <c r="AQ16" s="166">
        <f t="shared" si="16"/>
        <v>0</v>
      </c>
      <c r="AR16" s="166">
        <f t="shared" si="17"/>
        <v>0</v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IF($J$1="Active",IF(Salary_Master!B17="","",_xlfn.IFS(Salary_Master!M17="Working",IF(Salary_Master!H17&lt;=DATE(2025,4,30),Salary_Master!B17,""),Salary_Master!M17="Left",IF(Salary_Master!N17&gt;DATE(2025,3,31),Salary_Master!B17,""))),"")</f>
        <v>Gaurav Sune</v>
      </c>
      <c r="C17" s="156">
        <v>31</v>
      </c>
      <c r="D17" s="157">
        <f t="shared" si="18"/>
        <v>31</v>
      </c>
      <c r="E17" s="177"/>
      <c r="F17" s="177"/>
      <c r="G17" s="177"/>
      <c r="H17" s="157">
        <f t="shared" si="0"/>
        <v>31</v>
      </c>
      <c r="I17" s="176"/>
      <c r="J17" s="176"/>
      <c r="K17" s="158" t="str">
        <f t="shared" si="1"/>
        <v>No</v>
      </c>
      <c r="L17" s="158" t="str">
        <f t="shared" si="2"/>
        <v>No</v>
      </c>
      <c r="M17" s="168"/>
      <c r="N17" s="169">
        <f t="shared" si="3"/>
        <v>16500</v>
      </c>
      <c r="O17" s="170">
        <f t="shared" si="4"/>
        <v>6600</v>
      </c>
      <c r="P17" s="170">
        <f t="shared" si="5"/>
        <v>1600</v>
      </c>
      <c r="Q17" s="170">
        <f t="shared" si="6"/>
        <v>1375</v>
      </c>
      <c r="R17" s="170">
        <f t="shared" si="7"/>
        <v>7925</v>
      </c>
      <c r="S17" s="170">
        <f t="shared" si="8"/>
        <v>0</v>
      </c>
      <c r="T17" s="170">
        <f t="shared" si="9"/>
        <v>0</v>
      </c>
      <c r="U17" s="170">
        <f t="shared" si="10"/>
        <v>0</v>
      </c>
      <c r="V17" s="262">
        <f t="shared" si="29"/>
        <v>34000</v>
      </c>
      <c r="W17" s="160">
        <f t="shared" si="19"/>
        <v>0</v>
      </c>
      <c r="X17" s="160">
        <f t="shared" si="11"/>
        <v>0</v>
      </c>
      <c r="Y17" s="160">
        <f t="shared" si="20"/>
        <v>0</v>
      </c>
      <c r="Z17" s="160">
        <f t="shared" si="12"/>
        <v>0</v>
      </c>
      <c r="AA17" s="160">
        <f t="shared" si="21"/>
        <v>200</v>
      </c>
      <c r="AB17" s="160">
        <f t="shared" si="22"/>
        <v>0</v>
      </c>
      <c r="AC17" s="160">
        <f t="shared" si="23"/>
        <v>0</v>
      </c>
      <c r="AD17" s="264">
        <f t="shared" si="24"/>
        <v>33800</v>
      </c>
      <c r="AE17" s="207" t="str">
        <f t="shared" si="14"/>
        <v>Male</v>
      </c>
      <c r="AF17" s="163">
        <f t="shared" si="25"/>
        <v>7</v>
      </c>
      <c r="AG17" s="163">
        <f t="shared" si="26"/>
        <v>7</v>
      </c>
      <c r="AH17" s="163">
        <f t="shared" si="27"/>
        <v>7</v>
      </c>
      <c r="AJ17" s="165">
        <f t="shared" si="28"/>
        <v>21</v>
      </c>
      <c r="AK17" s="180" t="s">
        <v>49</v>
      </c>
      <c r="AM17" s="179"/>
      <c r="AN17" s="179"/>
      <c r="AP17" s="166">
        <f t="shared" si="15"/>
        <v>0</v>
      </c>
      <c r="AQ17" s="166">
        <f t="shared" si="16"/>
        <v>0</v>
      </c>
      <c r="AR17" s="166">
        <f t="shared" si="17"/>
        <v>0</v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IF($J$1="Active",IF(Salary_Master!B18="","",_xlfn.IFS(Salary_Master!M18="Working",IF(Salary_Master!H18&lt;=DATE(2025,4,30),Salary_Master!B18,""),Salary_Master!M18="Left",IF(Salary_Master!N18&gt;DATE(2025,3,31),Salary_Master!B18,""))),"")</f>
        <v>Hasanulbana Siddiqui</v>
      </c>
      <c r="C18" s="156">
        <v>31</v>
      </c>
      <c r="D18" s="157">
        <f t="shared" si="18"/>
        <v>29</v>
      </c>
      <c r="E18" s="177">
        <v>2</v>
      </c>
      <c r="F18" s="177"/>
      <c r="G18" s="177"/>
      <c r="H18" s="157">
        <f t="shared" si="0"/>
        <v>31</v>
      </c>
      <c r="I18" s="176"/>
      <c r="J18" s="176">
        <v>8</v>
      </c>
      <c r="K18" s="158" t="str">
        <f t="shared" si="1"/>
        <v>No</v>
      </c>
      <c r="L18" s="158" t="str">
        <f t="shared" si="2"/>
        <v>No</v>
      </c>
      <c r="M18" s="168"/>
      <c r="N18" s="169">
        <f t="shared" si="3"/>
        <v>16500</v>
      </c>
      <c r="O18" s="170">
        <f t="shared" si="4"/>
        <v>6600</v>
      </c>
      <c r="P18" s="170">
        <f t="shared" si="5"/>
        <v>1600</v>
      </c>
      <c r="Q18" s="170">
        <f t="shared" si="6"/>
        <v>1375</v>
      </c>
      <c r="R18" s="170">
        <f t="shared" si="7"/>
        <v>6425</v>
      </c>
      <c r="S18" s="170">
        <f t="shared" si="8"/>
        <v>0</v>
      </c>
      <c r="T18" s="170">
        <f t="shared" si="9"/>
        <v>0</v>
      </c>
      <c r="U18" s="170">
        <f t="shared" si="10"/>
        <v>0</v>
      </c>
      <c r="V18" s="262">
        <f t="shared" si="29"/>
        <v>32500</v>
      </c>
      <c r="W18" s="160">
        <f t="shared" si="19"/>
        <v>0</v>
      </c>
      <c r="X18" s="160">
        <f t="shared" si="11"/>
        <v>0</v>
      </c>
      <c r="Y18" s="160">
        <f t="shared" si="20"/>
        <v>0</v>
      </c>
      <c r="Z18" s="160">
        <f t="shared" si="12"/>
        <v>0</v>
      </c>
      <c r="AA18" s="160">
        <f t="shared" si="21"/>
        <v>200</v>
      </c>
      <c r="AB18" s="160">
        <f t="shared" si="22"/>
        <v>0</v>
      </c>
      <c r="AC18" s="160">
        <f t="shared" si="23"/>
        <v>0</v>
      </c>
      <c r="AD18" s="264">
        <f t="shared" si="24"/>
        <v>32300</v>
      </c>
      <c r="AE18" s="207" t="str">
        <f t="shared" si="14"/>
        <v>Male</v>
      </c>
      <c r="AF18" s="163">
        <f t="shared" si="25"/>
        <v>5</v>
      </c>
      <c r="AG18" s="163">
        <f t="shared" si="26"/>
        <v>7</v>
      </c>
      <c r="AH18" s="163">
        <f t="shared" si="27"/>
        <v>7</v>
      </c>
      <c r="AJ18" s="165">
        <f t="shared" si="28"/>
        <v>21</v>
      </c>
      <c r="AK18" s="180" t="s">
        <v>49</v>
      </c>
      <c r="AM18" s="179"/>
      <c r="AN18" s="179"/>
      <c r="AP18" s="166">
        <f t="shared" si="15"/>
        <v>2</v>
      </c>
      <c r="AQ18" s="166">
        <f t="shared" si="16"/>
        <v>0</v>
      </c>
      <c r="AR18" s="166">
        <f t="shared" si="17"/>
        <v>0</v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IF($J$1="Active",IF(Salary_Master!B19="","",_xlfn.IFS(Salary_Master!M19="Working",IF(Salary_Master!H19&lt;=DATE(2025,4,30),Salary_Master!B19,""),Salary_Master!M19="Left",IF(Salary_Master!N19&gt;DATE(2025,3,31),Salary_Master!B19,""))),"")</f>
        <v>Aniket Sawant</v>
      </c>
      <c r="C19" s="156">
        <v>31</v>
      </c>
      <c r="D19" s="157">
        <f t="shared" si="18"/>
        <v>29.5</v>
      </c>
      <c r="E19" s="177">
        <v>1.5</v>
      </c>
      <c r="F19" s="177"/>
      <c r="G19" s="177"/>
      <c r="H19" s="157">
        <f t="shared" si="0"/>
        <v>31</v>
      </c>
      <c r="I19" s="176"/>
      <c r="J19" s="176">
        <v>7</v>
      </c>
      <c r="K19" s="158" t="str">
        <f t="shared" si="1"/>
        <v>No</v>
      </c>
      <c r="L19" s="158" t="str">
        <f t="shared" si="2"/>
        <v>No</v>
      </c>
      <c r="M19" s="168"/>
      <c r="N19" s="169">
        <f t="shared" si="3"/>
        <v>16500</v>
      </c>
      <c r="O19" s="170">
        <f t="shared" si="4"/>
        <v>6600</v>
      </c>
      <c r="P19" s="170">
        <f t="shared" si="5"/>
        <v>1600</v>
      </c>
      <c r="Q19" s="170">
        <f t="shared" si="6"/>
        <v>1375</v>
      </c>
      <c r="R19" s="170">
        <f t="shared" si="7"/>
        <v>31925</v>
      </c>
      <c r="S19" s="170">
        <f t="shared" si="8"/>
        <v>0</v>
      </c>
      <c r="T19" s="170">
        <f t="shared" si="9"/>
        <v>0</v>
      </c>
      <c r="U19" s="170">
        <f t="shared" si="10"/>
        <v>0</v>
      </c>
      <c r="V19" s="262">
        <f t="shared" si="29"/>
        <v>58000</v>
      </c>
      <c r="W19" s="160">
        <f t="shared" si="19"/>
        <v>0</v>
      </c>
      <c r="X19" s="160">
        <f t="shared" si="11"/>
        <v>0</v>
      </c>
      <c r="Y19" s="160">
        <f t="shared" si="20"/>
        <v>0</v>
      </c>
      <c r="Z19" s="160">
        <f t="shared" si="12"/>
        <v>0</v>
      </c>
      <c r="AA19" s="160">
        <f t="shared" si="21"/>
        <v>200</v>
      </c>
      <c r="AB19" s="160">
        <f t="shared" si="22"/>
        <v>0</v>
      </c>
      <c r="AC19" s="160">
        <f t="shared" si="23"/>
        <v>0</v>
      </c>
      <c r="AD19" s="264">
        <f t="shared" si="24"/>
        <v>57800</v>
      </c>
      <c r="AE19" s="207" t="str">
        <f t="shared" si="14"/>
        <v>Male</v>
      </c>
      <c r="AF19" s="163">
        <f t="shared" si="25"/>
        <v>5.5</v>
      </c>
      <c r="AG19" s="163">
        <f t="shared" si="26"/>
        <v>7</v>
      </c>
      <c r="AH19" s="163">
        <f t="shared" si="27"/>
        <v>7</v>
      </c>
      <c r="AJ19" s="165">
        <f t="shared" si="28"/>
        <v>21</v>
      </c>
      <c r="AK19" s="180" t="s">
        <v>49</v>
      </c>
      <c r="AM19" s="179"/>
      <c r="AN19" s="179"/>
      <c r="AP19" s="166">
        <f t="shared" si="15"/>
        <v>1.5</v>
      </c>
      <c r="AQ19" s="166">
        <f t="shared" si="16"/>
        <v>0</v>
      </c>
      <c r="AR19" s="166">
        <f t="shared" si="17"/>
        <v>0</v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IF($J$1="Active",IF(Salary_Master!B20="","",_xlfn.IFS(Salary_Master!M20="Working",IF(Salary_Master!H20&lt;=DATE(2025,4,30),Salary_Master!B20,""),Salary_Master!M20="Left",IF(Salary_Master!N20&gt;DATE(2025,3,31),Salary_Master!B20,""))),"")</f>
        <v>Mayur Bhoir</v>
      </c>
      <c r="C20" s="156">
        <v>31</v>
      </c>
      <c r="D20" s="157">
        <f t="shared" si="18"/>
        <v>30.5</v>
      </c>
      <c r="E20" s="177">
        <v>0.5</v>
      </c>
      <c r="F20" s="177"/>
      <c r="G20" s="177"/>
      <c r="H20" s="157">
        <f t="shared" si="0"/>
        <v>31</v>
      </c>
      <c r="I20" s="176"/>
      <c r="J20" s="176">
        <v>3</v>
      </c>
      <c r="K20" s="158" t="str">
        <f t="shared" si="1"/>
        <v>Yes</v>
      </c>
      <c r="L20" s="158" t="str">
        <f t="shared" si="2"/>
        <v>No</v>
      </c>
      <c r="M20" s="168"/>
      <c r="N20" s="169">
        <f t="shared" si="3"/>
        <v>10000</v>
      </c>
      <c r="O20" s="170">
        <f t="shared" si="4"/>
        <v>2000</v>
      </c>
      <c r="P20" s="170">
        <f t="shared" si="5"/>
        <v>1600</v>
      </c>
      <c r="Q20" s="170">
        <f t="shared" si="6"/>
        <v>833</v>
      </c>
      <c r="R20" s="170">
        <f t="shared" si="7"/>
        <v>8467</v>
      </c>
      <c r="S20" s="170">
        <f t="shared" si="8"/>
        <v>1800</v>
      </c>
      <c r="T20" s="170">
        <f t="shared" si="9"/>
        <v>1800</v>
      </c>
      <c r="U20" s="170">
        <f t="shared" si="10"/>
        <v>0</v>
      </c>
      <c r="V20" s="262">
        <f t="shared" si="29"/>
        <v>26500</v>
      </c>
      <c r="W20" s="160">
        <f t="shared" si="19"/>
        <v>1800</v>
      </c>
      <c r="X20" s="160">
        <f t="shared" si="11"/>
        <v>1800</v>
      </c>
      <c r="Y20" s="160">
        <f t="shared" si="20"/>
        <v>0</v>
      </c>
      <c r="Z20" s="160">
        <f t="shared" si="12"/>
        <v>0</v>
      </c>
      <c r="AA20" s="160">
        <f t="shared" si="21"/>
        <v>200</v>
      </c>
      <c r="AB20" s="160">
        <f t="shared" si="22"/>
        <v>0</v>
      </c>
      <c r="AC20" s="160">
        <f t="shared" si="23"/>
        <v>0</v>
      </c>
      <c r="AD20" s="264">
        <f t="shared" si="24"/>
        <v>22700</v>
      </c>
      <c r="AE20" s="207" t="str">
        <f t="shared" si="14"/>
        <v>Male</v>
      </c>
      <c r="AF20" s="163">
        <f t="shared" si="25"/>
        <v>6.5</v>
      </c>
      <c r="AG20" s="163">
        <f t="shared" si="26"/>
        <v>7</v>
      </c>
      <c r="AH20" s="163">
        <f t="shared" si="27"/>
        <v>7</v>
      </c>
      <c r="AJ20" s="165">
        <f t="shared" si="28"/>
        <v>21</v>
      </c>
      <c r="AK20" s="180" t="s">
        <v>49</v>
      </c>
      <c r="AM20" s="179"/>
      <c r="AN20" s="179"/>
      <c r="AP20" s="166">
        <f t="shared" si="15"/>
        <v>0.5</v>
      </c>
      <c r="AQ20" s="166">
        <f t="shared" si="16"/>
        <v>0</v>
      </c>
      <c r="AR20" s="166">
        <f t="shared" si="17"/>
        <v>0</v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IF($J$1="Active",IF(Salary_Master!B21="","",_xlfn.IFS(Salary_Master!M21="Working",IF(Salary_Master!H21&lt;=DATE(2025,4,30),Salary_Master!B21,""),Salary_Master!M21="Left",IF(Salary_Master!N21&gt;DATE(2025,3,31),Salary_Master!B21,""))),"")</f>
        <v>Supriya Padel</v>
      </c>
      <c r="C21" s="156">
        <v>31</v>
      </c>
      <c r="D21" s="157">
        <f t="shared" si="18"/>
        <v>14</v>
      </c>
      <c r="E21" s="177">
        <v>7</v>
      </c>
      <c r="F21" s="177"/>
      <c r="G21" s="177"/>
      <c r="H21" s="157">
        <f t="shared" si="0"/>
        <v>21</v>
      </c>
      <c r="I21" s="176">
        <v>10</v>
      </c>
      <c r="J21" s="176">
        <v>4</v>
      </c>
      <c r="K21" s="158" t="str">
        <f t="shared" si="1"/>
        <v>Yes</v>
      </c>
      <c r="L21" s="158" t="str">
        <f t="shared" si="2"/>
        <v>No</v>
      </c>
      <c r="M21" s="168"/>
      <c r="N21" s="169">
        <f t="shared" si="3"/>
        <v>6774</v>
      </c>
      <c r="O21" s="170">
        <f t="shared" si="4"/>
        <v>1355</v>
      </c>
      <c r="P21" s="170">
        <f t="shared" si="5"/>
        <v>1084</v>
      </c>
      <c r="Q21" s="170">
        <f t="shared" si="6"/>
        <v>564</v>
      </c>
      <c r="R21" s="170">
        <f t="shared" si="7"/>
        <v>3703</v>
      </c>
      <c r="S21" s="170">
        <f t="shared" si="8"/>
        <v>1219</v>
      </c>
      <c r="T21" s="170">
        <f t="shared" si="9"/>
        <v>1219</v>
      </c>
      <c r="U21" s="170">
        <f t="shared" si="10"/>
        <v>0</v>
      </c>
      <c r="V21" s="262">
        <f t="shared" si="29"/>
        <v>15918</v>
      </c>
      <c r="W21" s="160">
        <f t="shared" si="19"/>
        <v>1748</v>
      </c>
      <c r="X21" s="160">
        <f t="shared" si="11"/>
        <v>1748</v>
      </c>
      <c r="Y21" s="160">
        <f t="shared" si="20"/>
        <v>0</v>
      </c>
      <c r="Z21" s="160">
        <f t="shared" si="12"/>
        <v>0</v>
      </c>
      <c r="AA21" s="160">
        <f t="shared" si="21"/>
        <v>0</v>
      </c>
      <c r="AB21" s="160">
        <f t="shared" si="22"/>
        <v>0</v>
      </c>
      <c r="AC21" s="160">
        <f t="shared" si="23"/>
        <v>0</v>
      </c>
      <c r="AD21" s="264">
        <f t="shared" si="24"/>
        <v>12422</v>
      </c>
      <c r="AE21" s="207" t="str">
        <f t="shared" si="14"/>
        <v>Female</v>
      </c>
      <c r="AF21" s="163">
        <f t="shared" si="25"/>
        <v>0</v>
      </c>
      <c r="AG21" s="163">
        <f t="shared" si="26"/>
        <v>7</v>
      </c>
      <c r="AH21" s="163">
        <f t="shared" si="27"/>
        <v>7</v>
      </c>
      <c r="AJ21" s="165">
        <f t="shared" si="28"/>
        <v>21</v>
      </c>
      <c r="AK21" s="180" t="s">
        <v>49</v>
      </c>
      <c r="AM21" s="179"/>
      <c r="AN21" s="179"/>
      <c r="AP21" s="166">
        <f t="shared" si="15"/>
        <v>7</v>
      </c>
      <c r="AQ21" s="166">
        <f t="shared" si="16"/>
        <v>0</v>
      </c>
      <c r="AR21" s="166">
        <f t="shared" si="17"/>
        <v>0</v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IF($J$1="Active",IF(Salary_Master!B22="","",_xlfn.IFS(Salary_Master!M22="Working",IF(Salary_Master!H22&lt;=DATE(2025,4,30),Salary_Master!B22,""),Salary_Master!M22="Left",IF(Salary_Master!N22&gt;DATE(2025,3,31),Salary_Master!B22,""))),"")</f>
        <v>Sagar Kadam</v>
      </c>
      <c r="C22" s="156">
        <v>31</v>
      </c>
      <c r="D22" s="157">
        <f t="shared" si="18"/>
        <v>27</v>
      </c>
      <c r="E22" s="177">
        <v>4</v>
      </c>
      <c r="F22" s="177"/>
      <c r="G22" s="177"/>
      <c r="H22" s="157">
        <f t="shared" si="0"/>
        <v>31</v>
      </c>
      <c r="I22" s="176"/>
      <c r="J22" s="176"/>
      <c r="K22" s="158" t="str">
        <f t="shared" si="1"/>
        <v>Yes</v>
      </c>
      <c r="L22" s="158" t="str">
        <f t="shared" si="2"/>
        <v>Yes</v>
      </c>
      <c r="M22" s="168"/>
      <c r="N22" s="169">
        <f t="shared" si="3"/>
        <v>10000</v>
      </c>
      <c r="O22" s="170">
        <f t="shared" si="4"/>
        <v>2000</v>
      </c>
      <c r="P22" s="170">
        <f t="shared" si="5"/>
        <v>1600</v>
      </c>
      <c r="Q22" s="170">
        <f t="shared" si="6"/>
        <v>833</v>
      </c>
      <c r="R22" s="170">
        <f t="shared" si="7"/>
        <v>3817</v>
      </c>
      <c r="S22" s="170">
        <f t="shared" si="8"/>
        <v>0</v>
      </c>
      <c r="T22" s="170">
        <f t="shared" si="9"/>
        <v>0</v>
      </c>
      <c r="U22" s="170">
        <f t="shared" si="10"/>
        <v>0</v>
      </c>
      <c r="V22" s="262">
        <f>ROUND(SUM(N22:U22),0)</f>
        <v>18250</v>
      </c>
      <c r="W22" s="160">
        <f t="shared" si="19"/>
        <v>1800</v>
      </c>
      <c r="X22" s="160">
        <f t="shared" si="11"/>
        <v>0</v>
      </c>
      <c r="Y22" s="160">
        <f t="shared" si="20"/>
        <v>137</v>
      </c>
      <c r="Z22" s="160">
        <f t="shared" si="12"/>
        <v>0</v>
      </c>
      <c r="AA22" s="160">
        <f t="shared" si="21"/>
        <v>200</v>
      </c>
      <c r="AB22" s="160">
        <f t="shared" si="22"/>
        <v>0</v>
      </c>
      <c r="AC22" s="160">
        <f t="shared" si="23"/>
        <v>0</v>
      </c>
      <c r="AD22" s="264">
        <f t="shared" si="24"/>
        <v>16113</v>
      </c>
      <c r="AE22" s="207" t="str">
        <f t="shared" si="14"/>
        <v>Male</v>
      </c>
      <c r="AF22" s="163">
        <f t="shared" si="25"/>
        <v>3</v>
      </c>
      <c r="AG22" s="163">
        <f t="shared" si="26"/>
        <v>7</v>
      </c>
      <c r="AH22" s="163">
        <f t="shared" si="27"/>
        <v>7</v>
      </c>
      <c r="AJ22" s="165">
        <f t="shared" si="28"/>
        <v>21</v>
      </c>
      <c r="AK22" s="180" t="s">
        <v>49</v>
      </c>
      <c r="AM22" s="179"/>
      <c r="AN22" s="179"/>
      <c r="AP22" s="166">
        <f t="shared" si="15"/>
        <v>4</v>
      </c>
      <c r="AQ22" s="166">
        <f t="shared" si="16"/>
        <v>0</v>
      </c>
      <c r="AR22" s="166">
        <f t="shared" si="17"/>
        <v>0</v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IF($J$1="Active",IF(Salary_Master!B23="","",_xlfn.IFS(Salary_Master!M23="Working",IF(Salary_Master!H23&lt;=DATE(2025,4,30),Salary_Master!B23,""),Salary_Master!M23="Left",IF(Salary_Master!N23&gt;DATE(2025,3,31),Salary_Master!B23,""))),"")</f>
        <v>Rahul Jadhav</v>
      </c>
      <c r="C23" s="156">
        <v>31</v>
      </c>
      <c r="D23" s="157">
        <f t="shared" si="18"/>
        <v>28.5</v>
      </c>
      <c r="E23" s="177">
        <v>2.5</v>
      </c>
      <c r="F23" s="177"/>
      <c r="G23" s="177"/>
      <c r="H23" s="157">
        <f t="shared" si="0"/>
        <v>31</v>
      </c>
      <c r="I23" s="176"/>
      <c r="J23" s="176"/>
      <c r="K23" s="158" t="str">
        <f t="shared" si="1"/>
        <v>Yes</v>
      </c>
      <c r="L23" s="158" t="str">
        <f t="shared" si="2"/>
        <v>Yes</v>
      </c>
      <c r="M23" s="168"/>
      <c r="N23" s="169">
        <f t="shared" si="3"/>
        <v>10000</v>
      </c>
      <c r="O23" s="170">
        <f t="shared" si="4"/>
        <v>2000</v>
      </c>
      <c r="P23" s="170">
        <f t="shared" si="5"/>
        <v>1600</v>
      </c>
      <c r="Q23" s="170">
        <f t="shared" si="6"/>
        <v>833</v>
      </c>
      <c r="R23" s="170">
        <f t="shared" si="7"/>
        <v>4317</v>
      </c>
      <c r="S23" s="170">
        <f t="shared" si="8"/>
        <v>0</v>
      </c>
      <c r="T23" s="170">
        <f t="shared" si="9"/>
        <v>0</v>
      </c>
      <c r="U23" s="170">
        <f t="shared" si="10"/>
        <v>0</v>
      </c>
      <c r="V23" s="262">
        <f t="shared" si="29"/>
        <v>18750</v>
      </c>
      <c r="W23" s="160">
        <f t="shared" si="19"/>
        <v>1800</v>
      </c>
      <c r="X23" s="160">
        <f t="shared" si="11"/>
        <v>0</v>
      </c>
      <c r="Y23" s="160">
        <f t="shared" si="20"/>
        <v>141</v>
      </c>
      <c r="Z23" s="160">
        <f t="shared" ref="Z23:Z39" si="30">IF(B23="Sagar Kadam",0,IF(B23="Rahul Jadhav",0,ROUND(IF(L23="Yes",V23*3.25%,0),0)))</f>
        <v>0</v>
      </c>
      <c r="AA23" s="160">
        <f t="shared" si="21"/>
        <v>200</v>
      </c>
      <c r="AB23" s="160">
        <f t="shared" si="22"/>
        <v>2000</v>
      </c>
      <c r="AC23" s="160">
        <f t="shared" si="23"/>
        <v>0</v>
      </c>
      <c r="AD23" s="264">
        <f t="shared" si="24"/>
        <v>14609</v>
      </c>
      <c r="AE23" s="207" t="str">
        <f t="shared" si="14"/>
        <v>Male</v>
      </c>
      <c r="AF23" s="163">
        <f t="shared" si="25"/>
        <v>4.5</v>
      </c>
      <c r="AG23" s="163">
        <f t="shared" si="26"/>
        <v>7</v>
      </c>
      <c r="AH23" s="163">
        <f t="shared" si="27"/>
        <v>7</v>
      </c>
      <c r="AJ23" s="165">
        <f t="shared" si="28"/>
        <v>21</v>
      </c>
      <c r="AK23" s="180" t="s">
        <v>49</v>
      </c>
      <c r="AM23" s="179">
        <v>2000</v>
      </c>
      <c r="AN23" s="179"/>
      <c r="AP23" s="166">
        <f t="shared" si="15"/>
        <v>2.5</v>
      </c>
      <c r="AQ23" s="166">
        <f t="shared" si="16"/>
        <v>0</v>
      </c>
      <c r="AR23" s="166">
        <f t="shared" si="17"/>
        <v>0</v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IF($J$1="Active",IF(Salary_Master!B24="","",_xlfn.IFS(Salary_Master!M24="Working",IF(Salary_Master!H24&lt;=DATE(2025,4,30),Salary_Master!B24,""),Salary_Master!M24="Left",IF(Salary_Master!N24&gt;DATE(2025,3,31),Salary_Master!B24,""))),"")</f>
        <v>Yash Ghumre</v>
      </c>
      <c r="C24" s="156">
        <v>31</v>
      </c>
      <c r="D24" s="157">
        <f t="shared" si="18"/>
        <v>26</v>
      </c>
      <c r="E24" s="177">
        <v>5</v>
      </c>
      <c r="F24" s="177"/>
      <c r="G24" s="177"/>
      <c r="H24" s="157">
        <f t="shared" si="0"/>
        <v>31</v>
      </c>
      <c r="I24" s="176"/>
      <c r="J24" s="176">
        <v>17</v>
      </c>
      <c r="K24" s="158" t="str">
        <f t="shared" si="1"/>
        <v>Yes</v>
      </c>
      <c r="L24" s="158" t="str">
        <f t="shared" si="2"/>
        <v>No</v>
      </c>
      <c r="M24" s="168"/>
      <c r="N24" s="169">
        <f t="shared" si="3"/>
        <v>10000</v>
      </c>
      <c r="O24" s="170">
        <f t="shared" si="4"/>
        <v>2000</v>
      </c>
      <c r="P24" s="170">
        <f t="shared" si="5"/>
        <v>1600</v>
      </c>
      <c r="Q24" s="170">
        <f t="shared" si="6"/>
        <v>833</v>
      </c>
      <c r="R24" s="170">
        <f t="shared" si="7"/>
        <v>8967</v>
      </c>
      <c r="S24" s="170">
        <f t="shared" si="8"/>
        <v>1800</v>
      </c>
      <c r="T24" s="170">
        <f t="shared" si="9"/>
        <v>1800</v>
      </c>
      <c r="U24" s="170">
        <f t="shared" si="10"/>
        <v>0</v>
      </c>
      <c r="V24" s="262">
        <f t="shared" si="29"/>
        <v>27000</v>
      </c>
      <c r="W24" s="160">
        <f t="shared" si="19"/>
        <v>1800</v>
      </c>
      <c r="X24" s="160">
        <f t="shared" si="11"/>
        <v>1800</v>
      </c>
      <c r="Y24" s="160">
        <f t="shared" si="20"/>
        <v>0</v>
      </c>
      <c r="Z24" s="160">
        <f t="shared" si="30"/>
        <v>0</v>
      </c>
      <c r="AA24" s="160">
        <f t="shared" si="21"/>
        <v>200</v>
      </c>
      <c r="AB24" s="160">
        <f t="shared" si="22"/>
        <v>0</v>
      </c>
      <c r="AC24" s="160">
        <f t="shared" si="23"/>
        <v>0</v>
      </c>
      <c r="AD24" s="264">
        <f t="shared" si="24"/>
        <v>23200</v>
      </c>
      <c r="AE24" s="207" t="str">
        <f t="shared" si="14"/>
        <v>Male</v>
      </c>
      <c r="AF24" s="163">
        <f t="shared" si="25"/>
        <v>2</v>
      </c>
      <c r="AG24" s="163">
        <f t="shared" si="26"/>
        <v>7</v>
      </c>
      <c r="AH24" s="163">
        <f t="shared" si="27"/>
        <v>7</v>
      </c>
      <c r="AJ24" s="165">
        <f t="shared" si="28"/>
        <v>21</v>
      </c>
      <c r="AK24" s="180" t="s">
        <v>49</v>
      </c>
      <c r="AM24" s="179"/>
      <c r="AN24" s="179"/>
      <c r="AP24" s="166">
        <f t="shared" si="15"/>
        <v>5</v>
      </c>
      <c r="AQ24" s="166">
        <f t="shared" si="16"/>
        <v>0</v>
      </c>
      <c r="AR24" s="166">
        <f t="shared" si="17"/>
        <v>0</v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IF($J$1="Active",IF(Salary_Master!B25="","",_xlfn.IFS(Salary_Master!M25="Working",IF(Salary_Master!H25&lt;=DATE(2025,4,30),Salary_Master!B25,""),Salary_Master!M25="Left",IF(Salary_Master!N25&gt;DATE(2025,3,31),Salary_Master!B25,""))),"")</f>
        <v>Shivraj Mahajan</v>
      </c>
      <c r="C25" s="156">
        <v>31</v>
      </c>
      <c r="D25" s="157">
        <f t="shared" si="18"/>
        <v>31</v>
      </c>
      <c r="E25" s="177"/>
      <c r="F25" s="177"/>
      <c r="G25" s="177"/>
      <c r="H25" s="157">
        <f t="shared" si="0"/>
        <v>31</v>
      </c>
      <c r="I25" s="176"/>
      <c r="J25" s="176"/>
      <c r="K25" s="158" t="str">
        <f t="shared" si="1"/>
        <v>Yes</v>
      </c>
      <c r="L25" s="158" t="str">
        <f t="shared" si="2"/>
        <v>No</v>
      </c>
      <c r="M25" s="168"/>
      <c r="N25" s="169">
        <f t="shared" si="3"/>
        <v>11500</v>
      </c>
      <c r="O25" s="170">
        <f t="shared" si="4"/>
        <v>4600</v>
      </c>
      <c r="P25" s="170">
        <f t="shared" si="5"/>
        <v>1600</v>
      </c>
      <c r="Q25" s="170">
        <f t="shared" si="6"/>
        <v>958</v>
      </c>
      <c r="R25" s="170">
        <f t="shared" si="7"/>
        <v>12742</v>
      </c>
      <c r="S25" s="170">
        <f t="shared" si="8"/>
        <v>1800</v>
      </c>
      <c r="T25" s="170">
        <f t="shared" si="9"/>
        <v>1800</v>
      </c>
      <c r="U25" s="170">
        <f t="shared" si="10"/>
        <v>0</v>
      </c>
      <c r="V25" s="262">
        <f t="shared" si="29"/>
        <v>35000</v>
      </c>
      <c r="W25" s="160">
        <f t="shared" si="19"/>
        <v>1800</v>
      </c>
      <c r="X25" s="160">
        <f t="shared" si="11"/>
        <v>1800</v>
      </c>
      <c r="Y25" s="160">
        <f t="shared" si="20"/>
        <v>0</v>
      </c>
      <c r="Z25" s="160">
        <f t="shared" si="30"/>
        <v>0</v>
      </c>
      <c r="AA25" s="160">
        <f t="shared" si="21"/>
        <v>200</v>
      </c>
      <c r="AB25" s="160">
        <f t="shared" si="22"/>
        <v>0</v>
      </c>
      <c r="AC25" s="160">
        <f t="shared" si="23"/>
        <v>0</v>
      </c>
      <c r="AD25" s="264">
        <f t="shared" si="24"/>
        <v>31200</v>
      </c>
      <c r="AE25" s="207" t="str">
        <f t="shared" si="14"/>
        <v>Male</v>
      </c>
      <c r="AF25" s="163">
        <f t="shared" si="25"/>
        <v>7</v>
      </c>
      <c r="AG25" s="163">
        <f t="shared" si="26"/>
        <v>7</v>
      </c>
      <c r="AH25" s="163">
        <f t="shared" si="27"/>
        <v>7</v>
      </c>
      <c r="AJ25" s="165">
        <f t="shared" si="28"/>
        <v>21</v>
      </c>
      <c r="AK25" s="180" t="s">
        <v>49</v>
      </c>
      <c r="AM25" s="179"/>
      <c r="AN25" s="179"/>
      <c r="AP25" s="166">
        <f t="shared" si="15"/>
        <v>0</v>
      </c>
      <c r="AQ25" s="166">
        <f t="shared" si="16"/>
        <v>0</v>
      </c>
      <c r="AR25" s="166">
        <f t="shared" si="17"/>
        <v>0</v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IF($J$1="Active",IF(Salary_Master!B26="","",_xlfn.IFS(Salary_Master!M26="Working",IF(Salary_Master!H26&lt;=DATE(2025,4,30),Salary_Master!B26,""),Salary_Master!M26="Left",IF(Salary_Master!N26&gt;DATE(2025,3,31),Salary_Master!B26,""))),"")</f>
        <v>Akash Gholap</v>
      </c>
      <c r="C26" s="156">
        <v>31</v>
      </c>
      <c r="D26" s="157">
        <f t="shared" si="18"/>
        <v>30</v>
      </c>
      <c r="E26" s="177">
        <v>1</v>
      </c>
      <c r="F26" s="177"/>
      <c r="G26" s="177"/>
      <c r="H26" s="157">
        <f t="shared" si="0"/>
        <v>31</v>
      </c>
      <c r="I26" s="176"/>
      <c r="J26" s="176"/>
      <c r="K26" s="158" t="str">
        <f t="shared" si="1"/>
        <v>Yes</v>
      </c>
      <c r="L26" s="158" t="str">
        <f t="shared" si="2"/>
        <v>No</v>
      </c>
      <c r="M26" s="171"/>
      <c r="N26" s="169">
        <f t="shared" si="3"/>
        <v>11500</v>
      </c>
      <c r="O26" s="170">
        <f t="shared" si="4"/>
        <v>4600</v>
      </c>
      <c r="P26" s="170">
        <f t="shared" si="5"/>
        <v>1600</v>
      </c>
      <c r="Q26" s="170">
        <f t="shared" si="6"/>
        <v>958</v>
      </c>
      <c r="R26" s="170">
        <f t="shared" si="7"/>
        <v>9542</v>
      </c>
      <c r="S26" s="170">
        <f t="shared" si="8"/>
        <v>1800</v>
      </c>
      <c r="T26" s="170">
        <f t="shared" si="9"/>
        <v>1800</v>
      </c>
      <c r="U26" s="170">
        <f t="shared" si="10"/>
        <v>0</v>
      </c>
      <c r="V26" s="262">
        <f t="shared" si="29"/>
        <v>31800</v>
      </c>
      <c r="W26" s="160">
        <f t="shared" si="19"/>
        <v>1800</v>
      </c>
      <c r="X26" s="160">
        <f t="shared" ref="X26:X39" si="31">IF(B26="Sagar Kadam",0,IF(B26="Rahul Jadhav",0,IF(W26="","",W26)))</f>
        <v>1800</v>
      </c>
      <c r="Y26" s="160">
        <f t="shared" si="20"/>
        <v>0</v>
      </c>
      <c r="Z26" s="160">
        <f t="shared" si="30"/>
        <v>0</v>
      </c>
      <c r="AA26" s="160">
        <f t="shared" si="21"/>
        <v>200</v>
      </c>
      <c r="AB26" s="160">
        <f t="shared" si="22"/>
        <v>0</v>
      </c>
      <c r="AC26" s="160">
        <f t="shared" si="23"/>
        <v>0</v>
      </c>
      <c r="AD26" s="264">
        <f t="shared" si="24"/>
        <v>28000</v>
      </c>
      <c r="AE26" s="207" t="str">
        <f t="shared" si="14"/>
        <v>Male</v>
      </c>
      <c r="AF26" s="163">
        <f t="shared" si="25"/>
        <v>6</v>
      </c>
      <c r="AG26" s="163">
        <f t="shared" si="26"/>
        <v>7</v>
      </c>
      <c r="AH26" s="163">
        <f t="shared" si="27"/>
        <v>7</v>
      </c>
      <c r="AJ26" s="165">
        <f t="shared" si="28"/>
        <v>21</v>
      </c>
      <c r="AK26" s="180" t="s">
        <v>49</v>
      </c>
      <c r="AM26" s="179"/>
      <c r="AN26" s="179"/>
      <c r="AP26" s="166">
        <f t="shared" si="15"/>
        <v>1</v>
      </c>
      <c r="AQ26" s="166">
        <f t="shared" si="16"/>
        <v>0</v>
      </c>
      <c r="AR26" s="166">
        <f t="shared" si="17"/>
        <v>0</v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IF($J$1="Active",IF(Salary_Master!B27="","",_xlfn.IFS(Salary_Master!M27="Working",IF(Salary_Master!H27&lt;=DATE(2025,4,30),Salary_Master!B27,""),Salary_Master!M27="Left",IF(Salary_Master!N27&gt;DATE(2025,3,31),Salary_Master!B27,""))),"")</f>
        <v>Jatin Bhosale</v>
      </c>
      <c r="C27" s="156">
        <v>31</v>
      </c>
      <c r="D27" s="157">
        <f t="shared" si="18"/>
        <v>28.5</v>
      </c>
      <c r="E27" s="177">
        <v>2.5</v>
      </c>
      <c r="F27" s="177"/>
      <c r="G27" s="177"/>
      <c r="H27" s="157">
        <f t="shared" si="0"/>
        <v>31</v>
      </c>
      <c r="I27" s="176"/>
      <c r="J27" s="176"/>
      <c r="K27" s="158" t="str">
        <f t="shared" si="1"/>
        <v>Yes</v>
      </c>
      <c r="L27" s="158" t="str">
        <f t="shared" si="2"/>
        <v>No</v>
      </c>
      <c r="M27" s="168"/>
      <c r="N27" s="169">
        <f t="shared" si="3"/>
        <v>15000</v>
      </c>
      <c r="O27" s="170">
        <f t="shared" si="4"/>
        <v>6000</v>
      </c>
      <c r="P27" s="170">
        <f t="shared" si="5"/>
        <v>1600</v>
      </c>
      <c r="Q27" s="170">
        <f t="shared" si="6"/>
        <v>1250</v>
      </c>
      <c r="R27" s="170">
        <f t="shared" si="7"/>
        <v>47550</v>
      </c>
      <c r="S27" s="170">
        <f t="shared" si="8"/>
        <v>1800</v>
      </c>
      <c r="T27" s="170">
        <f t="shared" si="9"/>
        <v>1800</v>
      </c>
      <c r="U27" s="170">
        <f t="shared" si="10"/>
        <v>0</v>
      </c>
      <c r="V27" s="262">
        <f t="shared" si="29"/>
        <v>75000</v>
      </c>
      <c r="W27" s="160">
        <f t="shared" si="19"/>
        <v>1800</v>
      </c>
      <c r="X27" s="160">
        <f t="shared" si="31"/>
        <v>1800</v>
      </c>
      <c r="Y27" s="160">
        <f t="shared" si="20"/>
        <v>0</v>
      </c>
      <c r="Z27" s="160">
        <f t="shared" si="30"/>
        <v>0</v>
      </c>
      <c r="AA27" s="160">
        <f t="shared" si="21"/>
        <v>200</v>
      </c>
      <c r="AB27" s="160">
        <f t="shared" si="22"/>
        <v>0</v>
      </c>
      <c r="AC27" s="160">
        <f t="shared" si="23"/>
        <v>0</v>
      </c>
      <c r="AD27" s="264">
        <f t="shared" si="24"/>
        <v>71200</v>
      </c>
      <c r="AE27" s="207" t="str">
        <f t="shared" si="14"/>
        <v>Male</v>
      </c>
      <c r="AF27" s="163">
        <f t="shared" si="25"/>
        <v>4.5</v>
      </c>
      <c r="AG27" s="163">
        <f t="shared" si="26"/>
        <v>7</v>
      </c>
      <c r="AH27" s="163">
        <f t="shared" si="27"/>
        <v>7</v>
      </c>
      <c r="AJ27" s="165">
        <f t="shared" si="28"/>
        <v>21</v>
      </c>
      <c r="AK27" s="180" t="s">
        <v>49</v>
      </c>
      <c r="AM27" s="179"/>
      <c r="AN27" s="179"/>
      <c r="AP27" s="166">
        <f t="shared" si="15"/>
        <v>2.5</v>
      </c>
      <c r="AQ27" s="166">
        <f t="shared" si="16"/>
        <v>0</v>
      </c>
      <c r="AR27" s="166">
        <f t="shared" si="17"/>
        <v>0</v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IF($J$1="Active",IF(Salary_Master!B28="","",_xlfn.IFS(Salary_Master!M28="Working",IF(Salary_Master!H28&lt;=DATE(2025,4,30),Salary_Master!B28,""),Salary_Master!M28="Left",IF(Salary_Master!N28&gt;DATE(2025,3,31),Salary_Master!B28,""))),"")</f>
        <v>Pratik Lotankar</v>
      </c>
      <c r="C28" s="156">
        <v>31</v>
      </c>
      <c r="D28" s="157">
        <f t="shared" si="18"/>
        <v>29.5</v>
      </c>
      <c r="E28" s="177">
        <v>1.5</v>
      </c>
      <c r="F28" s="177"/>
      <c r="G28" s="177"/>
      <c r="H28" s="157">
        <f t="shared" si="0"/>
        <v>31</v>
      </c>
      <c r="I28" s="176"/>
      <c r="J28" s="176"/>
      <c r="K28" s="158" t="str">
        <f t="shared" si="1"/>
        <v>Yes</v>
      </c>
      <c r="L28" s="158" t="str">
        <f t="shared" si="2"/>
        <v>No</v>
      </c>
      <c r="M28" s="171"/>
      <c r="N28" s="169">
        <f t="shared" si="3"/>
        <v>15000</v>
      </c>
      <c r="O28" s="170">
        <f t="shared" si="4"/>
        <v>6000</v>
      </c>
      <c r="P28" s="170">
        <f t="shared" si="5"/>
        <v>1600</v>
      </c>
      <c r="Q28" s="170">
        <f t="shared" si="6"/>
        <v>1250</v>
      </c>
      <c r="R28" s="170">
        <f t="shared" si="7"/>
        <v>43550</v>
      </c>
      <c r="S28" s="170">
        <f t="shared" si="8"/>
        <v>1800</v>
      </c>
      <c r="T28" s="170">
        <f t="shared" si="9"/>
        <v>1800</v>
      </c>
      <c r="U28" s="170">
        <f t="shared" si="10"/>
        <v>0</v>
      </c>
      <c r="V28" s="262">
        <f t="shared" si="29"/>
        <v>71000</v>
      </c>
      <c r="W28" s="160">
        <f t="shared" si="19"/>
        <v>1800</v>
      </c>
      <c r="X28" s="160">
        <f t="shared" si="31"/>
        <v>1800</v>
      </c>
      <c r="Y28" s="160">
        <f t="shared" si="20"/>
        <v>0</v>
      </c>
      <c r="Z28" s="160">
        <f t="shared" si="30"/>
        <v>0</v>
      </c>
      <c r="AA28" s="160">
        <f t="shared" si="21"/>
        <v>200</v>
      </c>
      <c r="AB28" s="160">
        <f t="shared" si="22"/>
        <v>0</v>
      </c>
      <c r="AC28" s="160">
        <f t="shared" si="23"/>
        <v>0</v>
      </c>
      <c r="AD28" s="264">
        <f t="shared" si="24"/>
        <v>67200</v>
      </c>
      <c r="AE28" s="207" t="str">
        <f t="shared" si="14"/>
        <v>Male</v>
      </c>
      <c r="AF28" s="163">
        <f t="shared" si="25"/>
        <v>5.5</v>
      </c>
      <c r="AG28" s="163">
        <f t="shared" si="26"/>
        <v>7</v>
      </c>
      <c r="AH28" s="163">
        <f t="shared" si="27"/>
        <v>7</v>
      </c>
      <c r="AJ28" s="165">
        <f t="shared" si="28"/>
        <v>21</v>
      </c>
      <c r="AK28" s="180" t="s">
        <v>49</v>
      </c>
      <c r="AM28" s="179"/>
      <c r="AN28" s="179"/>
      <c r="AP28" s="166">
        <f t="shared" si="15"/>
        <v>1.5</v>
      </c>
      <c r="AQ28" s="166">
        <f t="shared" si="16"/>
        <v>0</v>
      </c>
      <c r="AR28" s="166">
        <f t="shared" si="17"/>
        <v>0</v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IF($J$1="Active",IF(Salary_Master!B29="","",_xlfn.IFS(Salary_Master!M29="Working",IF(Salary_Master!H29&lt;=DATE(2025,4,30),Salary_Master!B29,""),Salary_Master!M29="Left",IF(Salary_Master!N29&gt;DATE(2025,3,31),Salary_Master!B29,""))),"")</f>
        <v>Jyoti Sawant</v>
      </c>
      <c r="C29" s="156">
        <v>31</v>
      </c>
      <c r="D29" s="157">
        <f t="shared" si="18"/>
        <v>28</v>
      </c>
      <c r="E29" s="177">
        <v>3</v>
      </c>
      <c r="F29" s="177"/>
      <c r="G29" s="177"/>
      <c r="H29" s="157">
        <f t="shared" si="0"/>
        <v>31</v>
      </c>
      <c r="I29" s="177"/>
      <c r="J29" s="176"/>
      <c r="K29" s="158" t="str">
        <f t="shared" si="1"/>
        <v>Yes</v>
      </c>
      <c r="L29" s="158" t="str">
        <f t="shared" si="2"/>
        <v>No</v>
      </c>
      <c r="M29" s="168"/>
      <c r="N29" s="169">
        <f t="shared" si="3"/>
        <v>10000</v>
      </c>
      <c r="O29" s="170">
        <f t="shared" si="4"/>
        <v>2000</v>
      </c>
      <c r="P29" s="170">
        <f t="shared" si="5"/>
        <v>1600</v>
      </c>
      <c r="Q29" s="170">
        <f t="shared" si="6"/>
        <v>833</v>
      </c>
      <c r="R29" s="170">
        <f t="shared" si="7"/>
        <v>12967</v>
      </c>
      <c r="S29" s="170">
        <f t="shared" si="8"/>
        <v>1800</v>
      </c>
      <c r="T29" s="170">
        <f t="shared" si="9"/>
        <v>1800</v>
      </c>
      <c r="U29" s="170">
        <f t="shared" si="10"/>
        <v>0</v>
      </c>
      <c r="V29" s="262">
        <f t="shared" si="29"/>
        <v>31000</v>
      </c>
      <c r="W29" s="160">
        <f t="shared" si="19"/>
        <v>1800</v>
      </c>
      <c r="X29" s="160">
        <f t="shared" si="31"/>
        <v>1800</v>
      </c>
      <c r="Y29" s="160">
        <f t="shared" si="20"/>
        <v>0</v>
      </c>
      <c r="Z29" s="160">
        <f t="shared" si="30"/>
        <v>0</v>
      </c>
      <c r="AA29" s="160">
        <f t="shared" si="21"/>
        <v>200</v>
      </c>
      <c r="AB29" s="160">
        <f t="shared" si="22"/>
        <v>0</v>
      </c>
      <c r="AC29" s="160">
        <f t="shared" si="23"/>
        <v>0</v>
      </c>
      <c r="AD29" s="264">
        <f t="shared" si="24"/>
        <v>27200</v>
      </c>
      <c r="AE29" s="207" t="str">
        <f t="shared" si="14"/>
        <v>Female</v>
      </c>
      <c r="AF29" s="163">
        <f t="shared" si="25"/>
        <v>4</v>
      </c>
      <c r="AG29" s="163">
        <f t="shared" si="26"/>
        <v>7</v>
      </c>
      <c r="AH29" s="163">
        <f t="shared" si="27"/>
        <v>7</v>
      </c>
      <c r="AJ29" s="165">
        <f t="shared" si="28"/>
        <v>21</v>
      </c>
      <c r="AK29" s="180" t="s">
        <v>49</v>
      </c>
      <c r="AM29" s="179"/>
      <c r="AN29" s="179"/>
      <c r="AP29" s="166">
        <f t="shared" si="15"/>
        <v>3</v>
      </c>
      <c r="AQ29" s="166">
        <f t="shared" si="16"/>
        <v>0</v>
      </c>
      <c r="AR29" s="166">
        <f t="shared" si="17"/>
        <v>0</v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IF($J$1="Active",IF(Salary_Master!B30="","",_xlfn.IFS(Salary_Master!M30="Working",IF(Salary_Master!H30&lt;=DATE(2025,4,30),Salary_Master!B30,""),Salary_Master!M30="Left",IF(Salary_Master!N30&gt;DATE(2025,3,31),Salary_Master!B30,""))),"")</f>
        <v>Deepu Raj</v>
      </c>
      <c r="C30" s="156">
        <v>31</v>
      </c>
      <c r="D30" s="157">
        <f t="shared" si="18"/>
        <v>31</v>
      </c>
      <c r="E30" s="177"/>
      <c r="F30" s="177"/>
      <c r="G30" s="177"/>
      <c r="H30" s="157">
        <f t="shared" si="0"/>
        <v>31</v>
      </c>
      <c r="I30" s="178"/>
      <c r="J30" s="176">
        <v>0</v>
      </c>
      <c r="K30" s="158" t="str">
        <f t="shared" si="1"/>
        <v>No</v>
      </c>
      <c r="L30" s="158" t="str">
        <f t="shared" si="2"/>
        <v>No</v>
      </c>
      <c r="M30" s="171"/>
      <c r="N30" s="169">
        <f t="shared" si="3"/>
        <v>15000</v>
      </c>
      <c r="O30" s="170">
        <f t="shared" si="4"/>
        <v>6000</v>
      </c>
      <c r="P30" s="170">
        <f t="shared" si="5"/>
        <v>1600</v>
      </c>
      <c r="Q30" s="170">
        <f t="shared" si="6"/>
        <v>1250</v>
      </c>
      <c r="R30" s="170">
        <f t="shared" si="7"/>
        <v>11150</v>
      </c>
      <c r="S30" s="170">
        <f t="shared" si="8"/>
        <v>0</v>
      </c>
      <c r="T30" s="170">
        <f t="shared" si="9"/>
        <v>0</v>
      </c>
      <c r="U30" s="170">
        <f t="shared" si="10"/>
        <v>0</v>
      </c>
      <c r="V30" s="262">
        <f t="shared" si="29"/>
        <v>35000</v>
      </c>
      <c r="W30" s="160">
        <f t="shared" si="19"/>
        <v>0</v>
      </c>
      <c r="X30" s="160">
        <f t="shared" si="31"/>
        <v>0</v>
      </c>
      <c r="Y30" s="160">
        <f t="shared" si="20"/>
        <v>0</v>
      </c>
      <c r="Z30" s="160">
        <f t="shared" si="30"/>
        <v>0</v>
      </c>
      <c r="AA30" s="160">
        <f t="shared" si="21"/>
        <v>200</v>
      </c>
      <c r="AB30" s="160">
        <f t="shared" si="22"/>
        <v>0</v>
      </c>
      <c r="AC30" s="160">
        <f t="shared" si="23"/>
        <v>0</v>
      </c>
      <c r="AD30" s="264">
        <f t="shared" si="24"/>
        <v>34800</v>
      </c>
      <c r="AE30" s="207" t="str">
        <f t="shared" si="14"/>
        <v>Male</v>
      </c>
      <c r="AF30" s="163">
        <f t="shared" si="25"/>
        <v>7</v>
      </c>
      <c r="AG30" s="163">
        <f t="shared" si="26"/>
        <v>7</v>
      </c>
      <c r="AH30" s="163">
        <f t="shared" si="27"/>
        <v>7</v>
      </c>
      <c r="AJ30" s="165">
        <f t="shared" si="28"/>
        <v>21</v>
      </c>
      <c r="AK30" s="180" t="s">
        <v>49</v>
      </c>
      <c r="AM30" s="179"/>
      <c r="AN30" s="179"/>
      <c r="AP30" s="166">
        <f t="shared" si="15"/>
        <v>0</v>
      </c>
      <c r="AQ30" s="166">
        <f t="shared" si="16"/>
        <v>0</v>
      </c>
      <c r="AR30" s="166">
        <f t="shared" si="17"/>
        <v>0</v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IF($J$1="Active",IF(Salary_Master!B31="","",_xlfn.IFS(Salary_Master!M31="Working",IF(Salary_Master!H31&lt;=DATE(2025,4,30),Salary_Master!B31,""),Salary_Master!M31="Left",IF(Salary_Master!N31&gt;DATE(2025,3,31),Salary_Master!B31,""))),"")</f>
        <v xml:space="preserve">Vicky Kumar </v>
      </c>
      <c r="C31" s="156">
        <v>31</v>
      </c>
      <c r="D31" s="157">
        <f t="shared" si="18"/>
        <v>30</v>
      </c>
      <c r="E31" s="177">
        <v>1</v>
      </c>
      <c r="F31" s="177"/>
      <c r="G31" s="177"/>
      <c r="H31" s="157">
        <f t="shared" si="0"/>
        <v>31</v>
      </c>
      <c r="I31" s="178"/>
      <c r="J31" s="176">
        <v>2</v>
      </c>
      <c r="K31" s="158" t="str">
        <f t="shared" si="1"/>
        <v>Yes</v>
      </c>
      <c r="L31" s="158" t="str">
        <f t="shared" si="2"/>
        <v>No</v>
      </c>
      <c r="M31" s="171"/>
      <c r="N31" s="169">
        <f t="shared" si="3"/>
        <v>10000</v>
      </c>
      <c r="O31" s="170">
        <f t="shared" si="4"/>
        <v>2000</v>
      </c>
      <c r="P31" s="170">
        <f t="shared" si="5"/>
        <v>1600</v>
      </c>
      <c r="Q31" s="170">
        <f t="shared" si="6"/>
        <v>833</v>
      </c>
      <c r="R31" s="170">
        <f t="shared" si="7"/>
        <v>4967</v>
      </c>
      <c r="S31" s="170">
        <f t="shared" si="8"/>
        <v>1800</v>
      </c>
      <c r="T31" s="170">
        <f t="shared" si="9"/>
        <v>1800</v>
      </c>
      <c r="U31" s="170">
        <f t="shared" si="10"/>
        <v>0</v>
      </c>
      <c r="V31" s="262">
        <f t="shared" si="29"/>
        <v>23000</v>
      </c>
      <c r="W31" s="160">
        <f t="shared" si="19"/>
        <v>1800</v>
      </c>
      <c r="X31" s="160">
        <f t="shared" si="31"/>
        <v>1800</v>
      </c>
      <c r="Y31" s="160">
        <f t="shared" si="20"/>
        <v>0</v>
      </c>
      <c r="Z31" s="160">
        <f t="shared" si="30"/>
        <v>0</v>
      </c>
      <c r="AA31" s="160">
        <f t="shared" si="21"/>
        <v>200</v>
      </c>
      <c r="AB31" s="160">
        <f t="shared" si="22"/>
        <v>0</v>
      </c>
      <c r="AC31" s="160">
        <f t="shared" si="23"/>
        <v>0</v>
      </c>
      <c r="AD31" s="264">
        <f t="shared" si="24"/>
        <v>19200</v>
      </c>
      <c r="AE31" s="207" t="str">
        <f t="shared" si="14"/>
        <v>Male</v>
      </c>
      <c r="AF31" s="163">
        <f t="shared" si="25"/>
        <v>6</v>
      </c>
      <c r="AG31" s="163">
        <f t="shared" si="26"/>
        <v>7</v>
      </c>
      <c r="AH31" s="163">
        <f t="shared" si="27"/>
        <v>7</v>
      </c>
      <c r="AJ31" s="165">
        <f t="shared" si="28"/>
        <v>21</v>
      </c>
      <c r="AK31" s="180" t="s">
        <v>49</v>
      </c>
      <c r="AM31" s="179"/>
      <c r="AN31" s="179"/>
      <c r="AP31" s="166">
        <f t="shared" si="15"/>
        <v>1</v>
      </c>
      <c r="AQ31" s="166">
        <f t="shared" si="16"/>
        <v>0</v>
      </c>
      <c r="AR31" s="166">
        <f t="shared" si="17"/>
        <v>0</v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IF($J$1="Active",IF(Salary_Master!B32="","",_xlfn.IFS(Salary_Master!M32="Working",IF(Salary_Master!H32&lt;=DATE(2025,4,30),Salary_Master!B32,""),Salary_Master!M32="Left",IF(Salary_Master!N32&gt;DATE(2025,3,31),Salary_Master!B32,""))),"")</f>
        <v>Waman Bandekar</v>
      </c>
      <c r="C32" s="156">
        <v>31</v>
      </c>
      <c r="D32" s="157">
        <f t="shared" si="18"/>
        <v>23</v>
      </c>
      <c r="E32" s="177">
        <v>7</v>
      </c>
      <c r="F32" s="177">
        <v>1</v>
      </c>
      <c r="G32" s="177"/>
      <c r="H32" s="157">
        <f t="shared" si="0"/>
        <v>31</v>
      </c>
      <c r="I32" s="177"/>
      <c r="J32" s="176"/>
      <c r="K32" s="158" t="str">
        <f t="shared" si="1"/>
        <v>Yes</v>
      </c>
      <c r="L32" s="158" t="str">
        <f t="shared" si="2"/>
        <v>Yes</v>
      </c>
      <c r="M32" s="168"/>
      <c r="N32" s="169">
        <f t="shared" si="3"/>
        <v>10000</v>
      </c>
      <c r="O32" s="170">
        <f t="shared" si="4"/>
        <v>2000</v>
      </c>
      <c r="P32" s="170">
        <f t="shared" si="5"/>
        <v>1600</v>
      </c>
      <c r="Q32" s="170">
        <f t="shared" si="6"/>
        <v>833</v>
      </c>
      <c r="R32" s="170">
        <f t="shared" si="7"/>
        <v>1317</v>
      </c>
      <c r="S32" s="170">
        <f t="shared" si="8"/>
        <v>1800</v>
      </c>
      <c r="T32" s="170">
        <f t="shared" si="9"/>
        <v>1800</v>
      </c>
      <c r="U32" s="170">
        <f t="shared" si="10"/>
        <v>650</v>
      </c>
      <c r="V32" s="262">
        <f t="shared" si="29"/>
        <v>20000</v>
      </c>
      <c r="W32" s="160">
        <f t="shared" si="19"/>
        <v>1800</v>
      </c>
      <c r="X32" s="160">
        <f t="shared" si="31"/>
        <v>1800</v>
      </c>
      <c r="Y32" s="160">
        <f t="shared" si="20"/>
        <v>150</v>
      </c>
      <c r="Z32" s="160">
        <f t="shared" si="30"/>
        <v>650</v>
      </c>
      <c r="AA32" s="160">
        <f t="shared" si="21"/>
        <v>200</v>
      </c>
      <c r="AB32" s="160">
        <f t="shared" si="22"/>
        <v>0</v>
      </c>
      <c r="AC32" s="160">
        <f t="shared" si="23"/>
        <v>0</v>
      </c>
      <c r="AD32" s="264">
        <f t="shared" si="24"/>
        <v>15400</v>
      </c>
      <c r="AE32" s="207" t="str">
        <f t="shared" si="14"/>
        <v>Male</v>
      </c>
      <c r="AF32" s="163">
        <f t="shared" si="25"/>
        <v>0</v>
      </c>
      <c r="AG32" s="163">
        <f t="shared" si="26"/>
        <v>6</v>
      </c>
      <c r="AH32" s="163">
        <f t="shared" si="27"/>
        <v>7</v>
      </c>
      <c r="AJ32" s="165">
        <f t="shared" si="28"/>
        <v>21</v>
      </c>
      <c r="AK32" s="180" t="s">
        <v>49</v>
      </c>
      <c r="AM32" s="179"/>
      <c r="AN32" s="179"/>
      <c r="AP32" s="166">
        <f t="shared" si="15"/>
        <v>7</v>
      </c>
      <c r="AQ32" s="166">
        <f t="shared" si="16"/>
        <v>1</v>
      </c>
      <c r="AR32" s="166">
        <f t="shared" si="17"/>
        <v>0</v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IF($J$1="Active",IF(Salary_Master!B33="","",_xlfn.IFS(Salary_Master!M33="Working",IF(Salary_Master!H33&lt;=DATE(2025,4,30),Salary_Master!B33,""),Salary_Master!M33="Left",IF(Salary_Master!N33&gt;DATE(2025,3,31),Salary_Master!B33,""))),"")</f>
        <v/>
      </c>
      <c r="C33" s="156">
        <v>31</v>
      </c>
      <c r="D33" s="157" t="str">
        <f t="shared" si="18"/>
        <v/>
      </c>
      <c r="E33" s="177"/>
      <c r="F33" s="177"/>
      <c r="G33" s="177"/>
      <c r="H33" s="157" t="str">
        <f t="shared" si="0"/>
        <v/>
      </c>
      <c r="I33" s="177"/>
      <c r="J33" s="176"/>
      <c r="K33" s="158" t="str">
        <f t="shared" si="1"/>
        <v/>
      </c>
      <c r="L33" s="158" t="str">
        <f t="shared" si="2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9"/>
        <v>0</v>
      </c>
      <c r="W33" s="160">
        <f t="shared" si="19"/>
        <v>0</v>
      </c>
      <c r="X33" s="160">
        <f t="shared" si="31"/>
        <v>0</v>
      </c>
      <c r="Y33" s="160">
        <f t="shared" si="20"/>
        <v>0</v>
      </c>
      <c r="Z33" s="160">
        <f t="shared" si="30"/>
        <v>0</v>
      </c>
      <c r="AA33" s="160">
        <f t="shared" si="21"/>
        <v>0</v>
      </c>
      <c r="AB33" s="160">
        <f t="shared" si="22"/>
        <v>0</v>
      </c>
      <c r="AC33" s="160">
        <f t="shared" si="23"/>
        <v>0</v>
      </c>
      <c r="AD33" s="264">
        <f t="shared" si="24"/>
        <v>0</v>
      </c>
      <c r="AE33" s="207" t="str">
        <f t="shared" si="14"/>
        <v/>
      </c>
      <c r="AF33" s="163" t="str">
        <f t="shared" si="25"/>
        <v/>
      </c>
      <c r="AG33" s="163" t="str">
        <f t="shared" si="26"/>
        <v/>
      </c>
      <c r="AH33" s="163" t="str">
        <f t="shared" si="27"/>
        <v/>
      </c>
      <c r="AJ33" s="165" t="str">
        <f t="shared" si="28"/>
        <v/>
      </c>
      <c r="AK33" s="180"/>
      <c r="AM33" s="179"/>
      <c r="AN33" s="179"/>
      <c r="AP33" s="166" t="str">
        <f t="shared" si="15"/>
        <v/>
      </c>
      <c r="AQ33" s="166" t="str">
        <f t="shared" si="16"/>
        <v/>
      </c>
      <c r="AR33" s="166" t="str">
        <f t="shared" si="17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IF($J$1="Active",IF(Salary_Master!B34="","",_xlfn.IFS(Salary_Master!M34="Working",IF(Salary_Master!H34&lt;=DATE(2025,4,30),Salary_Master!B34,""),Salary_Master!M34="Left",IF(Salary_Master!N34&gt;DATE(2025,3,31),Salary_Master!B34,""))),"")</f>
        <v/>
      </c>
      <c r="C34" s="156">
        <v>31</v>
      </c>
      <c r="D34" s="157" t="str">
        <f t="shared" si="18"/>
        <v/>
      </c>
      <c r="E34" s="177"/>
      <c r="F34" s="177"/>
      <c r="G34" s="177"/>
      <c r="H34" s="157" t="str">
        <f t="shared" si="0"/>
        <v/>
      </c>
      <c r="I34" s="177"/>
      <c r="J34" s="176"/>
      <c r="K34" s="158" t="str">
        <f t="shared" si="1"/>
        <v/>
      </c>
      <c r="L34" s="158" t="str">
        <f t="shared" si="2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9"/>
        <v>0</v>
      </c>
      <c r="W34" s="160">
        <f t="shared" si="19"/>
        <v>0</v>
      </c>
      <c r="X34" s="160">
        <f t="shared" si="31"/>
        <v>0</v>
      </c>
      <c r="Y34" s="160">
        <f t="shared" si="20"/>
        <v>0</v>
      </c>
      <c r="Z34" s="160">
        <f t="shared" si="30"/>
        <v>0</v>
      </c>
      <c r="AA34" s="160">
        <f t="shared" si="21"/>
        <v>0</v>
      </c>
      <c r="AB34" s="160">
        <f t="shared" si="22"/>
        <v>0</v>
      </c>
      <c r="AC34" s="160">
        <f t="shared" si="23"/>
        <v>0</v>
      </c>
      <c r="AD34" s="264">
        <f t="shared" si="24"/>
        <v>0</v>
      </c>
      <c r="AE34" s="207" t="str">
        <f t="shared" si="14"/>
        <v/>
      </c>
      <c r="AF34" s="163" t="str">
        <f t="shared" si="25"/>
        <v/>
      </c>
      <c r="AG34" s="163" t="str">
        <f t="shared" si="26"/>
        <v/>
      </c>
      <c r="AH34" s="163" t="str">
        <f t="shared" si="27"/>
        <v/>
      </c>
      <c r="AJ34" s="165" t="str">
        <f t="shared" si="28"/>
        <v/>
      </c>
      <c r="AK34" s="180"/>
      <c r="AM34" s="179"/>
      <c r="AN34" s="179"/>
      <c r="AP34" s="166" t="str">
        <f t="shared" si="15"/>
        <v/>
      </c>
      <c r="AQ34" s="166" t="str">
        <f t="shared" si="16"/>
        <v/>
      </c>
      <c r="AR34" s="166" t="str">
        <f t="shared" si="17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IF($J$1="Active",IF(Salary_Master!B35="","",_xlfn.IFS(Salary_Master!M35="Working",IF(Salary_Master!H35&lt;=DATE(2025,4,30),Salary_Master!B35,""),Salary_Master!M35="Left",IF(Salary_Master!N35&gt;DATE(2025,3,31),Salary_Master!B35,""))),"")</f>
        <v/>
      </c>
      <c r="C35" s="156">
        <v>31</v>
      </c>
      <c r="D35" s="157" t="str">
        <f t="shared" si="18"/>
        <v/>
      </c>
      <c r="E35" s="177"/>
      <c r="F35" s="177"/>
      <c r="G35" s="177"/>
      <c r="H35" s="157" t="str">
        <f t="shared" si="0"/>
        <v/>
      </c>
      <c r="I35" s="177"/>
      <c r="J35" s="176"/>
      <c r="K35" s="158" t="str">
        <f t="shared" si="1"/>
        <v/>
      </c>
      <c r="L35" s="158" t="str">
        <f t="shared" si="2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9"/>
        <v>0</v>
      </c>
      <c r="W35" s="160">
        <f t="shared" si="19"/>
        <v>0</v>
      </c>
      <c r="X35" s="160">
        <f t="shared" si="31"/>
        <v>0</v>
      </c>
      <c r="Y35" s="160">
        <f t="shared" si="20"/>
        <v>0</v>
      </c>
      <c r="Z35" s="160">
        <f t="shared" si="30"/>
        <v>0</v>
      </c>
      <c r="AA35" s="160">
        <f t="shared" si="21"/>
        <v>0</v>
      </c>
      <c r="AB35" s="160">
        <f t="shared" si="22"/>
        <v>0</v>
      </c>
      <c r="AC35" s="160">
        <f t="shared" si="23"/>
        <v>0</v>
      </c>
      <c r="AD35" s="264">
        <f t="shared" si="24"/>
        <v>0</v>
      </c>
      <c r="AE35" s="207" t="str">
        <f t="shared" si="14"/>
        <v/>
      </c>
      <c r="AF35" s="163" t="str">
        <f t="shared" si="25"/>
        <v/>
      </c>
      <c r="AG35" s="163" t="str">
        <f t="shared" si="26"/>
        <v/>
      </c>
      <c r="AH35" s="163" t="str">
        <f t="shared" si="27"/>
        <v/>
      </c>
      <c r="AJ35" s="165" t="str">
        <f t="shared" si="28"/>
        <v/>
      </c>
      <c r="AK35" s="180"/>
      <c r="AM35" s="179"/>
      <c r="AN35" s="179"/>
      <c r="AP35" s="166" t="str">
        <f t="shared" si="15"/>
        <v/>
      </c>
      <c r="AQ35" s="166" t="str">
        <f t="shared" si="16"/>
        <v/>
      </c>
      <c r="AR35" s="166" t="str">
        <f t="shared" si="17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IF($J$1="Active",IF(Salary_Master!B36="","",_xlfn.IFS(Salary_Master!M36="Working",IF(Salary_Master!H36&lt;=DATE(2025,4,30),Salary_Master!B36,""),Salary_Master!M36="Left",IF(Salary_Master!N36&gt;DATE(2025,3,31),Salary_Master!B36,""))),"")</f>
        <v/>
      </c>
      <c r="C36" s="156">
        <v>31</v>
      </c>
      <c r="D36" s="157" t="str">
        <f t="shared" si="18"/>
        <v/>
      </c>
      <c r="E36" s="177"/>
      <c r="F36" s="177"/>
      <c r="G36" s="177"/>
      <c r="H36" s="157" t="str">
        <f t="shared" si="0"/>
        <v/>
      </c>
      <c r="I36" s="177"/>
      <c r="J36" s="176"/>
      <c r="K36" s="158" t="str">
        <f t="shared" si="1"/>
        <v/>
      </c>
      <c r="L36" s="158" t="str">
        <f t="shared" si="2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9"/>
        <v>0</v>
      </c>
      <c r="W36" s="160">
        <f t="shared" si="19"/>
        <v>0</v>
      </c>
      <c r="X36" s="160">
        <f t="shared" si="31"/>
        <v>0</v>
      </c>
      <c r="Y36" s="160">
        <f t="shared" si="20"/>
        <v>0</v>
      </c>
      <c r="Z36" s="160">
        <f t="shared" si="30"/>
        <v>0</v>
      </c>
      <c r="AA36" s="160">
        <f t="shared" si="21"/>
        <v>0</v>
      </c>
      <c r="AB36" s="160">
        <f t="shared" si="22"/>
        <v>0</v>
      </c>
      <c r="AC36" s="160">
        <f t="shared" si="23"/>
        <v>0</v>
      </c>
      <c r="AD36" s="264">
        <f t="shared" si="24"/>
        <v>0</v>
      </c>
      <c r="AE36" s="207" t="str">
        <f t="shared" si="14"/>
        <v/>
      </c>
      <c r="AF36" s="163" t="str">
        <f t="shared" si="25"/>
        <v/>
      </c>
      <c r="AG36" s="163" t="str">
        <f t="shared" si="26"/>
        <v/>
      </c>
      <c r="AH36" s="163" t="str">
        <f t="shared" si="27"/>
        <v/>
      </c>
      <c r="AJ36" s="165" t="str">
        <f t="shared" si="28"/>
        <v/>
      </c>
      <c r="AK36" s="180"/>
      <c r="AM36" s="179"/>
      <c r="AN36" s="179"/>
      <c r="AP36" s="166" t="str">
        <f t="shared" si="15"/>
        <v/>
      </c>
      <c r="AQ36" s="166" t="str">
        <f t="shared" si="16"/>
        <v/>
      </c>
      <c r="AR36" s="166" t="str">
        <f t="shared" si="17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IF($J$1="Active",IF(Salary_Master!B37="","",_xlfn.IFS(Salary_Master!M37="Working",IF(Salary_Master!H37&lt;=DATE(2025,4,30),Salary_Master!B37,""),Salary_Master!M37="Left",IF(Salary_Master!N37&gt;DATE(2025,3,31),Salary_Master!B37,""))),"")</f>
        <v/>
      </c>
      <c r="C37" s="156">
        <v>31</v>
      </c>
      <c r="D37" s="157" t="str">
        <f t="shared" si="18"/>
        <v/>
      </c>
      <c r="E37" s="177"/>
      <c r="F37" s="177"/>
      <c r="G37" s="177"/>
      <c r="H37" s="157" t="str">
        <f t="shared" si="0"/>
        <v/>
      </c>
      <c r="I37" s="177"/>
      <c r="J37" s="176"/>
      <c r="K37" s="158" t="str">
        <f t="shared" si="1"/>
        <v/>
      </c>
      <c r="L37" s="158" t="str">
        <f t="shared" si="2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9"/>
        <v>0</v>
      </c>
      <c r="W37" s="160">
        <f t="shared" si="19"/>
        <v>0</v>
      </c>
      <c r="X37" s="160">
        <f t="shared" si="31"/>
        <v>0</v>
      </c>
      <c r="Y37" s="160">
        <f t="shared" si="20"/>
        <v>0</v>
      </c>
      <c r="Z37" s="160">
        <f t="shared" si="30"/>
        <v>0</v>
      </c>
      <c r="AA37" s="160">
        <f t="shared" si="21"/>
        <v>0</v>
      </c>
      <c r="AB37" s="160">
        <f t="shared" si="22"/>
        <v>0</v>
      </c>
      <c r="AC37" s="160">
        <f t="shared" si="23"/>
        <v>0</v>
      </c>
      <c r="AD37" s="264">
        <f t="shared" si="24"/>
        <v>0</v>
      </c>
      <c r="AE37" s="207" t="str">
        <f t="shared" si="14"/>
        <v/>
      </c>
      <c r="AF37" s="163" t="str">
        <f t="shared" si="25"/>
        <v/>
      </c>
      <c r="AG37" s="163" t="str">
        <f t="shared" si="26"/>
        <v/>
      </c>
      <c r="AH37" s="163" t="str">
        <f t="shared" si="27"/>
        <v/>
      </c>
      <c r="AJ37" s="165" t="str">
        <f t="shared" si="28"/>
        <v/>
      </c>
      <c r="AK37" s="180"/>
      <c r="AM37" s="179"/>
      <c r="AN37" s="179"/>
      <c r="AP37" s="166" t="str">
        <f t="shared" si="15"/>
        <v/>
      </c>
      <c r="AQ37" s="166" t="str">
        <f t="shared" si="16"/>
        <v/>
      </c>
      <c r="AR37" s="166" t="str">
        <f t="shared" si="17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IF($J$1="Active",IF(Salary_Master!B38="","",_xlfn.IFS(Salary_Master!M38="Working",IF(Salary_Master!H38&lt;=DATE(2025,4,30),Salary_Master!B38,""),Salary_Master!M38="Left",IF(Salary_Master!N38&gt;DATE(2025,3,31),Salary_Master!B38,""))),"")</f>
        <v/>
      </c>
      <c r="C38" s="156">
        <v>31</v>
      </c>
      <c r="D38" s="157" t="str">
        <f t="shared" si="18"/>
        <v/>
      </c>
      <c r="E38" s="177"/>
      <c r="F38" s="177"/>
      <c r="G38" s="177"/>
      <c r="H38" s="157" t="str">
        <f t="shared" si="0"/>
        <v/>
      </c>
      <c r="I38" s="177"/>
      <c r="J38" s="176"/>
      <c r="K38" s="158" t="str">
        <f t="shared" si="1"/>
        <v/>
      </c>
      <c r="L38" s="158" t="str">
        <f t="shared" si="2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9"/>
        <v>0</v>
      </c>
      <c r="W38" s="160">
        <f t="shared" si="19"/>
        <v>0</v>
      </c>
      <c r="X38" s="160">
        <f t="shared" si="31"/>
        <v>0</v>
      </c>
      <c r="Y38" s="160">
        <f t="shared" si="20"/>
        <v>0</v>
      </c>
      <c r="Z38" s="160">
        <f t="shared" si="30"/>
        <v>0</v>
      </c>
      <c r="AA38" s="160">
        <f t="shared" si="21"/>
        <v>0</v>
      </c>
      <c r="AB38" s="160">
        <f t="shared" si="22"/>
        <v>0</v>
      </c>
      <c r="AC38" s="160">
        <f t="shared" si="23"/>
        <v>0</v>
      </c>
      <c r="AD38" s="264">
        <f t="shared" si="24"/>
        <v>0</v>
      </c>
      <c r="AE38" s="207" t="str">
        <f t="shared" si="14"/>
        <v/>
      </c>
      <c r="AF38" s="163" t="str">
        <f t="shared" si="25"/>
        <v/>
      </c>
      <c r="AG38" s="163" t="str">
        <f t="shared" si="26"/>
        <v/>
      </c>
      <c r="AH38" s="163" t="str">
        <f t="shared" si="27"/>
        <v/>
      </c>
      <c r="AJ38" s="165" t="str">
        <f t="shared" si="28"/>
        <v/>
      </c>
      <c r="AK38" s="180"/>
      <c r="AM38" s="179"/>
      <c r="AN38" s="179"/>
      <c r="AP38" s="166" t="str">
        <f t="shared" si="15"/>
        <v/>
      </c>
      <c r="AQ38" s="166" t="str">
        <f t="shared" si="16"/>
        <v/>
      </c>
      <c r="AR38" s="166" t="str">
        <f t="shared" si="17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IF($J$1="Active",IF(Salary_Master!B39="","",_xlfn.IFS(Salary_Master!M39="Working",IF(Salary_Master!H39&lt;=DATE(2025,4,30),Salary_Master!B39,""),Salary_Master!M39="Left",IF(Salary_Master!N39&gt;DATE(2025,3,31),Salary_Master!B39,""))),"")</f>
        <v/>
      </c>
      <c r="C39" s="156">
        <v>31</v>
      </c>
      <c r="D39" s="157" t="str">
        <f t="shared" si="18"/>
        <v/>
      </c>
      <c r="E39" s="177"/>
      <c r="F39" s="177"/>
      <c r="G39" s="177"/>
      <c r="H39" s="157" t="str">
        <f t="shared" si="0"/>
        <v/>
      </c>
      <c r="I39" s="177"/>
      <c r="J39" s="176"/>
      <c r="K39" s="158" t="str">
        <f t="shared" si="1"/>
        <v/>
      </c>
      <c r="L39" s="158" t="str">
        <f t="shared" si="2"/>
        <v/>
      </c>
      <c r="M39" s="168"/>
      <c r="N39" s="169" t="str">
        <f t="shared" si="3"/>
        <v/>
      </c>
      <c r="O39" s="170" t="str">
        <f t="shared" si="4"/>
        <v/>
      </c>
      <c r="P39" s="170" t="str">
        <f t="shared" si="5"/>
        <v/>
      </c>
      <c r="Q39" s="170" t="str">
        <f t="shared" si="6"/>
        <v/>
      </c>
      <c r="R39" s="170" t="str">
        <f t="shared" si="7"/>
        <v/>
      </c>
      <c r="S39" s="170" t="str">
        <f t="shared" si="8"/>
        <v/>
      </c>
      <c r="T39" s="170" t="str">
        <f t="shared" si="9"/>
        <v/>
      </c>
      <c r="U39" s="170" t="str">
        <f t="shared" si="10"/>
        <v/>
      </c>
      <c r="V39" s="262">
        <f t="shared" si="29"/>
        <v>0</v>
      </c>
      <c r="W39" s="297">
        <f t="shared" si="19"/>
        <v>0</v>
      </c>
      <c r="X39" s="160">
        <f t="shared" si="31"/>
        <v>0</v>
      </c>
      <c r="Y39" s="297">
        <f t="shared" si="20"/>
        <v>0</v>
      </c>
      <c r="Z39" s="160">
        <f t="shared" si="30"/>
        <v>0</v>
      </c>
      <c r="AA39" s="297">
        <f t="shared" si="21"/>
        <v>0</v>
      </c>
      <c r="AB39" s="297">
        <f t="shared" si="22"/>
        <v>0</v>
      </c>
      <c r="AC39" s="297">
        <f t="shared" si="23"/>
        <v>0</v>
      </c>
      <c r="AD39" s="264">
        <f t="shared" si="24"/>
        <v>0</v>
      </c>
      <c r="AE39" s="300" t="str">
        <f t="shared" si="14"/>
        <v/>
      </c>
      <c r="AF39" s="286" t="str">
        <f t="shared" si="25"/>
        <v/>
      </c>
      <c r="AG39" s="286" t="str">
        <f t="shared" si="26"/>
        <v/>
      </c>
      <c r="AH39" s="286" t="str">
        <f t="shared" si="27"/>
        <v/>
      </c>
      <c r="AI39" s="301"/>
      <c r="AJ39" s="302" t="str">
        <f t="shared" si="28"/>
        <v/>
      </c>
      <c r="AK39" s="288"/>
      <c r="AM39" s="179"/>
      <c r="AN39" s="179"/>
      <c r="AP39" s="166" t="str">
        <f t="shared" si="15"/>
        <v/>
      </c>
      <c r="AQ39" s="166" t="str">
        <f t="shared" si="16"/>
        <v/>
      </c>
      <c r="AR39" s="166" t="str">
        <f t="shared" si="17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 t="shared" ref="V40:AD40" si="32">SUM(V5:V39)</f>
        <v>1167918</v>
      </c>
      <c r="W40" s="183">
        <f t="shared" si="32"/>
        <v>25148</v>
      </c>
      <c r="X40" s="183">
        <f t="shared" si="32"/>
        <v>21548</v>
      </c>
      <c r="Y40" s="183">
        <f t="shared" si="32"/>
        <v>428</v>
      </c>
      <c r="Z40" s="183">
        <f t="shared" si="32"/>
        <v>650</v>
      </c>
      <c r="AA40" s="183">
        <f t="shared" si="32"/>
        <v>5400</v>
      </c>
      <c r="AB40" s="183">
        <f t="shared" si="32"/>
        <v>12000</v>
      </c>
      <c r="AC40" s="183">
        <f t="shared" si="32"/>
        <v>0</v>
      </c>
      <c r="AD40" s="183">
        <f t="shared" si="32"/>
        <v>1102744</v>
      </c>
      <c r="AE40" s="299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sheetProtection algorithmName="SHA-512" hashValue="LmRDLlApeQuJGqE+ez4zTqnEr/oZyX6xzXIo0IQlhsUf5+PFtV2GB7gFvdCv7KKmEPisGrTfRV5QVzy5D7w4Ew==" saltValue="IgyRdgKd9/C6Y5gt2LucBg==" spinCount="100000" sheet="1" objects="1" scenarios="1"/>
  <mergeCells count="3">
    <mergeCell ref="J1:K1"/>
    <mergeCell ref="AP2:AR2"/>
    <mergeCell ref="A40:U40"/>
  </mergeCells>
  <conditionalFormatting sqref="H5:H39">
    <cfRule type="cellIs" dxfId="35" priority="2" operator="greaterThan">
      <formula>32</formula>
    </cfRule>
    <cfRule type="cellIs" dxfId="34" priority="3" operator="greaterThan">
      <formula>31</formula>
    </cfRule>
  </conditionalFormatting>
  <conditionalFormatting sqref="H5:H39">
    <cfRule type="cellIs" dxfId="33" priority="1" operator="greaterThan">
      <formula>32</formula>
    </cfRule>
  </conditionalFormatting>
  <dataValidations count="8">
    <dataValidation type="list" allowBlank="1" showInputMessage="1" showErrorMessage="1" sqref="J1:K1" xr:uid="{759A3ADE-8C28-4EC2-BE77-FAA0FDA3F9F0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G35:G39" xr:uid="{5F3DAB87-1AC7-446E-9C90-FDFEB541A532}">
      <formula1>$AR35&lt;=7</formula1>
    </dataValidation>
    <dataValidation type="list" allowBlank="1" showInputMessage="1" showErrorMessage="1" sqref="M5:M39 AL40 AK5:AK39" xr:uid="{4CBF74ED-EE2D-49D7-A4C0-7FBB059096AD}">
      <formula1>"Yes,No"</formula1>
    </dataValidation>
    <dataValidation type="list" allowBlank="1" sqref="K5:L39" xr:uid="{804ED92C-FA97-4D17-97EE-8174C5025DCE}">
      <formula1>"Yes,No"</formula1>
    </dataValidation>
    <dataValidation type="custom" allowBlank="1" showInputMessage="1" showErrorMessage="1" errorTitle="Below Limit !!!" error="Total leaves are going negative if this value is entered. Try to enter less value." sqref="E35:E39 G5:G34" xr:uid="{3687ACB4-A1B4-4D3F-AE4C-97E050C3CC6B}">
      <formula1>$AP5&lt;=7</formula1>
    </dataValidation>
    <dataValidation type="custom" allowBlank="1" showInputMessage="1" showErrorMessage="1" errorTitle="Below Limit !!!" error="Total leaves are going negative if this value is entered. Try to enter less value." sqref="F35:F39" xr:uid="{462F50B7-E12D-4B92-81A8-B417AA05FBE2}">
      <formula1>$AQ35&lt;=7</formula1>
    </dataValidation>
    <dataValidation type="custom" allowBlank="1" showInputMessage="1" showErrorMessage="1" errorTitle="Below Limit !!!" error="Total leaves are going negative if this value is entered. Try to enter less value." sqref="F5:F34" xr:uid="{78736E7F-030A-42B5-A4A3-2E8BE2EFA790}">
      <formula1>$AO5&lt;=7</formula1>
    </dataValidation>
    <dataValidation type="custom" allowBlank="1" showInputMessage="1" showErrorMessage="1" errorTitle="Below Limit !!!" error="Total leaves are going negative if this value is entered. Try to enter less value." sqref="E5:E34" xr:uid="{8AF7E2A4-046D-4B90-8383-98C47C68B33E}">
      <formula1>$AN5&lt;=7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0728-8AE1-4061-B699-22E452BF9207}">
  <sheetPr codeName="Sheet31">
    <tabColor rgb="FF92D050"/>
  </sheetPr>
  <dimension ref="A1:AT40"/>
  <sheetViews>
    <sheetView workbookViewId="0">
      <pane xSplit="13" ySplit="4" topLeftCell="AB5" activePane="bottomRight" state="frozen"/>
      <selection activeCell="M36" sqref="M36"/>
      <selection pane="topRight" activeCell="M36" sqref="M36"/>
      <selection pane="bottomLeft" activeCell="M36" sqref="M36"/>
      <selection pane="bottomRight" activeCell="G5" sqref="G5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3320312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.33203125" style="133" bestFit="1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9.6640625" style="135" bestFit="1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99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199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IF($J$1="Active",IF(Salary_Master!B5="","",_xlfn.IFS(Salary_Master!M5="Working",IF(Salary_Master!H5&lt;=DATE(2025,5,31),Salary_Master!B5,""),Salary_Master!M5="Left",IF(Salary_Master!N5&gt;DATE(2025,4,30),Salary_Master!B5,""))),"")</f>
        <v>Munna Prasad Vishwakarma</v>
      </c>
      <c r="C5" s="156">
        <v>31</v>
      </c>
      <c r="D5" s="157">
        <f>IF($J$1="Active",IF(B5="","",C5-SUM(E5:G5)-I5),"")</f>
        <v>21</v>
      </c>
      <c r="E5" s="175">
        <v>7</v>
      </c>
      <c r="F5" s="175">
        <v>1</v>
      </c>
      <c r="G5" s="175">
        <v>2</v>
      </c>
      <c r="H5" s="157">
        <f t="shared" ref="H5" si="0">IF(SUM(D5:G5)=0,"",SUM(D5:G5))</f>
        <v>31</v>
      </c>
      <c r="I5" s="176"/>
      <c r="J5" s="176">
        <v>0</v>
      </c>
      <c r="K5" s="158" t="str">
        <f t="shared" ref="K5" si="1">IF($J$1="Active",IF(B5="","",VLOOKUP(B5,Salary_Master,14,FALSE)),"")</f>
        <v>No</v>
      </c>
      <c r="L5" s="158" t="str">
        <f t="shared" ref="L5" si="2">IF($J$1="Active",IF(B5="","",VLOOKUP(B5,Salary_Master,15,FALSE)),"")</f>
        <v>No</v>
      </c>
      <c r="M5" s="159"/>
      <c r="N5" s="169">
        <f t="shared" ref="N5:N39" si="3">IFERROR(ROUND(IF($B5="","",SUM(VLOOKUP($B5,Salary_Master,17,FALSE)/31*$H5)),0),"")</f>
        <v>20000</v>
      </c>
      <c r="O5" s="170">
        <f t="shared" ref="O5:O39" si="4">IFERROR(ROUND(IF($B5="","",SUM(VLOOKUP($B5,Salary_Master,18,FALSE)/31*$H5)),0),"")</f>
        <v>10000</v>
      </c>
      <c r="P5" s="170">
        <f t="shared" ref="P5:P39" si="5">IFERROR(ROUND(IF($B5="","",SUM(VLOOKUP($B5,Salary_Master,19,FALSE)/31*$H5)),0),"")</f>
        <v>1600</v>
      </c>
      <c r="Q5" s="170">
        <f t="shared" ref="Q5:Q39" si="6">IFERROR(ROUND(IF($B5="","",SUM(VLOOKUP($B5,Salary_Master,20,FALSE)/31*$H5)),0),"")</f>
        <v>1667</v>
      </c>
      <c r="R5" s="170">
        <f t="shared" ref="R5:R39" si="7">IFERROR(ROUND(IF($B5="","",SUM(VLOOKUP($B5,Salary_Master,21,FALSE)/31*$H5)),0),"")</f>
        <v>40733</v>
      </c>
      <c r="S5" s="170">
        <f t="shared" ref="S5:S39" si="8">IFERROR(ROUND(IF($B5="","",SUM(VLOOKUP($B5,Salary_Master,22,FALSE)/31*$H5)),0),"")</f>
        <v>0</v>
      </c>
      <c r="T5" s="170">
        <f t="shared" ref="T5:T39" si="9">IFERROR(ROUND(IF($B5="","",SUM(VLOOKUP($B5,Salary_Master,23,FALSE)/31*$H5)),0),"")</f>
        <v>0</v>
      </c>
      <c r="U5" s="170">
        <f t="shared" ref="U5:U39" si="10">IFERROR(ROUND(IF($B5="","",SUM(VLOOKUP($B5,Salary_Master,24,FALSE)/31*$H5)),0),"")</f>
        <v>0</v>
      </c>
      <c r="V5" s="261">
        <f>ROUND(SUM(N5:U5),0)</f>
        <v>74000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200</v>
      </c>
      <c r="AB5" s="161">
        <f>AM5</f>
        <v>0</v>
      </c>
      <c r="AC5" s="161">
        <f>AN5</f>
        <v>0</v>
      </c>
      <c r="AD5" s="264">
        <f>ROUND(V5-SUM(W5:AC5),0)</f>
        <v>73800</v>
      </c>
      <c r="AE5" s="303" t="str">
        <f t="shared" ref="AE5" si="13">IF(B5="","",VLOOKUP(B5,Salary_Master,8,FALSE))</f>
        <v>Male</v>
      </c>
      <c r="AF5" s="164">
        <f t="shared" ref="AF5:AF39" si="14">IF(VLOOKUP($B5,Aprr25,36,FALSE)="No",IF($AK5="Yes",MROUND($AJ5/3,0.5)-$E5,""),IF(VLOOKUP($B5,Aprr25,36,FALSE)="Yes",(VLOOKUP($B5,Aprr25,31,FALSE)-$E5),""))</f>
        <v>0</v>
      </c>
      <c r="AG5" s="164">
        <f t="shared" ref="AG5:AG39" si="15">IF(VLOOKUP($B5,Aprr25,36,FALSE)="No",IF($AK5="Yes",MROUND($AJ5/3,0.5)-$F5,""),IF(VLOOKUP($B5,Aprr25,36,FALSE)="Yes",(VLOOKUP($B5,Aprr25,32,FALSE)-$F5),""))</f>
        <v>0</v>
      </c>
      <c r="AH5" s="164">
        <f t="shared" ref="AH5:AH39" si="16">IF(VLOOKUP($B5,Aprr25,36,FALSE)="No",IF($AK5="Yes",($AJ5-(AF5+AG5)-(E5+F5))-$G5,""),IF(VLOOKUP($B5,Aprr25,36,FALSE)="Yes",(VLOOKUP($B5,Aprr25,33,FALSE)-$G5),""))</f>
        <v>5</v>
      </c>
      <c r="AJ5" s="165" t="str">
        <f t="shared" ref="AJ5:AJ39" si="17">IF(AK5="Yes",IF(VLOOKUP($B5,Aprr25,36,FALSE)="No",MROUND(SUM(21/12*11),0.5),""),"")</f>
        <v/>
      </c>
      <c r="AK5" s="180" t="str">
        <f t="shared" ref="AK5:AK39" si="18">IF($B5="","",VLOOKUP($B5,Aprr25,36,FALSE))</f>
        <v>Yes</v>
      </c>
      <c r="AM5" s="179"/>
      <c r="AN5" s="179"/>
      <c r="AP5" s="166">
        <f>IFERROR(IF($B5="","",(VLOOKUP($B5,Aprr25,4,FALSE)+VLOOKUP($B5,Mayy25,4,FALSE))),0)</f>
        <v>7</v>
      </c>
      <c r="AQ5" s="166">
        <f t="shared" ref="AQ5:AQ39" si="19">IFERROR(IF($B5="","",(VLOOKUP($B5,Aprr25,5,FALSE)+VLOOKUP($B5,Mayy25,5,FALSE))),0)</f>
        <v>7</v>
      </c>
      <c r="AR5" s="166">
        <f t="shared" ref="AR5:AR39" si="20">IFERROR(IF($B5="","",(VLOOKUP($B5,Aprr25,6,FALSE)+VLOOKUP($B5,Mayy25,6,FALSE))),0)</f>
        <v>2</v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IF($J$1="Active",IF(Salary_Master!B6="","",_xlfn.IFS(Salary_Master!M6="Working",IF(Salary_Master!H6&lt;=DATE(2025,5,31),Salary_Master!B6,""),Salary_Master!M6="Left",IF(Salary_Master!N6&gt;DATE(2025,4,30),Salary_Master!B6,""))),"")</f>
        <v>Ramesh Poojari</v>
      </c>
      <c r="C6" s="304">
        <v>31</v>
      </c>
      <c r="D6" s="305">
        <f t="shared" ref="D6:D39" si="21">IF($J$1="Active",IF(B6="","",C6-SUM(E6:G6)-I6),"")</f>
        <v>25.5</v>
      </c>
      <c r="E6" s="177">
        <v>5.5</v>
      </c>
      <c r="F6" s="177"/>
      <c r="G6" s="177"/>
      <c r="H6" s="305">
        <f t="shared" ref="H6:H39" si="22">IF(SUM(D6:G6)=0,"",SUM(D6:G6))</f>
        <v>31</v>
      </c>
      <c r="I6" s="177"/>
      <c r="J6" s="177">
        <v>0</v>
      </c>
      <c r="K6" s="306" t="str">
        <f t="shared" ref="K6:K39" si="23">IF($J$1="Active",IF(B6="","",VLOOKUP(B6,Salary_Master,14,FALSE)),"")</f>
        <v>No</v>
      </c>
      <c r="L6" s="306" t="str">
        <f t="shared" ref="L6:L39" si="24">IF($J$1="Active",IF(B6="","",VLOOKUP(B6,Salary_Master,15,FALSE)),"")</f>
        <v>No</v>
      </c>
      <c r="M6" s="168"/>
      <c r="N6" s="169">
        <f t="shared" si="3"/>
        <v>11500</v>
      </c>
      <c r="O6" s="170">
        <f t="shared" si="4"/>
        <v>4600</v>
      </c>
      <c r="P6" s="170">
        <f t="shared" si="5"/>
        <v>1600</v>
      </c>
      <c r="Q6" s="170">
        <f t="shared" si="6"/>
        <v>958</v>
      </c>
      <c r="R6" s="170">
        <f t="shared" si="7"/>
        <v>16842</v>
      </c>
      <c r="S6" s="170">
        <f t="shared" si="8"/>
        <v>0</v>
      </c>
      <c r="T6" s="170">
        <f t="shared" si="9"/>
        <v>0</v>
      </c>
      <c r="U6" s="170">
        <f t="shared" si="10"/>
        <v>0</v>
      </c>
      <c r="V6" s="262">
        <f t="shared" ref="V6:V39" si="25">ROUND(SUM(N6:U6),0)</f>
        <v>35500</v>
      </c>
      <c r="W6" s="160">
        <f t="shared" ref="W6:W39" si="26">IFERROR(ROUND(IF(K6="Yes",IF((V6-O6)&gt;15000,1800,SUM(V6-O6)*12%),),),"")</f>
        <v>0</v>
      </c>
      <c r="X6" s="160">
        <f t="shared" ref="X6:X39" si="27">IF(B6="Sagar Kadam",0,IF(B6="Rahul Jadhav",0,IF(W6="","",W6)))</f>
        <v>0</v>
      </c>
      <c r="Y6" s="160">
        <f t="shared" ref="Y6:Y39" si="28">ROUND(IF(L6="Yes",V6*0.75%,0),0)</f>
        <v>0</v>
      </c>
      <c r="Z6" s="160">
        <f t="shared" ref="Z6:Z39" si="29">IF(B6="Sagar Kadam",0,IF(B6="Rahul Jadhav",0,ROUND(IF(L6="Yes",V6*3.25%,0),0)))</f>
        <v>0</v>
      </c>
      <c r="AA6" s="160">
        <f t="shared" ref="AA6:AA39" si="30">IF(AE6="Female",IF(V6&gt;24999,200,0),IF(V6&gt;7500,200,0))</f>
        <v>200</v>
      </c>
      <c r="AB6" s="160">
        <f t="shared" ref="AB6:AB39" si="31">AM6</f>
        <v>0</v>
      </c>
      <c r="AC6" s="160">
        <f t="shared" ref="AC6:AC39" si="32">AN6</f>
        <v>0</v>
      </c>
      <c r="AD6" s="307">
        <f t="shared" ref="AD6:AD39" si="33">ROUND(V6-SUM(W6:AC6),0)</f>
        <v>35300</v>
      </c>
      <c r="AE6" s="308" t="str">
        <f t="shared" ref="AE6:AE39" si="34">IF(B6="","",VLOOKUP(B6,Salary_Master,8,FALSE))</f>
        <v>Male</v>
      </c>
      <c r="AF6" s="258">
        <f t="shared" si="14"/>
        <v>1.5</v>
      </c>
      <c r="AG6" s="258">
        <f t="shared" si="15"/>
        <v>7</v>
      </c>
      <c r="AH6" s="258">
        <f t="shared" si="16"/>
        <v>7</v>
      </c>
      <c r="AJ6" s="165" t="str">
        <f t="shared" si="17"/>
        <v/>
      </c>
      <c r="AK6" s="180" t="str">
        <f t="shared" si="18"/>
        <v>Yes</v>
      </c>
      <c r="AM6" s="179"/>
      <c r="AN6" s="179"/>
      <c r="AP6" s="166">
        <f t="shared" ref="AP6:AP39" si="35">IFERROR(IF($B6="","",(VLOOKUP($B6,Aprr25,4,FALSE)+VLOOKUP($B6,Mayy25,4,FALSE))),0)</f>
        <v>5.5</v>
      </c>
      <c r="AQ6" s="166">
        <f t="shared" si="19"/>
        <v>0</v>
      </c>
      <c r="AR6" s="166">
        <f t="shared" si="20"/>
        <v>0</v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IF($J$1="Active",IF(Salary_Master!B7="","",_xlfn.IFS(Salary_Master!M7="Working",IF(Salary_Master!H7&lt;=DATE(2025,5,31),Salary_Master!B7,""),Salary_Master!M7="Left",IF(Salary_Master!N7&gt;DATE(2025,4,30),Salary_Master!B7,""))),"")</f>
        <v>Rajan Fernandes</v>
      </c>
      <c r="C7" s="304">
        <v>31</v>
      </c>
      <c r="D7" s="305">
        <f t="shared" si="21"/>
        <v>27</v>
      </c>
      <c r="E7" s="177">
        <v>4</v>
      </c>
      <c r="F7" s="177"/>
      <c r="G7" s="177"/>
      <c r="H7" s="305">
        <f t="shared" si="22"/>
        <v>31</v>
      </c>
      <c r="I7" s="177"/>
      <c r="J7" s="177">
        <v>0</v>
      </c>
      <c r="K7" s="306" t="str">
        <f t="shared" si="23"/>
        <v>No</v>
      </c>
      <c r="L7" s="306" t="str">
        <f t="shared" si="24"/>
        <v>No</v>
      </c>
      <c r="M7" s="168"/>
      <c r="N7" s="169">
        <f t="shared" si="3"/>
        <v>20000</v>
      </c>
      <c r="O7" s="170">
        <f t="shared" si="4"/>
        <v>10000</v>
      </c>
      <c r="P7" s="170">
        <f t="shared" si="5"/>
        <v>1600</v>
      </c>
      <c r="Q7" s="170">
        <f t="shared" si="6"/>
        <v>1667</v>
      </c>
      <c r="R7" s="170">
        <f t="shared" si="7"/>
        <v>24233</v>
      </c>
      <c r="S7" s="170">
        <f t="shared" si="8"/>
        <v>0</v>
      </c>
      <c r="T7" s="170">
        <f t="shared" si="9"/>
        <v>0</v>
      </c>
      <c r="U7" s="170">
        <f t="shared" si="10"/>
        <v>0</v>
      </c>
      <c r="V7" s="262">
        <f t="shared" si="25"/>
        <v>57500</v>
      </c>
      <c r="W7" s="160">
        <f t="shared" si="26"/>
        <v>0</v>
      </c>
      <c r="X7" s="160">
        <f t="shared" si="27"/>
        <v>0</v>
      </c>
      <c r="Y7" s="160">
        <f t="shared" si="28"/>
        <v>0</v>
      </c>
      <c r="Z7" s="160">
        <f t="shared" si="29"/>
        <v>0</v>
      </c>
      <c r="AA7" s="160">
        <f t="shared" si="30"/>
        <v>200</v>
      </c>
      <c r="AB7" s="160">
        <f t="shared" si="31"/>
        <v>0</v>
      </c>
      <c r="AC7" s="160">
        <f t="shared" si="32"/>
        <v>0</v>
      </c>
      <c r="AD7" s="307">
        <f t="shared" si="33"/>
        <v>57300</v>
      </c>
      <c r="AE7" s="308" t="str">
        <f t="shared" si="34"/>
        <v>Male</v>
      </c>
      <c r="AF7" s="163">
        <f t="shared" si="14"/>
        <v>0</v>
      </c>
      <c r="AG7" s="163">
        <f t="shared" si="15"/>
        <v>7</v>
      </c>
      <c r="AH7" s="163">
        <f t="shared" si="16"/>
        <v>7</v>
      </c>
      <c r="AJ7" s="165" t="str">
        <f t="shared" si="17"/>
        <v/>
      </c>
      <c r="AK7" s="180" t="str">
        <f t="shared" si="18"/>
        <v>Yes</v>
      </c>
      <c r="AM7" s="179"/>
      <c r="AN7" s="179"/>
      <c r="AP7" s="166">
        <f t="shared" si="35"/>
        <v>7</v>
      </c>
      <c r="AQ7" s="166">
        <f t="shared" si="19"/>
        <v>0</v>
      </c>
      <c r="AR7" s="166">
        <f t="shared" si="20"/>
        <v>0</v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IF($J$1="Active",IF(Salary_Master!B8="","",_xlfn.IFS(Salary_Master!M8="Working",IF(Salary_Master!H8&lt;=DATE(2025,5,31),Salary_Master!B8,""),Salary_Master!M8="Left",IF(Salary_Master!N8&gt;DATE(2025,4,30),Salary_Master!B8,""))),"")</f>
        <v>Sanjay Jadhav</v>
      </c>
      <c r="C8" s="304">
        <v>31</v>
      </c>
      <c r="D8" s="305">
        <f t="shared" si="21"/>
        <v>19</v>
      </c>
      <c r="E8" s="177">
        <v>5</v>
      </c>
      <c r="F8" s="177">
        <v>7</v>
      </c>
      <c r="G8" s="177"/>
      <c r="H8" s="305">
        <f t="shared" si="22"/>
        <v>31</v>
      </c>
      <c r="I8" s="177"/>
      <c r="J8" s="177">
        <v>3</v>
      </c>
      <c r="K8" s="306" t="str">
        <f t="shared" si="23"/>
        <v>Yes</v>
      </c>
      <c r="L8" s="306" t="str">
        <f t="shared" si="24"/>
        <v>No</v>
      </c>
      <c r="M8" s="168"/>
      <c r="N8" s="169">
        <f t="shared" si="3"/>
        <v>11500</v>
      </c>
      <c r="O8" s="170">
        <f t="shared" si="4"/>
        <v>4600</v>
      </c>
      <c r="P8" s="170">
        <f t="shared" si="5"/>
        <v>1600</v>
      </c>
      <c r="Q8" s="170">
        <f t="shared" si="6"/>
        <v>958</v>
      </c>
      <c r="R8" s="170">
        <f t="shared" si="7"/>
        <v>4742</v>
      </c>
      <c r="S8" s="170">
        <f t="shared" si="8"/>
        <v>1800</v>
      </c>
      <c r="T8" s="170">
        <f t="shared" si="9"/>
        <v>1800</v>
      </c>
      <c r="U8" s="170">
        <f t="shared" si="10"/>
        <v>0</v>
      </c>
      <c r="V8" s="262">
        <f t="shared" si="25"/>
        <v>27000</v>
      </c>
      <c r="W8" s="160">
        <f t="shared" si="26"/>
        <v>1800</v>
      </c>
      <c r="X8" s="160">
        <f t="shared" si="27"/>
        <v>1800</v>
      </c>
      <c r="Y8" s="160">
        <f t="shared" si="28"/>
        <v>0</v>
      </c>
      <c r="Z8" s="160">
        <f t="shared" si="29"/>
        <v>0</v>
      </c>
      <c r="AA8" s="160">
        <f t="shared" si="30"/>
        <v>200</v>
      </c>
      <c r="AB8" s="160">
        <f t="shared" si="31"/>
        <v>0</v>
      </c>
      <c r="AC8" s="160">
        <f t="shared" si="32"/>
        <v>0</v>
      </c>
      <c r="AD8" s="307">
        <f t="shared" si="33"/>
        <v>23200</v>
      </c>
      <c r="AE8" s="308" t="str">
        <f t="shared" si="34"/>
        <v>Male</v>
      </c>
      <c r="AF8" s="163">
        <f t="shared" si="14"/>
        <v>0</v>
      </c>
      <c r="AG8" s="163">
        <f t="shared" si="15"/>
        <v>0</v>
      </c>
      <c r="AH8" s="163">
        <f t="shared" si="16"/>
        <v>7</v>
      </c>
      <c r="AJ8" s="165" t="str">
        <f t="shared" si="17"/>
        <v/>
      </c>
      <c r="AK8" s="180" t="str">
        <f t="shared" si="18"/>
        <v>Yes</v>
      </c>
      <c r="AM8" s="179"/>
      <c r="AN8" s="179"/>
      <c r="AP8" s="166">
        <f t="shared" si="35"/>
        <v>7</v>
      </c>
      <c r="AQ8" s="166">
        <f t="shared" si="19"/>
        <v>7</v>
      </c>
      <c r="AR8" s="166">
        <f t="shared" si="20"/>
        <v>0</v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IF($J$1="Active",IF(Salary_Master!B9="","",_xlfn.IFS(Salary_Master!M9="Working",IF(Salary_Master!H9&lt;=DATE(2025,5,31),Salary_Master!B9,""),Salary_Master!M9="Left",IF(Salary_Master!N9&gt;DATE(2025,4,30),Salary_Master!B9,""))),"")</f>
        <v>Darshana Bhagat</v>
      </c>
      <c r="C9" s="304">
        <v>31</v>
      </c>
      <c r="D9" s="305">
        <f t="shared" si="21"/>
        <v>29</v>
      </c>
      <c r="E9" s="177">
        <v>2</v>
      </c>
      <c r="F9" s="177"/>
      <c r="G9" s="177"/>
      <c r="H9" s="305">
        <f t="shared" si="22"/>
        <v>31</v>
      </c>
      <c r="I9" s="177"/>
      <c r="J9" s="177">
        <v>3</v>
      </c>
      <c r="K9" s="306" t="str">
        <f t="shared" si="23"/>
        <v>No</v>
      </c>
      <c r="L9" s="306" t="str">
        <f t="shared" si="24"/>
        <v>No</v>
      </c>
      <c r="M9" s="168"/>
      <c r="N9" s="169">
        <f t="shared" si="3"/>
        <v>11500</v>
      </c>
      <c r="O9" s="170">
        <f t="shared" si="4"/>
        <v>4600</v>
      </c>
      <c r="P9" s="170">
        <f t="shared" si="5"/>
        <v>1600</v>
      </c>
      <c r="Q9" s="170">
        <f t="shared" si="6"/>
        <v>958</v>
      </c>
      <c r="R9" s="170">
        <f t="shared" si="7"/>
        <v>16842</v>
      </c>
      <c r="S9" s="170">
        <f t="shared" si="8"/>
        <v>0</v>
      </c>
      <c r="T9" s="170">
        <f t="shared" si="9"/>
        <v>0</v>
      </c>
      <c r="U9" s="170">
        <f t="shared" si="10"/>
        <v>0</v>
      </c>
      <c r="V9" s="262">
        <f t="shared" si="25"/>
        <v>35500</v>
      </c>
      <c r="W9" s="160">
        <f t="shared" si="26"/>
        <v>0</v>
      </c>
      <c r="X9" s="160">
        <f t="shared" si="27"/>
        <v>0</v>
      </c>
      <c r="Y9" s="160">
        <f t="shared" si="28"/>
        <v>0</v>
      </c>
      <c r="Z9" s="160">
        <f t="shared" si="29"/>
        <v>0</v>
      </c>
      <c r="AA9" s="160">
        <f t="shared" si="30"/>
        <v>200</v>
      </c>
      <c r="AB9" s="160">
        <f t="shared" si="31"/>
        <v>0</v>
      </c>
      <c r="AC9" s="160">
        <f t="shared" si="32"/>
        <v>0</v>
      </c>
      <c r="AD9" s="307">
        <f t="shared" si="33"/>
        <v>35300</v>
      </c>
      <c r="AE9" s="308" t="str">
        <f t="shared" si="34"/>
        <v>Female</v>
      </c>
      <c r="AF9" s="163">
        <f t="shared" si="14"/>
        <v>2.5</v>
      </c>
      <c r="AG9" s="163">
        <f t="shared" si="15"/>
        <v>7</v>
      </c>
      <c r="AH9" s="163">
        <f t="shared" si="16"/>
        <v>7</v>
      </c>
      <c r="AJ9" s="165" t="str">
        <f t="shared" si="17"/>
        <v/>
      </c>
      <c r="AK9" s="180" t="str">
        <f t="shared" si="18"/>
        <v>Yes</v>
      </c>
      <c r="AM9" s="179"/>
      <c r="AN9" s="179"/>
      <c r="AP9" s="166">
        <f t="shared" si="35"/>
        <v>4.5</v>
      </c>
      <c r="AQ9" s="166">
        <f t="shared" si="19"/>
        <v>0</v>
      </c>
      <c r="AR9" s="166">
        <f t="shared" si="20"/>
        <v>0</v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IF($J$1="Active",IF(Salary_Master!B10="","",_xlfn.IFS(Salary_Master!M10="Working",IF(Salary_Master!H10&lt;=DATE(2025,5,31),Salary_Master!B10,""),Salary_Master!M10="Left",IF(Salary_Master!N10&gt;DATE(2025,4,30),Salary_Master!B10,""))),"")</f>
        <v>Kavita Sawant</v>
      </c>
      <c r="C10" s="304">
        <v>31</v>
      </c>
      <c r="D10" s="305">
        <f t="shared" si="21"/>
        <v>31</v>
      </c>
      <c r="E10" s="177"/>
      <c r="F10" s="177"/>
      <c r="G10" s="177"/>
      <c r="H10" s="305">
        <f t="shared" si="22"/>
        <v>31</v>
      </c>
      <c r="I10" s="177"/>
      <c r="J10" s="177">
        <v>0</v>
      </c>
      <c r="K10" s="306" t="str">
        <f t="shared" si="23"/>
        <v>No</v>
      </c>
      <c r="L10" s="306" t="str">
        <f t="shared" si="24"/>
        <v>No</v>
      </c>
      <c r="M10" s="168"/>
      <c r="N10" s="169">
        <f t="shared" si="3"/>
        <v>20000</v>
      </c>
      <c r="O10" s="170">
        <f t="shared" si="4"/>
        <v>10000</v>
      </c>
      <c r="P10" s="170">
        <f t="shared" si="5"/>
        <v>1600</v>
      </c>
      <c r="Q10" s="170">
        <f t="shared" si="6"/>
        <v>1667</v>
      </c>
      <c r="R10" s="170">
        <f t="shared" si="7"/>
        <v>36933</v>
      </c>
      <c r="S10" s="170">
        <f t="shared" si="8"/>
        <v>0</v>
      </c>
      <c r="T10" s="170">
        <f t="shared" si="9"/>
        <v>0</v>
      </c>
      <c r="U10" s="170">
        <f t="shared" si="10"/>
        <v>0</v>
      </c>
      <c r="V10" s="262">
        <f t="shared" si="25"/>
        <v>70200</v>
      </c>
      <c r="W10" s="160">
        <f t="shared" si="26"/>
        <v>0</v>
      </c>
      <c r="X10" s="160">
        <f t="shared" si="27"/>
        <v>0</v>
      </c>
      <c r="Y10" s="160">
        <f t="shared" si="28"/>
        <v>0</v>
      </c>
      <c r="Z10" s="160">
        <f t="shared" si="29"/>
        <v>0</v>
      </c>
      <c r="AA10" s="160">
        <f t="shared" si="30"/>
        <v>200</v>
      </c>
      <c r="AB10" s="160">
        <f t="shared" si="31"/>
        <v>0</v>
      </c>
      <c r="AC10" s="160">
        <f t="shared" si="32"/>
        <v>0</v>
      </c>
      <c r="AD10" s="307">
        <f t="shared" si="33"/>
        <v>70000</v>
      </c>
      <c r="AE10" s="308" t="str">
        <f t="shared" si="34"/>
        <v>Female</v>
      </c>
      <c r="AF10" s="163">
        <f t="shared" si="14"/>
        <v>5</v>
      </c>
      <c r="AG10" s="163">
        <f t="shared" si="15"/>
        <v>7</v>
      </c>
      <c r="AH10" s="163">
        <f t="shared" si="16"/>
        <v>7</v>
      </c>
      <c r="AJ10" s="165" t="str">
        <f t="shared" si="17"/>
        <v/>
      </c>
      <c r="AK10" s="180" t="str">
        <f t="shared" si="18"/>
        <v>Yes</v>
      </c>
      <c r="AM10" s="179"/>
      <c r="AN10" s="179"/>
      <c r="AP10" s="166">
        <f t="shared" si="35"/>
        <v>2</v>
      </c>
      <c r="AQ10" s="166">
        <f t="shared" si="19"/>
        <v>0</v>
      </c>
      <c r="AR10" s="166">
        <f t="shared" si="20"/>
        <v>0</v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IF($J$1="Active",IF(Salary_Master!B11="","",_xlfn.IFS(Salary_Master!M11="Working",IF(Salary_Master!H11&lt;=DATE(2025,5,31),Salary_Master!B11,""),Salary_Master!M11="Left",IF(Salary_Master!N11&gt;DATE(2025,4,30),Salary_Master!B11,""))),"")</f>
        <v>Pankajkumar Chodhary</v>
      </c>
      <c r="C11" s="304">
        <v>31</v>
      </c>
      <c r="D11" s="305">
        <f t="shared" si="21"/>
        <v>31</v>
      </c>
      <c r="E11" s="177"/>
      <c r="F11" s="177"/>
      <c r="G11" s="177"/>
      <c r="H11" s="305">
        <f t="shared" si="22"/>
        <v>31</v>
      </c>
      <c r="I11" s="177"/>
      <c r="J11" s="177">
        <v>0</v>
      </c>
      <c r="K11" s="306" t="str">
        <f t="shared" si="23"/>
        <v>No</v>
      </c>
      <c r="L11" s="306" t="str">
        <f t="shared" si="24"/>
        <v>No</v>
      </c>
      <c r="M11" s="168"/>
      <c r="N11" s="169">
        <f t="shared" si="3"/>
        <v>16500</v>
      </c>
      <c r="O11" s="170">
        <f t="shared" si="4"/>
        <v>6600</v>
      </c>
      <c r="P11" s="170">
        <f t="shared" si="5"/>
        <v>1600</v>
      </c>
      <c r="Q11" s="170">
        <f t="shared" si="6"/>
        <v>1375</v>
      </c>
      <c r="R11" s="170">
        <f t="shared" si="7"/>
        <v>17925</v>
      </c>
      <c r="S11" s="170">
        <f t="shared" si="8"/>
        <v>0</v>
      </c>
      <c r="T11" s="170">
        <f t="shared" si="9"/>
        <v>0</v>
      </c>
      <c r="U11" s="170">
        <f t="shared" si="10"/>
        <v>0</v>
      </c>
      <c r="V11" s="262">
        <f t="shared" si="25"/>
        <v>44000</v>
      </c>
      <c r="W11" s="160">
        <f t="shared" si="26"/>
        <v>0</v>
      </c>
      <c r="X11" s="160">
        <f t="shared" si="27"/>
        <v>0</v>
      </c>
      <c r="Y11" s="160">
        <f t="shared" si="28"/>
        <v>0</v>
      </c>
      <c r="Z11" s="160">
        <f t="shared" si="29"/>
        <v>0</v>
      </c>
      <c r="AA11" s="160">
        <f t="shared" si="30"/>
        <v>200</v>
      </c>
      <c r="AB11" s="160">
        <f t="shared" si="31"/>
        <v>0</v>
      </c>
      <c r="AC11" s="160">
        <f t="shared" si="32"/>
        <v>0</v>
      </c>
      <c r="AD11" s="307">
        <f t="shared" si="33"/>
        <v>43800</v>
      </c>
      <c r="AE11" s="308" t="str">
        <f t="shared" si="34"/>
        <v>Male</v>
      </c>
      <c r="AF11" s="163">
        <f t="shared" si="14"/>
        <v>7</v>
      </c>
      <c r="AG11" s="163">
        <f t="shared" si="15"/>
        <v>7</v>
      </c>
      <c r="AH11" s="163">
        <f t="shared" si="16"/>
        <v>7</v>
      </c>
      <c r="AJ11" s="165" t="str">
        <f t="shared" si="17"/>
        <v/>
      </c>
      <c r="AK11" s="180" t="str">
        <f t="shared" si="18"/>
        <v>Yes</v>
      </c>
      <c r="AM11" s="179"/>
      <c r="AN11" s="179"/>
      <c r="AP11" s="166">
        <f t="shared" si="35"/>
        <v>0</v>
      </c>
      <c r="AQ11" s="166">
        <f t="shared" si="19"/>
        <v>0</v>
      </c>
      <c r="AR11" s="166">
        <f t="shared" si="20"/>
        <v>0</v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IF($J$1="Active",IF(Salary_Master!B12="","",_xlfn.IFS(Salary_Master!M12="Working",IF(Salary_Master!H12&lt;=DATE(2025,5,31),Salary_Master!B12,""),Salary_Master!M12="Left",IF(Salary_Master!N12&gt;DATE(2025,4,30),Salary_Master!B12,""))),"")</f>
        <v>Komal Patil</v>
      </c>
      <c r="C12" s="304">
        <v>31</v>
      </c>
      <c r="D12" s="305">
        <f t="shared" si="21"/>
        <v>20</v>
      </c>
      <c r="E12" s="177">
        <v>2</v>
      </c>
      <c r="F12" s="177">
        <v>7</v>
      </c>
      <c r="G12" s="177">
        <v>2</v>
      </c>
      <c r="H12" s="305">
        <f t="shared" si="22"/>
        <v>31</v>
      </c>
      <c r="I12" s="177"/>
      <c r="J12" s="177">
        <v>11</v>
      </c>
      <c r="K12" s="306" t="str">
        <f t="shared" si="23"/>
        <v>No</v>
      </c>
      <c r="L12" s="306" t="str">
        <f t="shared" si="24"/>
        <v>No</v>
      </c>
      <c r="M12" s="168"/>
      <c r="N12" s="169">
        <f t="shared" si="3"/>
        <v>20000</v>
      </c>
      <c r="O12" s="170">
        <f t="shared" si="4"/>
        <v>10000</v>
      </c>
      <c r="P12" s="170">
        <f t="shared" si="5"/>
        <v>1600</v>
      </c>
      <c r="Q12" s="170">
        <f t="shared" si="6"/>
        <v>1667</v>
      </c>
      <c r="R12" s="170">
        <f t="shared" si="7"/>
        <v>43233</v>
      </c>
      <c r="S12" s="170">
        <f t="shared" si="8"/>
        <v>0</v>
      </c>
      <c r="T12" s="170">
        <f t="shared" si="9"/>
        <v>0</v>
      </c>
      <c r="U12" s="170">
        <f t="shared" si="10"/>
        <v>0</v>
      </c>
      <c r="V12" s="262">
        <f t="shared" si="25"/>
        <v>76500</v>
      </c>
      <c r="W12" s="160">
        <f t="shared" si="26"/>
        <v>0</v>
      </c>
      <c r="X12" s="160">
        <f t="shared" si="27"/>
        <v>0</v>
      </c>
      <c r="Y12" s="160">
        <f t="shared" si="28"/>
        <v>0</v>
      </c>
      <c r="Z12" s="160">
        <f t="shared" si="29"/>
        <v>0</v>
      </c>
      <c r="AA12" s="160">
        <f t="shared" si="30"/>
        <v>200</v>
      </c>
      <c r="AB12" s="160">
        <f t="shared" si="31"/>
        <v>0</v>
      </c>
      <c r="AC12" s="160">
        <f t="shared" si="32"/>
        <v>0</v>
      </c>
      <c r="AD12" s="307">
        <f t="shared" si="33"/>
        <v>76300</v>
      </c>
      <c r="AE12" s="308" t="str">
        <f t="shared" si="34"/>
        <v>Female</v>
      </c>
      <c r="AF12" s="163">
        <f t="shared" si="14"/>
        <v>0</v>
      </c>
      <c r="AG12" s="163">
        <f t="shared" si="15"/>
        <v>0</v>
      </c>
      <c r="AH12" s="163">
        <f t="shared" si="16"/>
        <v>5</v>
      </c>
      <c r="AJ12" s="165" t="str">
        <f t="shared" si="17"/>
        <v/>
      </c>
      <c r="AK12" s="180" t="str">
        <f t="shared" si="18"/>
        <v>Yes</v>
      </c>
      <c r="AM12" s="179"/>
      <c r="AN12" s="179"/>
      <c r="AP12" s="166">
        <f t="shared" si="35"/>
        <v>7</v>
      </c>
      <c r="AQ12" s="166">
        <f t="shared" si="19"/>
        <v>7</v>
      </c>
      <c r="AR12" s="166">
        <f t="shared" si="20"/>
        <v>2</v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IF($J$1="Active",IF(Salary_Master!B13="","",_xlfn.IFS(Salary_Master!M13="Working",IF(Salary_Master!H13&lt;=DATE(2025,5,31),Salary_Master!B13,""),Salary_Master!M13="Left",IF(Salary_Master!N13&gt;DATE(2025,4,30),Salary_Master!B13,""))),"")</f>
        <v>Ankit Parmar</v>
      </c>
      <c r="C13" s="304">
        <v>31</v>
      </c>
      <c r="D13" s="305">
        <f t="shared" si="21"/>
        <v>29</v>
      </c>
      <c r="E13" s="177">
        <v>2</v>
      </c>
      <c r="F13" s="177"/>
      <c r="G13" s="177"/>
      <c r="H13" s="305">
        <f t="shared" si="22"/>
        <v>31</v>
      </c>
      <c r="I13" s="177"/>
      <c r="J13" s="177">
        <v>2</v>
      </c>
      <c r="K13" s="306" t="str">
        <f t="shared" si="23"/>
        <v>No</v>
      </c>
      <c r="L13" s="306" t="str">
        <f t="shared" si="24"/>
        <v>No</v>
      </c>
      <c r="M13" s="168"/>
      <c r="N13" s="169">
        <f t="shared" si="3"/>
        <v>16500</v>
      </c>
      <c r="O13" s="170">
        <f t="shared" si="4"/>
        <v>6600</v>
      </c>
      <c r="P13" s="170">
        <f t="shared" si="5"/>
        <v>1600</v>
      </c>
      <c r="Q13" s="170">
        <f t="shared" si="6"/>
        <v>1375</v>
      </c>
      <c r="R13" s="170">
        <f t="shared" si="7"/>
        <v>18925</v>
      </c>
      <c r="S13" s="170">
        <f t="shared" si="8"/>
        <v>0</v>
      </c>
      <c r="T13" s="170">
        <f t="shared" si="9"/>
        <v>0</v>
      </c>
      <c r="U13" s="170">
        <f t="shared" si="10"/>
        <v>0</v>
      </c>
      <c r="V13" s="262">
        <f t="shared" si="25"/>
        <v>45000</v>
      </c>
      <c r="W13" s="160">
        <f t="shared" si="26"/>
        <v>0</v>
      </c>
      <c r="X13" s="160">
        <f t="shared" si="27"/>
        <v>0</v>
      </c>
      <c r="Y13" s="160">
        <f t="shared" si="28"/>
        <v>0</v>
      </c>
      <c r="Z13" s="160">
        <f t="shared" si="29"/>
        <v>0</v>
      </c>
      <c r="AA13" s="160">
        <f t="shared" si="30"/>
        <v>200</v>
      </c>
      <c r="AB13" s="160">
        <f t="shared" si="31"/>
        <v>0</v>
      </c>
      <c r="AC13" s="160">
        <f t="shared" si="32"/>
        <v>0</v>
      </c>
      <c r="AD13" s="307">
        <f t="shared" si="33"/>
        <v>44800</v>
      </c>
      <c r="AE13" s="308" t="str">
        <f t="shared" si="34"/>
        <v>Male</v>
      </c>
      <c r="AF13" s="163">
        <f t="shared" si="14"/>
        <v>2.5</v>
      </c>
      <c r="AG13" s="163">
        <f t="shared" si="15"/>
        <v>7</v>
      </c>
      <c r="AH13" s="163">
        <f t="shared" si="16"/>
        <v>7</v>
      </c>
      <c r="AJ13" s="165" t="str">
        <f t="shared" si="17"/>
        <v/>
      </c>
      <c r="AK13" s="180" t="str">
        <f t="shared" si="18"/>
        <v>Yes</v>
      </c>
      <c r="AM13" s="179"/>
      <c r="AN13" s="179"/>
      <c r="AP13" s="166">
        <f t="shared" si="35"/>
        <v>4.5</v>
      </c>
      <c r="AQ13" s="166">
        <f t="shared" si="19"/>
        <v>0</v>
      </c>
      <c r="AR13" s="166">
        <f t="shared" si="20"/>
        <v>0</v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IF($J$1="Active",IF(Salary_Master!B14="","",_xlfn.IFS(Salary_Master!M14="Working",IF(Salary_Master!H14&lt;=DATE(2025,5,31),Salary_Master!B14,""),Salary_Master!M14="Left",IF(Salary_Master!N14&gt;DATE(2025,4,30),Salary_Master!B14,""))),"")</f>
        <v>Jayesh Chogle</v>
      </c>
      <c r="C14" s="304">
        <v>31</v>
      </c>
      <c r="D14" s="305">
        <f t="shared" si="21"/>
        <v>30</v>
      </c>
      <c r="E14" s="177">
        <v>1</v>
      </c>
      <c r="F14" s="177"/>
      <c r="G14" s="177"/>
      <c r="H14" s="305">
        <f t="shared" si="22"/>
        <v>31</v>
      </c>
      <c r="I14" s="177"/>
      <c r="J14" s="177">
        <v>12</v>
      </c>
      <c r="K14" s="306" t="str">
        <f t="shared" si="23"/>
        <v>No</v>
      </c>
      <c r="L14" s="306" t="str">
        <f t="shared" si="24"/>
        <v>No</v>
      </c>
      <c r="M14" s="168"/>
      <c r="N14" s="169">
        <f t="shared" si="3"/>
        <v>16500</v>
      </c>
      <c r="O14" s="170">
        <f t="shared" si="4"/>
        <v>6600</v>
      </c>
      <c r="P14" s="170">
        <f t="shared" si="5"/>
        <v>1600</v>
      </c>
      <c r="Q14" s="170">
        <f t="shared" si="6"/>
        <v>1375</v>
      </c>
      <c r="R14" s="170">
        <f t="shared" si="7"/>
        <v>16425</v>
      </c>
      <c r="S14" s="170">
        <f t="shared" si="8"/>
        <v>0</v>
      </c>
      <c r="T14" s="170">
        <f t="shared" si="9"/>
        <v>0</v>
      </c>
      <c r="U14" s="170">
        <f t="shared" si="10"/>
        <v>0</v>
      </c>
      <c r="V14" s="262">
        <f t="shared" si="25"/>
        <v>42500</v>
      </c>
      <c r="W14" s="160">
        <f t="shared" si="26"/>
        <v>0</v>
      </c>
      <c r="X14" s="160">
        <f t="shared" si="27"/>
        <v>0</v>
      </c>
      <c r="Y14" s="160">
        <f t="shared" si="28"/>
        <v>0</v>
      </c>
      <c r="Z14" s="160">
        <f t="shared" si="29"/>
        <v>0</v>
      </c>
      <c r="AA14" s="160">
        <f t="shared" si="30"/>
        <v>200</v>
      </c>
      <c r="AB14" s="160">
        <f t="shared" si="31"/>
        <v>0</v>
      </c>
      <c r="AC14" s="160">
        <f t="shared" si="32"/>
        <v>0</v>
      </c>
      <c r="AD14" s="307">
        <f t="shared" si="33"/>
        <v>42300</v>
      </c>
      <c r="AE14" s="308" t="str">
        <f t="shared" si="34"/>
        <v>Male</v>
      </c>
      <c r="AF14" s="163">
        <f t="shared" si="14"/>
        <v>3</v>
      </c>
      <c r="AG14" s="163">
        <f t="shared" si="15"/>
        <v>7</v>
      </c>
      <c r="AH14" s="163">
        <f t="shared" si="16"/>
        <v>7</v>
      </c>
      <c r="AJ14" s="165" t="str">
        <f t="shared" si="17"/>
        <v/>
      </c>
      <c r="AK14" s="180" t="str">
        <f t="shared" si="18"/>
        <v>Yes</v>
      </c>
      <c r="AM14" s="179"/>
      <c r="AN14" s="179"/>
      <c r="AP14" s="166">
        <f t="shared" si="35"/>
        <v>4</v>
      </c>
      <c r="AQ14" s="166">
        <f t="shared" si="19"/>
        <v>0</v>
      </c>
      <c r="AR14" s="166">
        <f t="shared" si="20"/>
        <v>0</v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IF($J$1="Active",IF(Salary_Master!B15="","",_xlfn.IFS(Salary_Master!M15="Working",IF(Salary_Master!H15&lt;=DATE(2025,5,31),Salary_Master!B15,""),Salary_Master!M15="Left",IF(Salary_Master!N15&gt;DATE(2025,4,30),Salary_Master!B15,""))),"")</f>
        <v>Aparna Raithatha</v>
      </c>
      <c r="C15" s="304">
        <v>31</v>
      </c>
      <c r="D15" s="305">
        <f t="shared" si="21"/>
        <v>30</v>
      </c>
      <c r="E15" s="177">
        <v>1</v>
      </c>
      <c r="F15" s="177"/>
      <c r="G15" s="177"/>
      <c r="H15" s="305">
        <f t="shared" si="22"/>
        <v>31</v>
      </c>
      <c r="I15" s="177"/>
      <c r="J15" s="177">
        <v>4</v>
      </c>
      <c r="K15" s="306" t="str">
        <f t="shared" si="23"/>
        <v>No</v>
      </c>
      <c r="L15" s="306" t="str">
        <f t="shared" si="24"/>
        <v>No</v>
      </c>
      <c r="M15" s="168"/>
      <c r="N15" s="169">
        <f t="shared" si="3"/>
        <v>16500</v>
      </c>
      <c r="O15" s="170">
        <f t="shared" si="4"/>
        <v>6600</v>
      </c>
      <c r="P15" s="170">
        <f t="shared" si="5"/>
        <v>1600</v>
      </c>
      <c r="Q15" s="170">
        <f t="shared" si="6"/>
        <v>1375</v>
      </c>
      <c r="R15" s="170">
        <f t="shared" si="7"/>
        <v>26425</v>
      </c>
      <c r="S15" s="170">
        <f t="shared" si="8"/>
        <v>0</v>
      </c>
      <c r="T15" s="170">
        <f t="shared" si="9"/>
        <v>0</v>
      </c>
      <c r="U15" s="170">
        <f t="shared" si="10"/>
        <v>0</v>
      </c>
      <c r="V15" s="262">
        <f t="shared" si="25"/>
        <v>52500</v>
      </c>
      <c r="W15" s="160">
        <f t="shared" si="26"/>
        <v>0</v>
      </c>
      <c r="X15" s="160">
        <f t="shared" si="27"/>
        <v>0</v>
      </c>
      <c r="Y15" s="160">
        <f t="shared" si="28"/>
        <v>0</v>
      </c>
      <c r="Z15" s="160">
        <f t="shared" si="29"/>
        <v>0</v>
      </c>
      <c r="AA15" s="160">
        <f t="shared" si="30"/>
        <v>200</v>
      </c>
      <c r="AB15" s="160">
        <f t="shared" si="31"/>
        <v>0</v>
      </c>
      <c r="AC15" s="160">
        <f t="shared" si="32"/>
        <v>0</v>
      </c>
      <c r="AD15" s="307">
        <f t="shared" si="33"/>
        <v>52300</v>
      </c>
      <c r="AE15" s="308" t="str">
        <f t="shared" si="34"/>
        <v>Female</v>
      </c>
      <c r="AF15" s="163">
        <f t="shared" si="14"/>
        <v>5</v>
      </c>
      <c r="AG15" s="163">
        <f t="shared" si="15"/>
        <v>7</v>
      </c>
      <c r="AH15" s="163">
        <f t="shared" si="16"/>
        <v>7</v>
      </c>
      <c r="AJ15" s="165" t="str">
        <f t="shared" si="17"/>
        <v/>
      </c>
      <c r="AK15" s="180" t="str">
        <f t="shared" si="18"/>
        <v>Yes</v>
      </c>
      <c r="AM15" s="179"/>
      <c r="AN15" s="179"/>
      <c r="AP15" s="166">
        <f t="shared" si="35"/>
        <v>2</v>
      </c>
      <c r="AQ15" s="166">
        <f t="shared" si="19"/>
        <v>0</v>
      </c>
      <c r="AR15" s="166">
        <f t="shared" si="20"/>
        <v>0</v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IF($J$1="Active",IF(Salary_Master!B16="","",_xlfn.IFS(Salary_Master!M16="Working",IF(Salary_Master!H16&lt;=DATE(2025,5,31),Salary_Master!B16,""),Salary_Master!M16="Left",IF(Salary_Master!N16&gt;DATE(2025,4,30),Salary_Master!B16,""))),"")</f>
        <v>Ravin Gaikwad</v>
      </c>
      <c r="C16" s="304">
        <v>31</v>
      </c>
      <c r="D16" s="305">
        <f t="shared" si="21"/>
        <v>31</v>
      </c>
      <c r="E16" s="177"/>
      <c r="F16" s="177"/>
      <c r="G16" s="177"/>
      <c r="H16" s="305">
        <f t="shared" si="22"/>
        <v>31</v>
      </c>
      <c r="I16" s="177"/>
      <c r="J16" s="177">
        <v>0</v>
      </c>
      <c r="K16" s="306" t="str">
        <f t="shared" si="23"/>
        <v>Yes</v>
      </c>
      <c r="L16" s="306" t="str">
        <f t="shared" si="24"/>
        <v>No</v>
      </c>
      <c r="M16" s="168"/>
      <c r="N16" s="169">
        <f t="shared" si="3"/>
        <v>11500</v>
      </c>
      <c r="O16" s="170">
        <f t="shared" si="4"/>
        <v>4600</v>
      </c>
      <c r="P16" s="170">
        <f t="shared" si="5"/>
        <v>1600</v>
      </c>
      <c r="Q16" s="170">
        <f t="shared" si="6"/>
        <v>958</v>
      </c>
      <c r="R16" s="170">
        <f t="shared" si="7"/>
        <v>32742</v>
      </c>
      <c r="S16" s="170">
        <f t="shared" si="8"/>
        <v>1800</v>
      </c>
      <c r="T16" s="170">
        <f t="shared" si="9"/>
        <v>1800</v>
      </c>
      <c r="U16" s="170">
        <f t="shared" si="10"/>
        <v>0</v>
      </c>
      <c r="V16" s="262">
        <f t="shared" si="25"/>
        <v>55000</v>
      </c>
      <c r="W16" s="160">
        <f t="shared" si="26"/>
        <v>1800</v>
      </c>
      <c r="X16" s="160">
        <f t="shared" si="27"/>
        <v>1800</v>
      </c>
      <c r="Y16" s="160">
        <f t="shared" si="28"/>
        <v>0</v>
      </c>
      <c r="Z16" s="160">
        <f t="shared" si="29"/>
        <v>0</v>
      </c>
      <c r="AA16" s="160">
        <f t="shared" si="30"/>
        <v>200</v>
      </c>
      <c r="AB16" s="160">
        <f t="shared" si="31"/>
        <v>0</v>
      </c>
      <c r="AC16" s="160">
        <f t="shared" si="32"/>
        <v>0</v>
      </c>
      <c r="AD16" s="307">
        <f t="shared" si="33"/>
        <v>51200</v>
      </c>
      <c r="AE16" s="308" t="str">
        <f t="shared" si="34"/>
        <v>Male</v>
      </c>
      <c r="AF16" s="163">
        <f t="shared" si="14"/>
        <v>7</v>
      </c>
      <c r="AG16" s="163">
        <f t="shared" si="15"/>
        <v>7</v>
      </c>
      <c r="AH16" s="163">
        <f t="shared" si="16"/>
        <v>7</v>
      </c>
      <c r="AJ16" s="165" t="str">
        <f t="shared" si="17"/>
        <v/>
      </c>
      <c r="AK16" s="180" t="str">
        <f t="shared" si="18"/>
        <v>Yes</v>
      </c>
      <c r="AM16" s="179"/>
      <c r="AN16" s="179"/>
      <c r="AP16" s="166">
        <f t="shared" si="35"/>
        <v>0</v>
      </c>
      <c r="AQ16" s="166">
        <f t="shared" si="19"/>
        <v>0</v>
      </c>
      <c r="AR16" s="166">
        <f t="shared" si="20"/>
        <v>0</v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IF($J$1="Active",IF(Salary_Master!B17="","",_xlfn.IFS(Salary_Master!M17="Working",IF(Salary_Master!H17&lt;=DATE(2025,5,31),Salary_Master!B17,""),Salary_Master!M17="Left",IF(Salary_Master!N17&gt;DATE(2025,4,30),Salary_Master!B17,""))),"")</f>
        <v>Gaurav Sune</v>
      </c>
      <c r="C17" s="304">
        <v>31</v>
      </c>
      <c r="D17" s="305">
        <f t="shared" si="21"/>
        <v>28.5</v>
      </c>
      <c r="E17" s="177">
        <v>2.5</v>
      </c>
      <c r="F17" s="177"/>
      <c r="G17" s="177"/>
      <c r="H17" s="305">
        <f t="shared" si="22"/>
        <v>31</v>
      </c>
      <c r="I17" s="177"/>
      <c r="J17" s="177">
        <v>14</v>
      </c>
      <c r="K17" s="306" t="str">
        <f t="shared" si="23"/>
        <v>No</v>
      </c>
      <c r="L17" s="306" t="str">
        <f t="shared" si="24"/>
        <v>No</v>
      </c>
      <c r="M17" s="168"/>
      <c r="N17" s="169">
        <f t="shared" si="3"/>
        <v>16500</v>
      </c>
      <c r="O17" s="170">
        <f t="shared" si="4"/>
        <v>6600</v>
      </c>
      <c r="P17" s="170">
        <f t="shared" si="5"/>
        <v>1600</v>
      </c>
      <c r="Q17" s="170">
        <f t="shared" si="6"/>
        <v>1375</v>
      </c>
      <c r="R17" s="170">
        <f t="shared" si="7"/>
        <v>7925</v>
      </c>
      <c r="S17" s="170">
        <f t="shared" si="8"/>
        <v>0</v>
      </c>
      <c r="T17" s="170">
        <f t="shared" si="9"/>
        <v>0</v>
      </c>
      <c r="U17" s="170">
        <f t="shared" si="10"/>
        <v>0</v>
      </c>
      <c r="V17" s="262">
        <f t="shared" si="25"/>
        <v>34000</v>
      </c>
      <c r="W17" s="160">
        <f t="shared" si="26"/>
        <v>0</v>
      </c>
      <c r="X17" s="160">
        <f t="shared" si="27"/>
        <v>0</v>
      </c>
      <c r="Y17" s="160">
        <f t="shared" si="28"/>
        <v>0</v>
      </c>
      <c r="Z17" s="160">
        <f t="shared" si="29"/>
        <v>0</v>
      </c>
      <c r="AA17" s="160">
        <f t="shared" si="30"/>
        <v>200</v>
      </c>
      <c r="AB17" s="160">
        <f t="shared" si="31"/>
        <v>0</v>
      </c>
      <c r="AC17" s="160">
        <f t="shared" si="32"/>
        <v>0</v>
      </c>
      <c r="AD17" s="307">
        <f t="shared" si="33"/>
        <v>33800</v>
      </c>
      <c r="AE17" s="308" t="str">
        <f t="shared" si="34"/>
        <v>Male</v>
      </c>
      <c r="AF17" s="163">
        <f t="shared" si="14"/>
        <v>4.5</v>
      </c>
      <c r="AG17" s="163">
        <f t="shared" si="15"/>
        <v>7</v>
      </c>
      <c r="AH17" s="163">
        <f t="shared" si="16"/>
        <v>7</v>
      </c>
      <c r="AJ17" s="165" t="str">
        <f t="shared" si="17"/>
        <v/>
      </c>
      <c r="AK17" s="180" t="str">
        <f t="shared" si="18"/>
        <v>Yes</v>
      </c>
      <c r="AM17" s="179"/>
      <c r="AN17" s="179"/>
      <c r="AP17" s="166">
        <f t="shared" si="35"/>
        <v>2.5</v>
      </c>
      <c r="AQ17" s="166">
        <f t="shared" si="19"/>
        <v>0</v>
      </c>
      <c r="AR17" s="166">
        <f t="shared" si="20"/>
        <v>0</v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IF($J$1="Active",IF(Salary_Master!B18="","",_xlfn.IFS(Salary_Master!M18="Working",IF(Salary_Master!H18&lt;=DATE(2025,5,31),Salary_Master!B18,""),Salary_Master!M18="Left",IF(Salary_Master!N18&gt;DATE(2025,4,30),Salary_Master!B18,""))),"")</f>
        <v>Hasanulbana Siddiqui</v>
      </c>
      <c r="C18" s="304">
        <v>31</v>
      </c>
      <c r="D18" s="305">
        <f t="shared" si="21"/>
        <v>30</v>
      </c>
      <c r="E18" s="177">
        <v>1</v>
      </c>
      <c r="F18" s="177"/>
      <c r="G18" s="177"/>
      <c r="H18" s="305">
        <f t="shared" si="22"/>
        <v>31</v>
      </c>
      <c r="I18" s="177"/>
      <c r="J18" s="177">
        <v>7</v>
      </c>
      <c r="K18" s="306" t="str">
        <f t="shared" si="23"/>
        <v>No</v>
      </c>
      <c r="L18" s="306" t="str">
        <f t="shared" si="24"/>
        <v>No</v>
      </c>
      <c r="M18" s="168"/>
      <c r="N18" s="169">
        <f t="shared" si="3"/>
        <v>16500</v>
      </c>
      <c r="O18" s="170">
        <f t="shared" si="4"/>
        <v>6600</v>
      </c>
      <c r="P18" s="170">
        <f t="shared" si="5"/>
        <v>1600</v>
      </c>
      <c r="Q18" s="170">
        <f t="shared" si="6"/>
        <v>1375</v>
      </c>
      <c r="R18" s="170">
        <f t="shared" si="7"/>
        <v>6425</v>
      </c>
      <c r="S18" s="170">
        <f t="shared" si="8"/>
        <v>0</v>
      </c>
      <c r="T18" s="170">
        <f t="shared" si="9"/>
        <v>0</v>
      </c>
      <c r="U18" s="170">
        <f t="shared" si="10"/>
        <v>0</v>
      </c>
      <c r="V18" s="262">
        <f t="shared" si="25"/>
        <v>32500</v>
      </c>
      <c r="W18" s="160">
        <f t="shared" si="26"/>
        <v>0</v>
      </c>
      <c r="X18" s="160">
        <f t="shared" si="27"/>
        <v>0</v>
      </c>
      <c r="Y18" s="160">
        <f t="shared" si="28"/>
        <v>0</v>
      </c>
      <c r="Z18" s="160">
        <f t="shared" si="29"/>
        <v>0</v>
      </c>
      <c r="AA18" s="160">
        <f t="shared" si="30"/>
        <v>200</v>
      </c>
      <c r="AB18" s="160">
        <f t="shared" si="31"/>
        <v>0</v>
      </c>
      <c r="AC18" s="160">
        <f t="shared" si="32"/>
        <v>0</v>
      </c>
      <c r="AD18" s="307">
        <f t="shared" si="33"/>
        <v>32300</v>
      </c>
      <c r="AE18" s="308" t="str">
        <f t="shared" si="34"/>
        <v>Male</v>
      </c>
      <c r="AF18" s="163">
        <f t="shared" si="14"/>
        <v>4</v>
      </c>
      <c r="AG18" s="163">
        <f t="shared" si="15"/>
        <v>7</v>
      </c>
      <c r="AH18" s="163">
        <f t="shared" si="16"/>
        <v>7</v>
      </c>
      <c r="AJ18" s="165" t="str">
        <f t="shared" si="17"/>
        <v/>
      </c>
      <c r="AK18" s="180" t="str">
        <f t="shared" si="18"/>
        <v>Yes</v>
      </c>
      <c r="AM18" s="179"/>
      <c r="AN18" s="179"/>
      <c r="AP18" s="166">
        <f t="shared" si="35"/>
        <v>3</v>
      </c>
      <c r="AQ18" s="166">
        <f t="shared" si="19"/>
        <v>0</v>
      </c>
      <c r="AR18" s="166">
        <f t="shared" si="20"/>
        <v>0</v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IF($J$1="Active",IF(Salary_Master!B19="","",_xlfn.IFS(Salary_Master!M19="Working",IF(Salary_Master!H19&lt;=DATE(2025,5,31),Salary_Master!B19,""),Salary_Master!M19="Left",IF(Salary_Master!N19&gt;DATE(2025,4,30),Salary_Master!B19,""))),"")</f>
        <v>Aniket Sawant</v>
      </c>
      <c r="C19" s="304">
        <v>31</v>
      </c>
      <c r="D19" s="305">
        <f t="shared" si="21"/>
        <v>30</v>
      </c>
      <c r="E19" s="177">
        <v>1</v>
      </c>
      <c r="F19" s="177"/>
      <c r="G19" s="177"/>
      <c r="H19" s="305">
        <f t="shared" si="22"/>
        <v>31</v>
      </c>
      <c r="I19" s="177"/>
      <c r="J19" s="177">
        <v>0</v>
      </c>
      <c r="K19" s="306" t="str">
        <f t="shared" si="23"/>
        <v>No</v>
      </c>
      <c r="L19" s="306" t="str">
        <f t="shared" si="24"/>
        <v>No</v>
      </c>
      <c r="M19" s="168"/>
      <c r="N19" s="169">
        <f t="shared" si="3"/>
        <v>16500</v>
      </c>
      <c r="O19" s="170">
        <f t="shared" si="4"/>
        <v>6600</v>
      </c>
      <c r="P19" s="170">
        <f t="shared" si="5"/>
        <v>1600</v>
      </c>
      <c r="Q19" s="170">
        <f t="shared" si="6"/>
        <v>1375</v>
      </c>
      <c r="R19" s="170">
        <f t="shared" si="7"/>
        <v>31925</v>
      </c>
      <c r="S19" s="170">
        <f t="shared" si="8"/>
        <v>0</v>
      </c>
      <c r="T19" s="170">
        <f t="shared" si="9"/>
        <v>0</v>
      </c>
      <c r="U19" s="170">
        <f t="shared" si="10"/>
        <v>0</v>
      </c>
      <c r="V19" s="262">
        <f t="shared" si="25"/>
        <v>58000</v>
      </c>
      <c r="W19" s="160">
        <f t="shared" si="26"/>
        <v>0</v>
      </c>
      <c r="X19" s="160">
        <f t="shared" si="27"/>
        <v>0</v>
      </c>
      <c r="Y19" s="160">
        <f t="shared" si="28"/>
        <v>0</v>
      </c>
      <c r="Z19" s="160">
        <f t="shared" si="29"/>
        <v>0</v>
      </c>
      <c r="AA19" s="160">
        <f t="shared" si="30"/>
        <v>200</v>
      </c>
      <c r="AB19" s="160">
        <f t="shared" si="31"/>
        <v>30000</v>
      </c>
      <c r="AC19" s="160">
        <f t="shared" si="32"/>
        <v>0</v>
      </c>
      <c r="AD19" s="307">
        <f t="shared" si="33"/>
        <v>27800</v>
      </c>
      <c r="AE19" s="308" t="str">
        <f t="shared" si="34"/>
        <v>Male</v>
      </c>
      <c r="AF19" s="163">
        <f t="shared" si="14"/>
        <v>4.5</v>
      </c>
      <c r="AG19" s="163">
        <f t="shared" si="15"/>
        <v>7</v>
      </c>
      <c r="AH19" s="163">
        <f t="shared" si="16"/>
        <v>7</v>
      </c>
      <c r="AJ19" s="165" t="str">
        <f t="shared" si="17"/>
        <v/>
      </c>
      <c r="AK19" s="180" t="str">
        <f t="shared" si="18"/>
        <v>Yes</v>
      </c>
      <c r="AM19" s="179">
        <v>30000</v>
      </c>
      <c r="AN19" s="179"/>
      <c r="AP19" s="166">
        <f t="shared" si="35"/>
        <v>2.5</v>
      </c>
      <c r="AQ19" s="166">
        <f t="shared" si="19"/>
        <v>0</v>
      </c>
      <c r="AR19" s="166">
        <f t="shared" si="20"/>
        <v>0</v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IF($J$1="Active",IF(Salary_Master!B20="","",_xlfn.IFS(Salary_Master!M20="Working",IF(Salary_Master!H20&lt;=DATE(2025,5,31),Salary_Master!B20,""),Salary_Master!M20="Left",IF(Salary_Master!N20&gt;DATE(2025,4,30),Salary_Master!B20,""))),"")</f>
        <v>Mayur Bhoir</v>
      </c>
      <c r="C20" s="304">
        <v>31</v>
      </c>
      <c r="D20" s="305">
        <f t="shared" si="21"/>
        <v>29</v>
      </c>
      <c r="E20" s="177">
        <v>2</v>
      </c>
      <c r="F20" s="177"/>
      <c r="G20" s="177"/>
      <c r="H20" s="305">
        <f t="shared" si="22"/>
        <v>31</v>
      </c>
      <c r="I20" s="177"/>
      <c r="J20" s="177">
        <v>3</v>
      </c>
      <c r="K20" s="306" t="str">
        <f t="shared" si="23"/>
        <v>Yes</v>
      </c>
      <c r="L20" s="306" t="str">
        <f t="shared" si="24"/>
        <v>No</v>
      </c>
      <c r="M20" s="168"/>
      <c r="N20" s="169">
        <f t="shared" si="3"/>
        <v>10000</v>
      </c>
      <c r="O20" s="170">
        <f t="shared" si="4"/>
        <v>2000</v>
      </c>
      <c r="P20" s="170">
        <f t="shared" si="5"/>
        <v>1600</v>
      </c>
      <c r="Q20" s="170">
        <f t="shared" si="6"/>
        <v>833</v>
      </c>
      <c r="R20" s="170">
        <f t="shared" si="7"/>
        <v>8467</v>
      </c>
      <c r="S20" s="170">
        <f t="shared" si="8"/>
        <v>1800</v>
      </c>
      <c r="T20" s="170">
        <f t="shared" si="9"/>
        <v>1800</v>
      </c>
      <c r="U20" s="170">
        <f t="shared" si="10"/>
        <v>0</v>
      </c>
      <c r="V20" s="262">
        <f t="shared" si="25"/>
        <v>26500</v>
      </c>
      <c r="W20" s="160">
        <f t="shared" si="26"/>
        <v>1800</v>
      </c>
      <c r="X20" s="160">
        <f t="shared" si="27"/>
        <v>1800</v>
      </c>
      <c r="Y20" s="160">
        <f t="shared" si="28"/>
        <v>0</v>
      </c>
      <c r="Z20" s="160">
        <f t="shared" si="29"/>
        <v>0</v>
      </c>
      <c r="AA20" s="160">
        <f t="shared" si="30"/>
        <v>200</v>
      </c>
      <c r="AB20" s="160">
        <f t="shared" si="31"/>
        <v>0</v>
      </c>
      <c r="AC20" s="160">
        <f t="shared" si="32"/>
        <v>0</v>
      </c>
      <c r="AD20" s="307">
        <f t="shared" si="33"/>
        <v>22700</v>
      </c>
      <c r="AE20" s="308" t="str">
        <f t="shared" si="34"/>
        <v>Male</v>
      </c>
      <c r="AF20" s="163">
        <f t="shared" si="14"/>
        <v>4.5</v>
      </c>
      <c r="AG20" s="163">
        <f t="shared" si="15"/>
        <v>7</v>
      </c>
      <c r="AH20" s="163">
        <f t="shared" si="16"/>
        <v>7</v>
      </c>
      <c r="AJ20" s="165" t="str">
        <f t="shared" si="17"/>
        <v/>
      </c>
      <c r="AK20" s="180" t="str">
        <f t="shared" si="18"/>
        <v>Yes</v>
      </c>
      <c r="AM20" s="179"/>
      <c r="AN20" s="179"/>
      <c r="AP20" s="166">
        <f t="shared" si="35"/>
        <v>2.5</v>
      </c>
      <c r="AQ20" s="166">
        <f t="shared" si="19"/>
        <v>0</v>
      </c>
      <c r="AR20" s="166">
        <f t="shared" si="20"/>
        <v>0</v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IF($J$1="Active",IF(Salary_Master!B21="","",_xlfn.IFS(Salary_Master!M21="Working",IF(Salary_Master!H21&lt;=DATE(2025,5,31),Salary_Master!B21,""),Salary_Master!M21="Left",IF(Salary_Master!N21&gt;DATE(2025,4,30),Salary_Master!B21,""))),"")</f>
        <v>Supriya Padel</v>
      </c>
      <c r="C21" s="304">
        <v>31</v>
      </c>
      <c r="D21" s="305">
        <f t="shared" si="21"/>
        <v>30</v>
      </c>
      <c r="E21" s="177"/>
      <c r="F21" s="177">
        <v>1</v>
      </c>
      <c r="G21" s="177"/>
      <c r="H21" s="305">
        <f t="shared" si="22"/>
        <v>31</v>
      </c>
      <c r="I21" s="177"/>
      <c r="J21" s="177">
        <v>11</v>
      </c>
      <c r="K21" s="306" t="str">
        <f t="shared" si="23"/>
        <v>Yes</v>
      </c>
      <c r="L21" s="306" t="str">
        <f t="shared" si="24"/>
        <v>No</v>
      </c>
      <c r="M21" s="168"/>
      <c r="N21" s="169">
        <f t="shared" si="3"/>
        <v>10000</v>
      </c>
      <c r="O21" s="170">
        <f t="shared" si="4"/>
        <v>2000</v>
      </c>
      <c r="P21" s="170">
        <f t="shared" si="5"/>
        <v>1600</v>
      </c>
      <c r="Q21" s="170">
        <f t="shared" si="6"/>
        <v>833</v>
      </c>
      <c r="R21" s="170">
        <f t="shared" si="7"/>
        <v>5467</v>
      </c>
      <c r="S21" s="170">
        <f t="shared" si="8"/>
        <v>1800</v>
      </c>
      <c r="T21" s="170">
        <f t="shared" si="9"/>
        <v>1800</v>
      </c>
      <c r="U21" s="170">
        <f t="shared" si="10"/>
        <v>0</v>
      </c>
      <c r="V21" s="262">
        <f t="shared" si="25"/>
        <v>23500</v>
      </c>
      <c r="W21" s="160">
        <f t="shared" si="26"/>
        <v>1800</v>
      </c>
      <c r="X21" s="160">
        <f t="shared" si="27"/>
        <v>1800</v>
      </c>
      <c r="Y21" s="160">
        <f t="shared" si="28"/>
        <v>0</v>
      </c>
      <c r="Z21" s="160">
        <f t="shared" si="29"/>
        <v>0</v>
      </c>
      <c r="AA21" s="160">
        <f t="shared" si="30"/>
        <v>0</v>
      </c>
      <c r="AB21" s="160">
        <f t="shared" si="31"/>
        <v>0</v>
      </c>
      <c r="AC21" s="160">
        <f t="shared" si="32"/>
        <v>0</v>
      </c>
      <c r="AD21" s="307">
        <f t="shared" si="33"/>
        <v>19900</v>
      </c>
      <c r="AE21" s="308" t="str">
        <f t="shared" si="34"/>
        <v>Female</v>
      </c>
      <c r="AF21" s="163">
        <f t="shared" si="14"/>
        <v>0</v>
      </c>
      <c r="AG21" s="163">
        <f t="shared" si="15"/>
        <v>6</v>
      </c>
      <c r="AH21" s="163">
        <f t="shared" si="16"/>
        <v>7</v>
      </c>
      <c r="AJ21" s="165" t="str">
        <f t="shared" si="17"/>
        <v/>
      </c>
      <c r="AK21" s="180" t="str">
        <f t="shared" si="18"/>
        <v>Yes</v>
      </c>
      <c r="AM21" s="179"/>
      <c r="AN21" s="179"/>
      <c r="AP21" s="166">
        <f t="shared" si="35"/>
        <v>7</v>
      </c>
      <c r="AQ21" s="166">
        <f t="shared" si="19"/>
        <v>1</v>
      </c>
      <c r="AR21" s="166">
        <f t="shared" si="20"/>
        <v>0</v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IF($J$1="Active",IF(Salary_Master!B22="","",_xlfn.IFS(Salary_Master!M22="Working",IF(Salary_Master!H22&lt;=DATE(2025,5,31),Salary_Master!B22,""),Salary_Master!M22="Left",IF(Salary_Master!N22&gt;DATE(2025,4,30),Salary_Master!B22,""))),"")</f>
        <v>Sagar Kadam</v>
      </c>
      <c r="C22" s="304">
        <v>31</v>
      </c>
      <c r="D22" s="305">
        <f t="shared" si="21"/>
        <v>27</v>
      </c>
      <c r="E22" s="177">
        <v>3</v>
      </c>
      <c r="F22" s="177">
        <v>1</v>
      </c>
      <c r="G22" s="177"/>
      <c r="H22" s="305">
        <f t="shared" si="22"/>
        <v>31</v>
      </c>
      <c r="I22" s="177"/>
      <c r="J22" s="177">
        <v>0</v>
      </c>
      <c r="K22" s="306" t="str">
        <f t="shared" si="23"/>
        <v>Yes</v>
      </c>
      <c r="L22" s="306" t="str">
        <f t="shared" si="24"/>
        <v>Yes</v>
      </c>
      <c r="M22" s="168"/>
      <c r="N22" s="169">
        <f t="shared" si="3"/>
        <v>10000</v>
      </c>
      <c r="O22" s="170">
        <f t="shared" si="4"/>
        <v>2000</v>
      </c>
      <c r="P22" s="170">
        <f t="shared" si="5"/>
        <v>1600</v>
      </c>
      <c r="Q22" s="170">
        <f t="shared" si="6"/>
        <v>833</v>
      </c>
      <c r="R22" s="170">
        <f t="shared" si="7"/>
        <v>3817</v>
      </c>
      <c r="S22" s="170">
        <f t="shared" si="8"/>
        <v>0</v>
      </c>
      <c r="T22" s="170">
        <f t="shared" si="9"/>
        <v>0</v>
      </c>
      <c r="U22" s="170">
        <f t="shared" si="10"/>
        <v>0</v>
      </c>
      <c r="V22" s="262">
        <f t="shared" si="25"/>
        <v>18250</v>
      </c>
      <c r="W22" s="160">
        <f t="shared" si="26"/>
        <v>1800</v>
      </c>
      <c r="X22" s="160">
        <f t="shared" si="27"/>
        <v>0</v>
      </c>
      <c r="Y22" s="160">
        <f t="shared" si="28"/>
        <v>137</v>
      </c>
      <c r="Z22" s="160">
        <f t="shared" si="29"/>
        <v>0</v>
      </c>
      <c r="AA22" s="160">
        <f t="shared" si="30"/>
        <v>200</v>
      </c>
      <c r="AB22" s="160">
        <f t="shared" si="31"/>
        <v>0</v>
      </c>
      <c r="AC22" s="160">
        <f t="shared" si="32"/>
        <v>0</v>
      </c>
      <c r="AD22" s="307">
        <f t="shared" si="33"/>
        <v>16113</v>
      </c>
      <c r="AE22" s="308" t="str">
        <f t="shared" si="34"/>
        <v>Male</v>
      </c>
      <c r="AF22" s="163">
        <f t="shared" si="14"/>
        <v>0</v>
      </c>
      <c r="AG22" s="163">
        <f t="shared" si="15"/>
        <v>6</v>
      </c>
      <c r="AH22" s="163">
        <f t="shared" si="16"/>
        <v>7</v>
      </c>
      <c r="AJ22" s="165" t="str">
        <f t="shared" si="17"/>
        <v/>
      </c>
      <c r="AK22" s="180" t="str">
        <f t="shared" si="18"/>
        <v>Yes</v>
      </c>
      <c r="AM22" s="179"/>
      <c r="AN22" s="179"/>
      <c r="AP22" s="166">
        <f t="shared" si="35"/>
        <v>7</v>
      </c>
      <c r="AQ22" s="166">
        <f t="shared" si="19"/>
        <v>1</v>
      </c>
      <c r="AR22" s="166">
        <f t="shared" si="20"/>
        <v>0</v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IF($J$1="Active",IF(Salary_Master!B23="","",_xlfn.IFS(Salary_Master!M23="Working",IF(Salary_Master!H23&lt;=DATE(2025,5,31),Salary_Master!B23,""),Salary_Master!M23="Left",IF(Salary_Master!N23&gt;DATE(2025,4,30),Salary_Master!B23,""))),"")</f>
        <v>Rahul Jadhav</v>
      </c>
      <c r="C23" s="304">
        <v>31</v>
      </c>
      <c r="D23" s="305">
        <f t="shared" si="21"/>
        <v>31</v>
      </c>
      <c r="E23" s="177"/>
      <c r="F23" s="177"/>
      <c r="G23" s="177"/>
      <c r="H23" s="305">
        <f t="shared" si="22"/>
        <v>31</v>
      </c>
      <c r="I23" s="177"/>
      <c r="J23" s="177">
        <v>25</v>
      </c>
      <c r="K23" s="306" t="str">
        <f t="shared" si="23"/>
        <v>Yes</v>
      </c>
      <c r="L23" s="306" t="str">
        <f t="shared" si="24"/>
        <v>Yes</v>
      </c>
      <c r="M23" s="168"/>
      <c r="N23" s="169">
        <f t="shared" si="3"/>
        <v>10000</v>
      </c>
      <c r="O23" s="170">
        <f t="shared" si="4"/>
        <v>2000</v>
      </c>
      <c r="P23" s="170">
        <f t="shared" si="5"/>
        <v>1600</v>
      </c>
      <c r="Q23" s="170">
        <f t="shared" si="6"/>
        <v>833</v>
      </c>
      <c r="R23" s="170">
        <f t="shared" si="7"/>
        <v>4317</v>
      </c>
      <c r="S23" s="170">
        <f t="shared" si="8"/>
        <v>0</v>
      </c>
      <c r="T23" s="170">
        <f t="shared" si="9"/>
        <v>0</v>
      </c>
      <c r="U23" s="170">
        <f t="shared" si="10"/>
        <v>0</v>
      </c>
      <c r="V23" s="262">
        <f t="shared" si="25"/>
        <v>18750</v>
      </c>
      <c r="W23" s="160">
        <f t="shared" si="26"/>
        <v>1800</v>
      </c>
      <c r="X23" s="160">
        <f t="shared" si="27"/>
        <v>0</v>
      </c>
      <c r="Y23" s="160">
        <f t="shared" si="28"/>
        <v>141</v>
      </c>
      <c r="Z23" s="160">
        <f t="shared" si="29"/>
        <v>0</v>
      </c>
      <c r="AA23" s="160">
        <f t="shared" si="30"/>
        <v>200</v>
      </c>
      <c r="AB23" s="160">
        <f t="shared" si="31"/>
        <v>2000</v>
      </c>
      <c r="AC23" s="160">
        <f t="shared" si="32"/>
        <v>0</v>
      </c>
      <c r="AD23" s="307">
        <f t="shared" si="33"/>
        <v>14609</v>
      </c>
      <c r="AE23" s="308" t="str">
        <f t="shared" si="34"/>
        <v>Male</v>
      </c>
      <c r="AF23" s="163">
        <f t="shared" si="14"/>
        <v>4.5</v>
      </c>
      <c r="AG23" s="163">
        <f t="shared" si="15"/>
        <v>7</v>
      </c>
      <c r="AH23" s="163">
        <f t="shared" si="16"/>
        <v>7</v>
      </c>
      <c r="AJ23" s="165" t="str">
        <f t="shared" si="17"/>
        <v/>
      </c>
      <c r="AK23" s="180" t="str">
        <f t="shared" si="18"/>
        <v>Yes</v>
      </c>
      <c r="AM23" s="179">
        <v>2000</v>
      </c>
      <c r="AN23" s="179"/>
      <c r="AP23" s="166">
        <f t="shared" si="35"/>
        <v>2.5</v>
      </c>
      <c r="AQ23" s="166">
        <f t="shared" si="19"/>
        <v>0</v>
      </c>
      <c r="AR23" s="166">
        <f t="shared" si="20"/>
        <v>0</v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IF($J$1="Active",IF(Salary_Master!B24="","",_xlfn.IFS(Salary_Master!M24="Working",IF(Salary_Master!H24&lt;=DATE(2025,5,31),Salary_Master!B24,""),Salary_Master!M24="Left",IF(Salary_Master!N24&gt;DATE(2025,4,30),Salary_Master!B24,""))),"")</f>
        <v>Yash Ghumre</v>
      </c>
      <c r="C24" s="304">
        <v>31</v>
      </c>
      <c r="D24" s="305">
        <f t="shared" si="21"/>
        <v>29</v>
      </c>
      <c r="E24" s="177">
        <v>2</v>
      </c>
      <c r="F24" s="177"/>
      <c r="G24" s="177"/>
      <c r="H24" s="305">
        <f t="shared" si="22"/>
        <v>31</v>
      </c>
      <c r="I24" s="177"/>
      <c r="J24" s="177">
        <v>12</v>
      </c>
      <c r="K24" s="306" t="str">
        <f t="shared" si="23"/>
        <v>Yes</v>
      </c>
      <c r="L24" s="306" t="str">
        <f t="shared" si="24"/>
        <v>No</v>
      </c>
      <c r="M24" s="168"/>
      <c r="N24" s="169">
        <f t="shared" si="3"/>
        <v>10000</v>
      </c>
      <c r="O24" s="170">
        <f t="shared" si="4"/>
        <v>2000</v>
      </c>
      <c r="P24" s="170">
        <f t="shared" si="5"/>
        <v>1600</v>
      </c>
      <c r="Q24" s="170">
        <f t="shared" si="6"/>
        <v>833</v>
      </c>
      <c r="R24" s="170">
        <f t="shared" si="7"/>
        <v>8967</v>
      </c>
      <c r="S24" s="170">
        <f t="shared" si="8"/>
        <v>1800</v>
      </c>
      <c r="T24" s="170">
        <f t="shared" si="9"/>
        <v>1800</v>
      </c>
      <c r="U24" s="170">
        <f t="shared" si="10"/>
        <v>0</v>
      </c>
      <c r="V24" s="262">
        <f t="shared" si="25"/>
        <v>27000</v>
      </c>
      <c r="W24" s="160">
        <f t="shared" si="26"/>
        <v>1800</v>
      </c>
      <c r="X24" s="160">
        <f t="shared" si="27"/>
        <v>1800</v>
      </c>
      <c r="Y24" s="160">
        <f t="shared" si="28"/>
        <v>0</v>
      </c>
      <c r="Z24" s="160">
        <f t="shared" si="29"/>
        <v>0</v>
      </c>
      <c r="AA24" s="160">
        <f t="shared" si="30"/>
        <v>200</v>
      </c>
      <c r="AB24" s="160">
        <f t="shared" si="31"/>
        <v>0</v>
      </c>
      <c r="AC24" s="160">
        <f t="shared" si="32"/>
        <v>0</v>
      </c>
      <c r="AD24" s="307">
        <f t="shared" si="33"/>
        <v>23200</v>
      </c>
      <c r="AE24" s="308" t="str">
        <f t="shared" si="34"/>
        <v>Male</v>
      </c>
      <c r="AF24" s="163">
        <f t="shared" si="14"/>
        <v>0</v>
      </c>
      <c r="AG24" s="163">
        <f t="shared" si="15"/>
        <v>7</v>
      </c>
      <c r="AH24" s="163">
        <f t="shared" si="16"/>
        <v>7</v>
      </c>
      <c r="AJ24" s="165" t="str">
        <f t="shared" si="17"/>
        <v/>
      </c>
      <c r="AK24" s="180" t="str">
        <f t="shared" si="18"/>
        <v>Yes</v>
      </c>
      <c r="AM24" s="179"/>
      <c r="AN24" s="179"/>
      <c r="AP24" s="166">
        <f t="shared" si="35"/>
        <v>7</v>
      </c>
      <c r="AQ24" s="166">
        <f t="shared" si="19"/>
        <v>0</v>
      </c>
      <c r="AR24" s="166">
        <f t="shared" si="20"/>
        <v>0</v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IF($J$1="Active",IF(Salary_Master!B25="","",_xlfn.IFS(Salary_Master!M25="Working",IF(Salary_Master!H25&lt;=DATE(2025,5,31),Salary_Master!B25,""),Salary_Master!M25="Left",IF(Salary_Master!N25&gt;DATE(2025,4,30),Salary_Master!B25,""))),"")</f>
        <v>Shivraj Mahajan</v>
      </c>
      <c r="C25" s="304">
        <v>31</v>
      </c>
      <c r="D25" s="305">
        <f t="shared" si="21"/>
        <v>25</v>
      </c>
      <c r="E25" s="177">
        <v>6</v>
      </c>
      <c r="F25" s="177"/>
      <c r="G25" s="177"/>
      <c r="H25" s="305">
        <f t="shared" si="22"/>
        <v>31</v>
      </c>
      <c r="I25" s="177"/>
      <c r="J25" s="177">
        <v>5</v>
      </c>
      <c r="K25" s="306" t="str">
        <f t="shared" si="23"/>
        <v>Yes</v>
      </c>
      <c r="L25" s="306" t="str">
        <f t="shared" si="24"/>
        <v>No</v>
      </c>
      <c r="M25" s="168"/>
      <c r="N25" s="169">
        <f t="shared" si="3"/>
        <v>11500</v>
      </c>
      <c r="O25" s="170">
        <f t="shared" si="4"/>
        <v>4600</v>
      </c>
      <c r="P25" s="170">
        <f t="shared" si="5"/>
        <v>1600</v>
      </c>
      <c r="Q25" s="170">
        <f t="shared" si="6"/>
        <v>958</v>
      </c>
      <c r="R25" s="170">
        <f t="shared" si="7"/>
        <v>12742</v>
      </c>
      <c r="S25" s="170">
        <f t="shared" si="8"/>
        <v>1800</v>
      </c>
      <c r="T25" s="170">
        <f t="shared" si="9"/>
        <v>1800</v>
      </c>
      <c r="U25" s="170">
        <f t="shared" si="10"/>
        <v>0</v>
      </c>
      <c r="V25" s="262">
        <f t="shared" si="25"/>
        <v>35000</v>
      </c>
      <c r="W25" s="160">
        <f t="shared" si="26"/>
        <v>1800</v>
      </c>
      <c r="X25" s="160">
        <f t="shared" si="27"/>
        <v>1800</v>
      </c>
      <c r="Y25" s="160">
        <f t="shared" si="28"/>
        <v>0</v>
      </c>
      <c r="Z25" s="160">
        <f t="shared" si="29"/>
        <v>0</v>
      </c>
      <c r="AA25" s="160">
        <f t="shared" si="30"/>
        <v>200</v>
      </c>
      <c r="AB25" s="160">
        <f t="shared" si="31"/>
        <v>0</v>
      </c>
      <c r="AC25" s="160">
        <f t="shared" si="32"/>
        <v>0</v>
      </c>
      <c r="AD25" s="307">
        <f t="shared" si="33"/>
        <v>31200</v>
      </c>
      <c r="AE25" s="308" t="str">
        <f t="shared" si="34"/>
        <v>Male</v>
      </c>
      <c r="AF25" s="163">
        <f t="shared" si="14"/>
        <v>1</v>
      </c>
      <c r="AG25" s="163">
        <f t="shared" si="15"/>
        <v>7</v>
      </c>
      <c r="AH25" s="163">
        <f t="shared" si="16"/>
        <v>7</v>
      </c>
      <c r="AJ25" s="165" t="str">
        <f t="shared" si="17"/>
        <v/>
      </c>
      <c r="AK25" s="180" t="str">
        <f t="shared" si="18"/>
        <v>Yes</v>
      </c>
      <c r="AM25" s="179"/>
      <c r="AN25" s="179"/>
      <c r="AP25" s="166">
        <f t="shared" si="35"/>
        <v>6</v>
      </c>
      <c r="AQ25" s="166">
        <f t="shared" si="19"/>
        <v>0</v>
      </c>
      <c r="AR25" s="166">
        <f t="shared" si="20"/>
        <v>0</v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IF($J$1="Active",IF(Salary_Master!B26="","",_xlfn.IFS(Salary_Master!M26="Working",IF(Salary_Master!H26&lt;=DATE(2025,5,31),Salary_Master!B26,""),Salary_Master!M26="Left",IF(Salary_Master!N26&gt;DATE(2025,4,30),Salary_Master!B26,""))),"")</f>
        <v>Akash Gholap</v>
      </c>
      <c r="C26" s="304">
        <v>31</v>
      </c>
      <c r="D26" s="305">
        <f t="shared" si="21"/>
        <v>25</v>
      </c>
      <c r="E26" s="177">
        <v>6</v>
      </c>
      <c r="F26" s="177"/>
      <c r="G26" s="177"/>
      <c r="H26" s="305">
        <f t="shared" si="22"/>
        <v>31</v>
      </c>
      <c r="I26" s="177"/>
      <c r="J26" s="177">
        <v>0</v>
      </c>
      <c r="K26" s="306" t="str">
        <f t="shared" si="23"/>
        <v>Yes</v>
      </c>
      <c r="L26" s="306" t="str">
        <f t="shared" si="24"/>
        <v>No</v>
      </c>
      <c r="M26" s="168"/>
      <c r="N26" s="169">
        <f t="shared" si="3"/>
        <v>11500</v>
      </c>
      <c r="O26" s="170">
        <f t="shared" si="4"/>
        <v>4600</v>
      </c>
      <c r="P26" s="170">
        <f t="shared" si="5"/>
        <v>1600</v>
      </c>
      <c r="Q26" s="170">
        <f t="shared" si="6"/>
        <v>958</v>
      </c>
      <c r="R26" s="170">
        <f t="shared" si="7"/>
        <v>9542</v>
      </c>
      <c r="S26" s="170">
        <f t="shared" si="8"/>
        <v>1800</v>
      </c>
      <c r="T26" s="170">
        <f t="shared" si="9"/>
        <v>1800</v>
      </c>
      <c r="U26" s="170">
        <f t="shared" si="10"/>
        <v>0</v>
      </c>
      <c r="V26" s="262">
        <f t="shared" si="25"/>
        <v>31800</v>
      </c>
      <c r="W26" s="160">
        <f t="shared" si="26"/>
        <v>1800</v>
      </c>
      <c r="X26" s="160">
        <f t="shared" si="27"/>
        <v>1800</v>
      </c>
      <c r="Y26" s="160">
        <f t="shared" si="28"/>
        <v>0</v>
      </c>
      <c r="Z26" s="160">
        <f t="shared" si="29"/>
        <v>0</v>
      </c>
      <c r="AA26" s="160">
        <f t="shared" si="30"/>
        <v>200</v>
      </c>
      <c r="AB26" s="160">
        <f t="shared" si="31"/>
        <v>0</v>
      </c>
      <c r="AC26" s="160">
        <f t="shared" si="32"/>
        <v>0</v>
      </c>
      <c r="AD26" s="307">
        <f t="shared" si="33"/>
        <v>28000</v>
      </c>
      <c r="AE26" s="308" t="str">
        <f t="shared" si="34"/>
        <v>Male</v>
      </c>
      <c r="AF26" s="163">
        <f t="shared" si="14"/>
        <v>0</v>
      </c>
      <c r="AG26" s="163">
        <f t="shared" si="15"/>
        <v>7</v>
      </c>
      <c r="AH26" s="163">
        <f t="shared" si="16"/>
        <v>7</v>
      </c>
      <c r="AJ26" s="165" t="str">
        <f t="shared" si="17"/>
        <v/>
      </c>
      <c r="AK26" s="180" t="str">
        <f t="shared" si="18"/>
        <v>Yes</v>
      </c>
      <c r="AM26" s="179"/>
      <c r="AN26" s="179"/>
      <c r="AP26" s="166">
        <f t="shared" si="35"/>
        <v>7</v>
      </c>
      <c r="AQ26" s="166">
        <f t="shared" si="19"/>
        <v>0</v>
      </c>
      <c r="AR26" s="166">
        <f t="shared" si="20"/>
        <v>0</v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IF($J$1="Active",IF(Salary_Master!B27="","",_xlfn.IFS(Salary_Master!M27="Working",IF(Salary_Master!H27&lt;=DATE(2025,5,31),Salary_Master!B27,""),Salary_Master!M27="Left",IF(Salary_Master!N27&gt;DATE(2025,4,30),Salary_Master!B27,""))),"")</f>
        <v>Jatin Bhosale</v>
      </c>
      <c r="C27" s="304">
        <v>31</v>
      </c>
      <c r="D27" s="305">
        <f t="shared" si="21"/>
        <v>30</v>
      </c>
      <c r="E27" s="177">
        <v>1</v>
      </c>
      <c r="F27" s="177"/>
      <c r="G27" s="177"/>
      <c r="H27" s="305">
        <f t="shared" si="22"/>
        <v>31</v>
      </c>
      <c r="I27" s="177"/>
      <c r="J27" s="177">
        <v>10</v>
      </c>
      <c r="K27" s="306" t="str">
        <f t="shared" si="23"/>
        <v>Yes</v>
      </c>
      <c r="L27" s="306" t="str">
        <f t="shared" si="24"/>
        <v>No</v>
      </c>
      <c r="M27" s="168"/>
      <c r="N27" s="169">
        <f t="shared" si="3"/>
        <v>15000</v>
      </c>
      <c r="O27" s="170">
        <f t="shared" si="4"/>
        <v>6000</v>
      </c>
      <c r="P27" s="170">
        <f t="shared" si="5"/>
        <v>1600</v>
      </c>
      <c r="Q27" s="170">
        <f t="shared" si="6"/>
        <v>1250</v>
      </c>
      <c r="R27" s="170">
        <f t="shared" si="7"/>
        <v>47550</v>
      </c>
      <c r="S27" s="170">
        <f t="shared" si="8"/>
        <v>1800</v>
      </c>
      <c r="T27" s="170">
        <f t="shared" si="9"/>
        <v>1800</v>
      </c>
      <c r="U27" s="170">
        <f t="shared" si="10"/>
        <v>0</v>
      </c>
      <c r="V27" s="262">
        <f t="shared" si="25"/>
        <v>75000</v>
      </c>
      <c r="W27" s="160">
        <f t="shared" si="26"/>
        <v>1800</v>
      </c>
      <c r="X27" s="160">
        <f t="shared" si="27"/>
        <v>1800</v>
      </c>
      <c r="Y27" s="160">
        <f t="shared" si="28"/>
        <v>0</v>
      </c>
      <c r="Z27" s="160">
        <f t="shared" si="29"/>
        <v>0</v>
      </c>
      <c r="AA27" s="160">
        <f t="shared" si="30"/>
        <v>200</v>
      </c>
      <c r="AB27" s="160">
        <f t="shared" si="31"/>
        <v>0</v>
      </c>
      <c r="AC27" s="160">
        <f t="shared" si="32"/>
        <v>0</v>
      </c>
      <c r="AD27" s="307">
        <f t="shared" si="33"/>
        <v>71200</v>
      </c>
      <c r="AE27" s="308" t="str">
        <f t="shared" si="34"/>
        <v>Male</v>
      </c>
      <c r="AF27" s="163">
        <f t="shared" si="14"/>
        <v>3.5</v>
      </c>
      <c r="AG27" s="163">
        <f t="shared" si="15"/>
        <v>7</v>
      </c>
      <c r="AH27" s="163">
        <f t="shared" si="16"/>
        <v>7</v>
      </c>
      <c r="AJ27" s="165" t="str">
        <f t="shared" si="17"/>
        <v/>
      </c>
      <c r="AK27" s="180" t="str">
        <f t="shared" si="18"/>
        <v>Yes</v>
      </c>
      <c r="AM27" s="179"/>
      <c r="AN27" s="179"/>
      <c r="AP27" s="166">
        <f t="shared" si="35"/>
        <v>3.5</v>
      </c>
      <c r="AQ27" s="166">
        <f t="shared" si="19"/>
        <v>0</v>
      </c>
      <c r="AR27" s="166">
        <f t="shared" si="20"/>
        <v>0</v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IF($J$1="Active",IF(Salary_Master!B28="","",_xlfn.IFS(Salary_Master!M28="Working",IF(Salary_Master!H28&lt;=DATE(2025,5,31),Salary_Master!B28,""),Salary_Master!M28="Left",IF(Salary_Master!N28&gt;DATE(2025,4,30),Salary_Master!B28,""))),"")</f>
        <v>Pratik Lotankar</v>
      </c>
      <c r="C28" s="304">
        <v>31</v>
      </c>
      <c r="D28" s="305">
        <f t="shared" si="21"/>
        <v>27</v>
      </c>
      <c r="E28" s="177">
        <v>4</v>
      </c>
      <c r="F28" s="177"/>
      <c r="G28" s="177"/>
      <c r="H28" s="305">
        <f t="shared" si="22"/>
        <v>31</v>
      </c>
      <c r="I28" s="177"/>
      <c r="J28" s="177">
        <v>2</v>
      </c>
      <c r="K28" s="306" t="str">
        <f t="shared" si="23"/>
        <v>Yes</v>
      </c>
      <c r="L28" s="306" t="str">
        <f t="shared" si="24"/>
        <v>No</v>
      </c>
      <c r="M28" s="168"/>
      <c r="N28" s="169">
        <f t="shared" si="3"/>
        <v>15000</v>
      </c>
      <c r="O28" s="170">
        <f t="shared" si="4"/>
        <v>6000</v>
      </c>
      <c r="P28" s="170">
        <f t="shared" si="5"/>
        <v>1600</v>
      </c>
      <c r="Q28" s="170">
        <f t="shared" si="6"/>
        <v>1250</v>
      </c>
      <c r="R28" s="170">
        <f t="shared" si="7"/>
        <v>43550</v>
      </c>
      <c r="S28" s="170">
        <f t="shared" si="8"/>
        <v>1800</v>
      </c>
      <c r="T28" s="170">
        <f t="shared" si="9"/>
        <v>1800</v>
      </c>
      <c r="U28" s="170">
        <f t="shared" si="10"/>
        <v>0</v>
      </c>
      <c r="V28" s="262">
        <f t="shared" si="25"/>
        <v>71000</v>
      </c>
      <c r="W28" s="160">
        <f t="shared" si="26"/>
        <v>1800</v>
      </c>
      <c r="X28" s="160">
        <f t="shared" si="27"/>
        <v>1800</v>
      </c>
      <c r="Y28" s="160">
        <f t="shared" si="28"/>
        <v>0</v>
      </c>
      <c r="Z28" s="160">
        <f t="shared" si="29"/>
        <v>0</v>
      </c>
      <c r="AA28" s="160">
        <f t="shared" si="30"/>
        <v>200</v>
      </c>
      <c r="AB28" s="160">
        <f t="shared" si="31"/>
        <v>0</v>
      </c>
      <c r="AC28" s="160">
        <f t="shared" si="32"/>
        <v>0</v>
      </c>
      <c r="AD28" s="307">
        <f t="shared" si="33"/>
        <v>67200</v>
      </c>
      <c r="AE28" s="308" t="str">
        <f t="shared" si="34"/>
        <v>Male</v>
      </c>
      <c r="AF28" s="163">
        <f t="shared" si="14"/>
        <v>1.5</v>
      </c>
      <c r="AG28" s="163">
        <f t="shared" si="15"/>
        <v>7</v>
      </c>
      <c r="AH28" s="163">
        <f t="shared" si="16"/>
        <v>7</v>
      </c>
      <c r="AJ28" s="165" t="str">
        <f t="shared" si="17"/>
        <v/>
      </c>
      <c r="AK28" s="180" t="str">
        <f t="shared" si="18"/>
        <v>Yes</v>
      </c>
      <c r="AM28" s="179"/>
      <c r="AN28" s="179"/>
      <c r="AP28" s="166">
        <f t="shared" si="35"/>
        <v>5.5</v>
      </c>
      <c r="AQ28" s="166">
        <f t="shared" si="19"/>
        <v>0</v>
      </c>
      <c r="AR28" s="166">
        <f t="shared" si="20"/>
        <v>0</v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IF($J$1="Active",IF(Salary_Master!B29="","",_xlfn.IFS(Salary_Master!M29="Working",IF(Salary_Master!H29&lt;=DATE(2025,5,31),Salary_Master!B29,""),Salary_Master!M29="Left",IF(Salary_Master!N29&gt;DATE(2025,4,30),Salary_Master!B29,""))),"")</f>
        <v>Jyoti Sawant</v>
      </c>
      <c r="C29" s="304">
        <v>31</v>
      </c>
      <c r="D29" s="305">
        <f t="shared" si="21"/>
        <v>28</v>
      </c>
      <c r="E29" s="177">
        <v>3</v>
      </c>
      <c r="F29" s="177"/>
      <c r="G29" s="177"/>
      <c r="H29" s="305">
        <f t="shared" si="22"/>
        <v>31</v>
      </c>
      <c r="I29" s="177"/>
      <c r="J29" s="177">
        <v>6</v>
      </c>
      <c r="K29" s="306" t="str">
        <f t="shared" si="23"/>
        <v>Yes</v>
      </c>
      <c r="L29" s="306" t="str">
        <f t="shared" si="24"/>
        <v>No</v>
      </c>
      <c r="M29" s="168"/>
      <c r="N29" s="169">
        <f t="shared" si="3"/>
        <v>10000</v>
      </c>
      <c r="O29" s="170">
        <f t="shared" si="4"/>
        <v>2000</v>
      </c>
      <c r="P29" s="170">
        <f t="shared" si="5"/>
        <v>1600</v>
      </c>
      <c r="Q29" s="170">
        <f t="shared" si="6"/>
        <v>833</v>
      </c>
      <c r="R29" s="170">
        <f t="shared" si="7"/>
        <v>12967</v>
      </c>
      <c r="S29" s="170">
        <f t="shared" si="8"/>
        <v>1800</v>
      </c>
      <c r="T29" s="170">
        <f t="shared" si="9"/>
        <v>1800</v>
      </c>
      <c r="U29" s="170">
        <f t="shared" si="10"/>
        <v>0</v>
      </c>
      <c r="V29" s="262">
        <f t="shared" si="25"/>
        <v>31000</v>
      </c>
      <c r="W29" s="160">
        <f t="shared" si="26"/>
        <v>1800</v>
      </c>
      <c r="X29" s="160">
        <f t="shared" si="27"/>
        <v>1800</v>
      </c>
      <c r="Y29" s="160">
        <f t="shared" si="28"/>
        <v>0</v>
      </c>
      <c r="Z29" s="160">
        <f t="shared" si="29"/>
        <v>0</v>
      </c>
      <c r="AA29" s="160">
        <f t="shared" si="30"/>
        <v>200</v>
      </c>
      <c r="AB29" s="160">
        <f t="shared" si="31"/>
        <v>0</v>
      </c>
      <c r="AC29" s="160">
        <f t="shared" si="32"/>
        <v>0</v>
      </c>
      <c r="AD29" s="307">
        <f t="shared" si="33"/>
        <v>27200</v>
      </c>
      <c r="AE29" s="308" t="str">
        <f t="shared" si="34"/>
        <v>Female</v>
      </c>
      <c r="AF29" s="163">
        <f t="shared" si="14"/>
        <v>1</v>
      </c>
      <c r="AG29" s="163">
        <f t="shared" si="15"/>
        <v>7</v>
      </c>
      <c r="AH29" s="163">
        <f t="shared" si="16"/>
        <v>7</v>
      </c>
      <c r="AJ29" s="165" t="str">
        <f t="shared" si="17"/>
        <v/>
      </c>
      <c r="AK29" s="180" t="str">
        <f t="shared" si="18"/>
        <v>Yes</v>
      </c>
      <c r="AM29" s="179"/>
      <c r="AN29" s="179"/>
      <c r="AP29" s="166">
        <f t="shared" si="35"/>
        <v>6</v>
      </c>
      <c r="AQ29" s="166">
        <f t="shared" si="19"/>
        <v>0</v>
      </c>
      <c r="AR29" s="166">
        <f t="shared" si="20"/>
        <v>0</v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IF($J$1="Active",IF(Salary_Master!B30="","",_xlfn.IFS(Salary_Master!M30="Working",IF(Salary_Master!H30&lt;=DATE(2025,5,31),Salary_Master!B30,""),Salary_Master!M30="Left",IF(Salary_Master!N30&gt;DATE(2025,4,30),Salary_Master!B30,""))),"")</f>
        <v>Deepu Raj</v>
      </c>
      <c r="C30" s="304">
        <v>31</v>
      </c>
      <c r="D30" s="305">
        <f t="shared" si="21"/>
        <v>31</v>
      </c>
      <c r="E30" s="177"/>
      <c r="F30" s="177"/>
      <c r="G30" s="177"/>
      <c r="H30" s="305">
        <f t="shared" si="22"/>
        <v>31</v>
      </c>
      <c r="I30" s="177"/>
      <c r="J30" s="177">
        <v>0</v>
      </c>
      <c r="K30" s="306" t="str">
        <f t="shared" si="23"/>
        <v>No</v>
      </c>
      <c r="L30" s="306" t="str">
        <f t="shared" si="24"/>
        <v>No</v>
      </c>
      <c r="M30" s="168"/>
      <c r="N30" s="169">
        <f t="shared" si="3"/>
        <v>15000</v>
      </c>
      <c r="O30" s="170">
        <f t="shared" si="4"/>
        <v>6000</v>
      </c>
      <c r="P30" s="170">
        <f t="shared" si="5"/>
        <v>1600</v>
      </c>
      <c r="Q30" s="170">
        <f t="shared" si="6"/>
        <v>1250</v>
      </c>
      <c r="R30" s="170">
        <f t="shared" si="7"/>
        <v>11150</v>
      </c>
      <c r="S30" s="170">
        <f t="shared" si="8"/>
        <v>0</v>
      </c>
      <c r="T30" s="170">
        <f t="shared" si="9"/>
        <v>0</v>
      </c>
      <c r="U30" s="170">
        <f t="shared" si="10"/>
        <v>0</v>
      </c>
      <c r="V30" s="262">
        <f t="shared" si="25"/>
        <v>35000</v>
      </c>
      <c r="W30" s="160">
        <f t="shared" si="26"/>
        <v>0</v>
      </c>
      <c r="X30" s="160">
        <f t="shared" si="27"/>
        <v>0</v>
      </c>
      <c r="Y30" s="160">
        <f t="shared" si="28"/>
        <v>0</v>
      </c>
      <c r="Z30" s="160">
        <f t="shared" si="29"/>
        <v>0</v>
      </c>
      <c r="AA30" s="160">
        <f t="shared" si="30"/>
        <v>200</v>
      </c>
      <c r="AB30" s="160">
        <f t="shared" si="31"/>
        <v>0</v>
      </c>
      <c r="AC30" s="160">
        <f t="shared" si="32"/>
        <v>0</v>
      </c>
      <c r="AD30" s="307">
        <f t="shared" si="33"/>
        <v>34800</v>
      </c>
      <c r="AE30" s="308" t="str">
        <f t="shared" si="34"/>
        <v>Male</v>
      </c>
      <c r="AF30" s="163">
        <f t="shared" si="14"/>
        <v>7</v>
      </c>
      <c r="AG30" s="163">
        <f t="shared" si="15"/>
        <v>7</v>
      </c>
      <c r="AH30" s="163">
        <f t="shared" si="16"/>
        <v>7</v>
      </c>
      <c r="AJ30" s="165" t="str">
        <f t="shared" si="17"/>
        <v/>
      </c>
      <c r="AK30" s="180" t="str">
        <f t="shared" si="18"/>
        <v>Yes</v>
      </c>
      <c r="AM30" s="179"/>
      <c r="AN30" s="179"/>
      <c r="AP30" s="166">
        <f t="shared" si="35"/>
        <v>0</v>
      </c>
      <c r="AQ30" s="166">
        <f t="shared" si="19"/>
        <v>0</v>
      </c>
      <c r="AR30" s="166">
        <f t="shared" si="20"/>
        <v>0</v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IF($J$1="Active",IF(Salary_Master!B31="","",_xlfn.IFS(Salary_Master!M31="Working",IF(Salary_Master!H31&lt;=DATE(2025,5,31),Salary_Master!B31,""),Salary_Master!M31="Left",IF(Salary_Master!N31&gt;DATE(2025,4,30),Salary_Master!B31,""))),"")</f>
        <v xml:space="preserve">Vicky Kumar </v>
      </c>
      <c r="C31" s="304">
        <v>31</v>
      </c>
      <c r="D31" s="305">
        <f t="shared" si="21"/>
        <v>31</v>
      </c>
      <c r="E31" s="177"/>
      <c r="F31" s="177"/>
      <c r="G31" s="177"/>
      <c r="H31" s="305">
        <f t="shared" si="22"/>
        <v>31</v>
      </c>
      <c r="I31" s="177"/>
      <c r="J31" s="177">
        <v>0</v>
      </c>
      <c r="K31" s="306" t="str">
        <f t="shared" si="23"/>
        <v>Yes</v>
      </c>
      <c r="L31" s="306" t="str">
        <f t="shared" si="24"/>
        <v>No</v>
      </c>
      <c r="M31" s="168"/>
      <c r="N31" s="169">
        <f t="shared" si="3"/>
        <v>10000</v>
      </c>
      <c r="O31" s="170">
        <f t="shared" si="4"/>
        <v>2000</v>
      </c>
      <c r="P31" s="170">
        <f t="shared" si="5"/>
        <v>1600</v>
      </c>
      <c r="Q31" s="170">
        <f t="shared" si="6"/>
        <v>833</v>
      </c>
      <c r="R31" s="170">
        <f t="shared" si="7"/>
        <v>4967</v>
      </c>
      <c r="S31" s="170">
        <f t="shared" si="8"/>
        <v>1800</v>
      </c>
      <c r="T31" s="170">
        <f t="shared" si="9"/>
        <v>1800</v>
      </c>
      <c r="U31" s="170">
        <f t="shared" si="10"/>
        <v>0</v>
      </c>
      <c r="V31" s="262">
        <f t="shared" si="25"/>
        <v>23000</v>
      </c>
      <c r="W31" s="160">
        <f t="shared" si="26"/>
        <v>1800</v>
      </c>
      <c r="X31" s="160">
        <f t="shared" si="27"/>
        <v>1800</v>
      </c>
      <c r="Y31" s="160">
        <f t="shared" si="28"/>
        <v>0</v>
      </c>
      <c r="Z31" s="160">
        <f t="shared" si="29"/>
        <v>0</v>
      </c>
      <c r="AA31" s="160">
        <f t="shared" si="30"/>
        <v>200</v>
      </c>
      <c r="AB31" s="160">
        <f t="shared" si="31"/>
        <v>0</v>
      </c>
      <c r="AC31" s="160">
        <f t="shared" si="32"/>
        <v>0</v>
      </c>
      <c r="AD31" s="307">
        <f t="shared" si="33"/>
        <v>19200</v>
      </c>
      <c r="AE31" s="308" t="str">
        <f t="shared" si="34"/>
        <v>Male</v>
      </c>
      <c r="AF31" s="163">
        <f t="shared" si="14"/>
        <v>6</v>
      </c>
      <c r="AG31" s="163">
        <f t="shared" si="15"/>
        <v>7</v>
      </c>
      <c r="AH31" s="163">
        <f t="shared" si="16"/>
        <v>7</v>
      </c>
      <c r="AJ31" s="165" t="str">
        <f t="shared" si="17"/>
        <v/>
      </c>
      <c r="AK31" s="180" t="str">
        <f t="shared" si="18"/>
        <v>Yes</v>
      </c>
      <c r="AM31" s="179"/>
      <c r="AN31" s="179"/>
      <c r="AP31" s="166">
        <f t="shared" si="35"/>
        <v>1</v>
      </c>
      <c r="AQ31" s="166">
        <f t="shared" si="19"/>
        <v>0</v>
      </c>
      <c r="AR31" s="166">
        <f t="shared" si="20"/>
        <v>0</v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IF($J$1="Active",IF(Salary_Master!B32="","",_xlfn.IFS(Salary_Master!M32="Working",IF(Salary_Master!H32&lt;=DATE(2025,5,31),Salary_Master!B32,""),Salary_Master!M32="Left",IF(Salary_Master!N32&gt;DATE(2025,4,30),Salary_Master!B32,""))),"")</f>
        <v>Waman Bandekar</v>
      </c>
      <c r="C32" s="304">
        <v>31</v>
      </c>
      <c r="D32" s="305">
        <f t="shared" si="21"/>
        <v>30.5</v>
      </c>
      <c r="E32" s="177"/>
      <c r="F32" s="177">
        <v>0.5</v>
      </c>
      <c r="G32" s="177"/>
      <c r="H32" s="305">
        <f t="shared" si="22"/>
        <v>31</v>
      </c>
      <c r="I32" s="177"/>
      <c r="J32" s="177">
        <v>1</v>
      </c>
      <c r="K32" s="306" t="str">
        <f t="shared" si="23"/>
        <v>Yes</v>
      </c>
      <c r="L32" s="306" t="str">
        <f t="shared" si="24"/>
        <v>Yes</v>
      </c>
      <c r="M32" s="168"/>
      <c r="N32" s="169">
        <f t="shared" si="3"/>
        <v>10000</v>
      </c>
      <c r="O32" s="170">
        <f t="shared" si="4"/>
        <v>2000</v>
      </c>
      <c r="P32" s="170">
        <f t="shared" si="5"/>
        <v>1600</v>
      </c>
      <c r="Q32" s="170">
        <f t="shared" si="6"/>
        <v>833</v>
      </c>
      <c r="R32" s="170">
        <f t="shared" si="7"/>
        <v>1317</v>
      </c>
      <c r="S32" s="170">
        <f t="shared" si="8"/>
        <v>1800</v>
      </c>
      <c r="T32" s="170">
        <f t="shared" si="9"/>
        <v>1800</v>
      </c>
      <c r="U32" s="170">
        <f t="shared" si="10"/>
        <v>650</v>
      </c>
      <c r="V32" s="262">
        <f t="shared" si="25"/>
        <v>20000</v>
      </c>
      <c r="W32" s="160">
        <f t="shared" si="26"/>
        <v>1800</v>
      </c>
      <c r="X32" s="160">
        <f t="shared" si="27"/>
        <v>1800</v>
      </c>
      <c r="Y32" s="160">
        <f t="shared" si="28"/>
        <v>150</v>
      </c>
      <c r="Z32" s="160">
        <f t="shared" si="29"/>
        <v>650</v>
      </c>
      <c r="AA32" s="160">
        <f t="shared" si="30"/>
        <v>200</v>
      </c>
      <c r="AB32" s="160">
        <f t="shared" si="31"/>
        <v>0</v>
      </c>
      <c r="AC32" s="160">
        <f t="shared" si="32"/>
        <v>0</v>
      </c>
      <c r="AD32" s="307">
        <f t="shared" si="33"/>
        <v>15400</v>
      </c>
      <c r="AE32" s="308" t="str">
        <f t="shared" si="34"/>
        <v>Male</v>
      </c>
      <c r="AF32" s="163">
        <f t="shared" si="14"/>
        <v>0</v>
      </c>
      <c r="AG32" s="163">
        <f t="shared" si="15"/>
        <v>5.5</v>
      </c>
      <c r="AH32" s="163">
        <f t="shared" si="16"/>
        <v>7</v>
      </c>
      <c r="AJ32" s="165" t="str">
        <f t="shared" si="17"/>
        <v/>
      </c>
      <c r="AK32" s="180" t="str">
        <f t="shared" si="18"/>
        <v>Yes</v>
      </c>
      <c r="AM32" s="179"/>
      <c r="AN32" s="179"/>
      <c r="AP32" s="166">
        <f t="shared" si="35"/>
        <v>7</v>
      </c>
      <c r="AQ32" s="166">
        <f t="shared" si="19"/>
        <v>1.5</v>
      </c>
      <c r="AR32" s="166">
        <f t="shared" si="20"/>
        <v>0</v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IF($J$1="Active",IF(Salary_Master!B33="","",_xlfn.IFS(Salary_Master!M33="Working",IF(Salary_Master!H33&lt;=DATE(2025,5,31),Salary_Master!B33,""),Salary_Master!M33="Left",IF(Salary_Master!N33&gt;DATE(2025,4,30),Salary_Master!B33,""))),"")</f>
        <v/>
      </c>
      <c r="C33" s="304">
        <v>31</v>
      </c>
      <c r="D33" s="305" t="str">
        <f t="shared" si="21"/>
        <v/>
      </c>
      <c r="E33" s="177"/>
      <c r="F33" s="177"/>
      <c r="G33" s="177"/>
      <c r="H33" s="305" t="str">
        <f t="shared" si="22"/>
        <v/>
      </c>
      <c r="I33" s="177"/>
      <c r="J33" s="177"/>
      <c r="K33" s="306" t="str">
        <f t="shared" si="23"/>
        <v/>
      </c>
      <c r="L33" s="306" t="str">
        <f t="shared" si="24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5"/>
        <v>0</v>
      </c>
      <c r="W33" s="160">
        <f t="shared" si="26"/>
        <v>0</v>
      </c>
      <c r="X33" s="160">
        <f t="shared" si="27"/>
        <v>0</v>
      </c>
      <c r="Y33" s="160">
        <f t="shared" si="28"/>
        <v>0</v>
      </c>
      <c r="Z33" s="160">
        <f t="shared" si="29"/>
        <v>0</v>
      </c>
      <c r="AA33" s="160">
        <f t="shared" si="30"/>
        <v>0</v>
      </c>
      <c r="AB33" s="160">
        <f t="shared" si="31"/>
        <v>0</v>
      </c>
      <c r="AC33" s="160">
        <f t="shared" si="32"/>
        <v>0</v>
      </c>
      <c r="AD33" s="307">
        <f t="shared" si="33"/>
        <v>0</v>
      </c>
      <c r="AE33" s="308" t="str">
        <f t="shared" si="34"/>
        <v/>
      </c>
      <c r="AF33" s="163" t="str">
        <f t="shared" si="14"/>
        <v/>
      </c>
      <c r="AG33" s="163" t="str">
        <f t="shared" si="15"/>
        <v/>
      </c>
      <c r="AH33" s="163" t="str">
        <f t="shared" si="16"/>
        <v/>
      </c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35"/>
        <v/>
      </c>
      <c r="AQ33" s="166" t="str">
        <f t="shared" si="19"/>
        <v/>
      </c>
      <c r="AR33" s="166" t="str">
        <f t="shared" si="20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IF($J$1="Active",IF(Salary_Master!B34="","",_xlfn.IFS(Salary_Master!M34="Working",IF(Salary_Master!H34&lt;=DATE(2025,5,31),Salary_Master!B34,""),Salary_Master!M34="Left",IF(Salary_Master!N34&gt;DATE(2025,4,30),Salary_Master!B34,""))),"")</f>
        <v/>
      </c>
      <c r="C34" s="304">
        <v>31</v>
      </c>
      <c r="D34" s="305" t="str">
        <f t="shared" si="21"/>
        <v/>
      </c>
      <c r="E34" s="177"/>
      <c r="F34" s="177"/>
      <c r="G34" s="177"/>
      <c r="H34" s="305" t="str">
        <f t="shared" si="22"/>
        <v/>
      </c>
      <c r="I34" s="177"/>
      <c r="J34" s="177"/>
      <c r="K34" s="306" t="str">
        <f t="shared" si="23"/>
        <v/>
      </c>
      <c r="L34" s="306" t="str">
        <f t="shared" si="24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5"/>
        <v>0</v>
      </c>
      <c r="W34" s="160">
        <f t="shared" si="26"/>
        <v>0</v>
      </c>
      <c r="X34" s="160">
        <f t="shared" si="27"/>
        <v>0</v>
      </c>
      <c r="Y34" s="160">
        <f t="shared" si="28"/>
        <v>0</v>
      </c>
      <c r="Z34" s="160">
        <f t="shared" si="29"/>
        <v>0</v>
      </c>
      <c r="AA34" s="160">
        <f t="shared" si="30"/>
        <v>0</v>
      </c>
      <c r="AB34" s="160">
        <f t="shared" si="31"/>
        <v>0</v>
      </c>
      <c r="AC34" s="160">
        <f t="shared" si="32"/>
        <v>0</v>
      </c>
      <c r="AD34" s="307">
        <f t="shared" si="33"/>
        <v>0</v>
      </c>
      <c r="AE34" s="308" t="str">
        <f t="shared" si="34"/>
        <v/>
      </c>
      <c r="AF34" s="163" t="str">
        <f t="shared" si="14"/>
        <v/>
      </c>
      <c r="AG34" s="163" t="str">
        <f t="shared" si="15"/>
        <v/>
      </c>
      <c r="AH34" s="163" t="str">
        <f t="shared" si="16"/>
        <v/>
      </c>
      <c r="AJ34" s="165" t="str">
        <f t="shared" si="17"/>
        <v/>
      </c>
      <c r="AK34" s="180" t="str">
        <f t="shared" si="18"/>
        <v/>
      </c>
      <c r="AM34" s="179"/>
      <c r="AN34" s="179"/>
      <c r="AP34" s="166" t="str">
        <f t="shared" si="35"/>
        <v/>
      </c>
      <c r="AQ34" s="166" t="str">
        <f t="shared" si="19"/>
        <v/>
      </c>
      <c r="AR34" s="166" t="str">
        <f t="shared" si="20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IF($J$1="Active",IF(Salary_Master!B35="","",_xlfn.IFS(Salary_Master!M35="Working",IF(Salary_Master!H35&lt;=DATE(2025,5,31),Salary_Master!B35,""),Salary_Master!M35="Left",IF(Salary_Master!N35&gt;DATE(2025,4,30),Salary_Master!B35,""))),"")</f>
        <v/>
      </c>
      <c r="C35" s="304">
        <v>31</v>
      </c>
      <c r="D35" s="305" t="str">
        <f t="shared" si="21"/>
        <v/>
      </c>
      <c r="E35" s="177"/>
      <c r="F35" s="177"/>
      <c r="G35" s="177"/>
      <c r="H35" s="305" t="str">
        <f t="shared" si="22"/>
        <v/>
      </c>
      <c r="I35" s="177"/>
      <c r="J35" s="177"/>
      <c r="K35" s="306" t="str">
        <f t="shared" si="23"/>
        <v/>
      </c>
      <c r="L35" s="306" t="str">
        <f t="shared" si="24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5"/>
        <v>0</v>
      </c>
      <c r="W35" s="160">
        <f t="shared" si="26"/>
        <v>0</v>
      </c>
      <c r="X35" s="160">
        <f t="shared" si="27"/>
        <v>0</v>
      </c>
      <c r="Y35" s="160">
        <f t="shared" si="28"/>
        <v>0</v>
      </c>
      <c r="Z35" s="160">
        <f t="shared" si="29"/>
        <v>0</v>
      </c>
      <c r="AA35" s="160">
        <f t="shared" si="30"/>
        <v>0</v>
      </c>
      <c r="AB35" s="160">
        <f t="shared" si="31"/>
        <v>0</v>
      </c>
      <c r="AC35" s="160">
        <f t="shared" si="32"/>
        <v>0</v>
      </c>
      <c r="AD35" s="307">
        <f t="shared" si="33"/>
        <v>0</v>
      </c>
      <c r="AE35" s="308" t="str">
        <f t="shared" si="34"/>
        <v/>
      </c>
      <c r="AF35" s="163" t="str">
        <f t="shared" si="14"/>
        <v/>
      </c>
      <c r="AG35" s="163" t="str">
        <f t="shared" si="15"/>
        <v/>
      </c>
      <c r="AH35" s="163" t="str">
        <f t="shared" si="16"/>
        <v/>
      </c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35"/>
        <v/>
      </c>
      <c r="AQ35" s="166" t="str">
        <f t="shared" si="19"/>
        <v/>
      </c>
      <c r="AR35" s="166" t="str">
        <f t="shared" si="20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IF($J$1="Active",IF(Salary_Master!B36="","",_xlfn.IFS(Salary_Master!M36="Working",IF(Salary_Master!H36&lt;=DATE(2025,5,31),Salary_Master!B36,""),Salary_Master!M36="Left",IF(Salary_Master!N36&gt;DATE(2025,4,30),Salary_Master!B36,""))),"")</f>
        <v/>
      </c>
      <c r="C36" s="304">
        <v>31</v>
      </c>
      <c r="D36" s="305" t="str">
        <f t="shared" si="21"/>
        <v/>
      </c>
      <c r="E36" s="177"/>
      <c r="F36" s="177"/>
      <c r="G36" s="177"/>
      <c r="H36" s="305" t="str">
        <f t="shared" si="22"/>
        <v/>
      </c>
      <c r="I36" s="177"/>
      <c r="J36" s="177"/>
      <c r="K36" s="306" t="str">
        <f t="shared" si="23"/>
        <v/>
      </c>
      <c r="L36" s="306" t="str">
        <f t="shared" si="24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5"/>
        <v>0</v>
      </c>
      <c r="W36" s="160">
        <f t="shared" si="26"/>
        <v>0</v>
      </c>
      <c r="X36" s="160">
        <f t="shared" si="27"/>
        <v>0</v>
      </c>
      <c r="Y36" s="160">
        <f t="shared" si="28"/>
        <v>0</v>
      </c>
      <c r="Z36" s="160">
        <f t="shared" si="29"/>
        <v>0</v>
      </c>
      <c r="AA36" s="160">
        <f t="shared" si="30"/>
        <v>0</v>
      </c>
      <c r="AB36" s="160">
        <f t="shared" si="31"/>
        <v>0</v>
      </c>
      <c r="AC36" s="160">
        <f t="shared" si="32"/>
        <v>0</v>
      </c>
      <c r="AD36" s="307">
        <f t="shared" si="33"/>
        <v>0</v>
      </c>
      <c r="AE36" s="308" t="str">
        <f t="shared" si="34"/>
        <v/>
      </c>
      <c r="AF36" s="163" t="str">
        <f t="shared" si="14"/>
        <v/>
      </c>
      <c r="AG36" s="163" t="str">
        <f t="shared" si="15"/>
        <v/>
      </c>
      <c r="AH36" s="163" t="str">
        <f t="shared" si="16"/>
        <v/>
      </c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35"/>
        <v/>
      </c>
      <c r="AQ36" s="166" t="str">
        <f t="shared" si="19"/>
        <v/>
      </c>
      <c r="AR36" s="166" t="str">
        <f t="shared" si="20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IF($J$1="Active",IF(Salary_Master!B37="","",_xlfn.IFS(Salary_Master!M37="Working",IF(Salary_Master!H37&lt;=DATE(2025,5,31),Salary_Master!B37,""),Salary_Master!M37="Left",IF(Salary_Master!N37&gt;DATE(2025,4,30),Salary_Master!B37,""))),"")</f>
        <v/>
      </c>
      <c r="C37" s="304">
        <v>31</v>
      </c>
      <c r="D37" s="305" t="str">
        <f t="shared" si="21"/>
        <v/>
      </c>
      <c r="E37" s="177"/>
      <c r="F37" s="177"/>
      <c r="G37" s="177"/>
      <c r="H37" s="305" t="str">
        <f t="shared" si="22"/>
        <v/>
      </c>
      <c r="I37" s="177"/>
      <c r="J37" s="177"/>
      <c r="K37" s="306" t="str">
        <f t="shared" si="23"/>
        <v/>
      </c>
      <c r="L37" s="306" t="str">
        <f t="shared" si="24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5"/>
        <v>0</v>
      </c>
      <c r="W37" s="160">
        <f t="shared" si="26"/>
        <v>0</v>
      </c>
      <c r="X37" s="160">
        <f t="shared" si="27"/>
        <v>0</v>
      </c>
      <c r="Y37" s="160">
        <f t="shared" si="28"/>
        <v>0</v>
      </c>
      <c r="Z37" s="160">
        <f t="shared" si="29"/>
        <v>0</v>
      </c>
      <c r="AA37" s="160">
        <f t="shared" si="30"/>
        <v>0</v>
      </c>
      <c r="AB37" s="160">
        <f t="shared" si="31"/>
        <v>0</v>
      </c>
      <c r="AC37" s="160">
        <f t="shared" si="32"/>
        <v>0</v>
      </c>
      <c r="AD37" s="307">
        <f t="shared" si="33"/>
        <v>0</v>
      </c>
      <c r="AE37" s="308" t="str">
        <f t="shared" si="34"/>
        <v/>
      </c>
      <c r="AF37" s="163" t="str">
        <f t="shared" si="14"/>
        <v/>
      </c>
      <c r="AG37" s="163" t="str">
        <f t="shared" si="15"/>
        <v/>
      </c>
      <c r="AH37" s="163" t="str">
        <f t="shared" si="16"/>
        <v/>
      </c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35"/>
        <v/>
      </c>
      <c r="AQ37" s="166" t="str">
        <f t="shared" si="19"/>
        <v/>
      </c>
      <c r="AR37" s="166" t="str">
        <f t="shared" si="20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IF($J$1="Active",IF(Salary_Master!B38="","",_xlfn.IFS(Salary_Master!M38="Working",IF(Salary_Master!H38&lt;=DATE(2025,5,31),Salary_Master!B38,""),Salary_Master!M38="Left",IF(Salary_Master!N38&gt;DATE(2025,4,30),Salary_Master!B38,""))),"")</f>
        <v/>
      </c>
      <c r="C38" s="304">
        <v>31</v>
      </c>
      <c r="D38" s="305" t="str">
        <f t="shared" si="21"/>
        <v/>
      </c>
      <c r="E38" s="177"/>
      <c r="F38" s="177"/>
      <c r="G38" s="177"/>
      <c r="H38" s="305" t="str">
        <f t="shared" si="22"/>
        <v/>
      </c>
      <c r="I38" s="177"/>
      <c r="J38" s="177"/>
      <c r="K38" s="306" t="str">
        <f t="shared" si="23"/>
        <v/>
      </c>
      <c r="L38" s="306" t="str">
        <f t="shared" si="24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5"/>
        <v>0</v>
      </c>
      <c r="W38" s="160">
        <f t="shared" si="26"/>
        <v>0</v>
      </c>
      <c r="X38" s="160">
        <f t="shared" si="27"/>
        <v>0</v>
      </c>
      <c r="Y38" s="160">
        <f t="shared" si="28"/>
        <v>0</v>
      </c>
      <c r="Z38" s="160">
        <f t="shared" si="29"/>
        <v>0</v>
      </c>
      <c r="AA38" s="160">
        <f t="shared" si="30"/>
        <v>0</v>
      </c>
      <c r="AB38" s="160">
        <f t="shared" si="31"/>
        <v>0</v>
      </c>
      <c r="AC38" s="160">
        <f t="shared" si="32"/>
        <v>0</v>
      </c>
      <c r="AD38" s="307">
        <f t="shared" si="33"/>
        <v>0</v>
      </c>
      <c r="AE38" s="308" t="str">
        <f t="shared" si="34"/>
        <v/>
      </c>
      <c r="AF38" s="163" t="str">
        <f t="shared" si="14"/>
        <v/>
      </c>
      <c r="AG38" s="163" t="str">
        <f t="shared" si="15"/>
        <v/>
      </c>
      <c r="AH38" s="163" t="str">
        <f t="shared" si="16"/>
        <v/>
      </c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35"/>
        <v/>
      </c>
      <c r="AQ38" s="166" t="str">
        <f t="shared" si="19"/>
        <v/>
      </c>
      <c r="AR38" s="166" t="str">
        <f t="shared" si="20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IF($J$1="Active",IF(Salary_Master!B39="","",_xlfn.IFS(Salary_Master!M39="Working",IF(Salary_Master!H39&lt;=DATE(2025,5,31),Salary_Master!B39,""),Salary_Master!M39="Left",IF(Salary_Master!N39&gt;DATE(2025,4,30),Salary_Master!B39,""))),"")</f>
        <v/>
      </c>
      <c r="C39" s="309">
        <v>31</v>
      </c>
      <c r="D39" s="310" t="str">
        <f t="shared" si="21"/>
        <v/>
      </c>
      <c r="E39" s="311"/>
      <c r="F39" s="311"/>
      <c r="G39" s="311"/>
      <c r="H39" s="310" t="str">
        <f t="shared" si="22"/>
        <v/>
      </c>
      <c r="I39" s="311"/>
      <c r="J39" s="311"/>
      <c r="K39" s="312" t="str">
        <f t="shared" si="23"/>
        <v/>
      </c>
      <c r="L39" s="312" t="str">
        <f t="shared" si="24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5"/>
        <v>0</v>
      </c>
      <c r="W39" s="297">
        <f t="shared" si="26"/>
        <v>0</v>
      </c>
      <c r="X39" s="297">
        <f t="shared" si="27"/>
        <v>0</v>
      </c>
      <c r="Y39" s="297">
        <f t="shared" si="28"/>
        <v>0</v>
      </c>
      <c r="Z39" s="297">
        <f t="shared" si="29"/>
        <v>0</v>
      </c>
      <c r="AA39" s="297">
        <f t="shared" si="30"/>
        <v>0</v>
      </c>
      <c r="AB39" s="297">
        <f t="shared" si="31"/>
        <v>0</v>
      </c>
      <c r="AC39" s="297">
        <f t="shared" si="32"/>
        <v>0</v>
      </c>
      <c r="AD39" s="317">
        <f t="shared" si="33"/>
        <v>0</v>
      </c>
      <c r="AE39" s="318" t="str">
        <f t="shared" si="34"/>
        <v/>
      </c>
      <c r="AF39" s="163" t="str">
        <f t="shared" si="14"/>
        <v/>
      </c>
      <c r="AG39" s="163" t="str">
        <f t="shared" si="15"/>
        <v/>
      </c>
      <c r="AH39" s="163" t="str">
        <f t="shared" si="16"/>
        <v/>
      </c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35"/>
        <v/>
      </c>
      <c r="AQ39" s="166" t="str">
        <f t="shared" si="19"/>
        <v/>
      </c>
      <c r="AR39" s="166" t="str">
        <f t="shared" si="20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1175500</v>
      </c>
      <c r="W40" s="183">
        <f t="shared" ref="W40:AD40" si="36">SUM(W5:W39)</f>
        <v>25200</v>
      </c>
      <c r="X40" s="183">
        <f t="shared" si="36"/>
        <v>21600</v>
      </c>
      <c r="Y40" s="183">
        <f t="shared" si="36"/>
        <v>428</v>
      </c>
      <c r="Z40" s="183">
        <f t="shared" si="36"/>
        <v>650</v>
      </c>
      <c r="AA40" s="183">
        <f t="shared" si="36"/>
        <v>5400</v>
      </c>
      <c r="AB40" s="183">
        <f t="shared" si="36"/>
        <v>32000</v>
      </c>
      <c r="AC40" s="183">
        <f t="shared" si="36"/>
        <v>0</v>
      </c>
      <c r="AD40" s="183">
        <f t="shared" si="36"/>
        <v>1090222</v>
      </c>
      <c r="AE40" s="208">
        <v>811864</v>
      </c>
      <c r="AF40" s="200"/>
      <c r="AG40" s="201" t="s">
        <v>89</v>
      </c>
      <c r="AH40" s="201" t="s">
        <v>89</v>
      </c>
      <c r="AI40" s="185" t="s">
        <v>89</v>
      </c>
      <c r="AJ40" s="198"/>
      <c r="AK40" s="186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sheetProtection algorithmName="SHA-512" hashValue="y0K7eAGnQaKeJo931Q3v0Sm8TXAAaiUmze4mPDGsJhfizi9oHa24mK6+s+4einZF6nqcPMidW14PEf2W4iO4dg==" saltValue="7e3VlVXYdkXK6S6EZi/9Pg==" spinCount="100000" sheet="1" objects="1" scenarios="1"/>
  <mergeCells count="3">
    <mergeCell ref="J1:K1"/>
    <mergeCell ref="AP2:AR2"/>
    <mergeCell ref="A40:U40"/>
  </mergeCells>
  <conditionalFormatting sqref="H5:H39">
    <cfRule type="cellIs" dxfId="32" priority="2" operator="greaterThan">
      <formula>32</formula>
    </cfRule>
    <cfRule type="cellIs" dxfId="31" priority="3" operator="greaterThan">
      <formula>31</formula>
    </cfRule>
  </conditionalFormatting>
  <conditionalFormatting sqref="H5:H39">
    <cfRule type="cellIs" dxfId="30" priority="1" operator="greaterThan">
      <formula>32</formula>
    </cfRule>
  </conditionalFormatting>
  <dataValidations count="6">
    <dataValidation type="custom" allowBlank="1" showInputMessage="1" showErrorMessage="1" errorTitle="Below Limit !!!" error="Total leaves are going negative if this value is entered. Try to enter less value." sqref="G5:G39" xr:uid="{E885DD86-FF94-47CB-AFEC-F58C48E5F9EE}">
      <formula1>$AP5&lt;=7</formula1>
    </dataValidation>
    <dataValidation type="list" allowBlank="1" sqref="K5:L39" xr:uid="{9C91F7D6-A592-4DB7-AB0D-105908AA41FD}">
      <formula1>"Yes,No"</formula1>
    </dataValidation>
    <dataValidation type="list" allowBlank="1" showInputMessage="1" showErrorMessage="1" sqref="AK5:AK39 AL40 M5:M39" xr:uid="{B806E78F-7EC5-4EF5-8336-9646B5FB005C}">
      <formula1>"Yes,No"</formula1>
    </dataValidation>
    <dataValidation type="list" allowBlank="1" showInputMessage="1" showErrorMessage="1" sqref="J1:K1" xr:uid="{2C846843-B4D8-4648-B25D-58082729F27A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E5:E39" xr:uid="{CE65BCC3-9972-40BC-BAEE-F2A243C341A5}">
      <formula1>$AN5&lt;=7</formula1>
    </dataValidation>
    <dataValidation type="custom" allowBlank="1" showInputMessage="1" showErrorMessage="1" errorTitle="Below Limit !!!" error="Total leaves are going negative if this value is entered. Try to enter less value." sqref="F5:F39" xr:uid="{ED0AEF29-F793-402C-98CF-235CE1CBCC43}">
      <formula1>$AO5&lt;=7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7DD59-7C21-44A6-9E77-37BB3C21B9D9}">
  <sheetPr codeName="Sheet37">
    <tabColor rgb="FFFFFF00"/>
    <pageSetUpPr fitToPage="1"/>
  </sheetPr>
  <dimension ref="A1:J41"/>
  <sheetViews>
    <sheetView workbookViewId="0">
      <pane xSplit="2" ySplit="4" topLeftCell="C5" activePane="bottomRight" state="frozen"/>
      <selection activeCell="M36" sqref="M36"/>
      <selection pane="topRight" activeCell="M36" sqref="M36"/>
      <selection pane="bottomLeft" activeCell="M36" sqref="M36"/>
      <selection pane="bottomRight" activeCell="D8" sqref="D8"/>
    </sheetView>
  </sheetViews>
  <sheetFormatPr defaultColWidth="8.88671875" defaultRowHeight="13.2" x14ac:dyDescent="0.3"/>
  <cols>
    <col min="1" max="1" width="9.109375" style="14" customWidth="1"/>
    <col min="2" max="2" width="27.33203125" style="14" customWidth="1"/>
    <col min="3" max="5" width="18.33203125" style="245" customWidth="1"/>
    <col min="6" max="6" width="2.5546875" style="14" customWidth="1"/>
    <col min="7" max="8" width="9.6640625" style="14" bestFit="1" customWidth="1"/>
    <col min="9" max="9" width="10.33203125" style="293" customWidth="1"/>
    <col min="10" max="16384" width="8.88671875" style="14"/>
  </cols>
  <sheetData>
    <row r="1" spans="1:10" ht="24.6" x14ac:dyDescent="0.3">
      <c r="A1" s="355" t="s">
        <v>107</v>
      </c>
      <c r="B1" s="356"/>
      <c r="C1" s="356"/>
      <c r="D1" s="14"/>
    </row>
    <row r="2" spans="1:10" ht="18.600000000000001" x14ac:dyDescent="0.3">
      <c r="A2" s="363"/>
      <c r="B2" s="364"/>
      <c r="C2" s="364"/>
      <c r="D2" s="256">
        <f>SUM(D5:D39)</f>
        <v>0</v>
      </c>
      <c r="E2" s="268">
        <f>SUM(E5:E39)</f>
        <v>0</v>
      </c>
    </row>
    <row r="3" spans="1:10" ht="4.95" customHeight="1" thickBot="1" x14ac:dyDescent="0.35">
      <c r="A3" s="365"/>
      <c r="B3" s="366"/>
      <c r="C3" s="366"/>
      <c r="D3" s="14"/>
    </row>
    <row r="4" spans="1:10" s="26" customFormat="1" ht="13.8" thickBot="1" x14ac:dyDescent="0.35">
      <c r="A4" s="58" t="s">
        <v>58</v>
      </c>
      <c r="B4" s="59" t="s">
        <v>59</v>
      </c>
      <c r="C4" s="251" t="s">
        <v>100</v>
      </c>
      <c r="D4" s="251" t="s">
        <v>103</v>
      </c>
      <c r="E4" s="251" t="s">
        <v>104</v>
      </c>
      <c r="G4" s="26" t="s">
        <v>101</v>
      </c>
      <c r="H4" s="26" t="s">
        <v>102</v>
      </c>
      <c r="I4" s="26" t="s">
        <v>186</v>
      </c>
    </row>
    <row r="5" spans="1:10" s="33" customFormat="1" ht="25.2" customHeight="1" x14ac:dyDescent="0.3">
      <c r="A5" s="61">
        <v>1</v>
      </c>
      <c r="B5" s="266" t="s">
        <v>108</v>
      </c>
      <c r="C5" s="252">
        <v>4000</v>
      </c>
      <c r="D5" s="252"/>
      <c r="E5" s="269"/>
      <c r="G5" s="128">
        <f>C5</f>
        <v>4000</v>
      </c>
      <c r="H5" s="128">
        <f t="shared" ref="H5:H39" si="0">C5</f>
        <v>4000</v>
      </c>
      <c r="I5" s="294">
        <f t="shared" ref="I5:I39" si="1">SUM(G5:H5)</f>
        <v>8000</v>
      </c>
      <c r="J5" s="128">
        <f>E5-D5</f>
        <v>0</v>
      </c>
    </row>
    <row r="6" spans="1:10" s="33" customFormat="1" ht="25.2" customHeight="1" x14ac:dyDescent="0.3">
      <c r="A6" s="64">
        <v>2</v>
      </c>
      <c r="B6" s="70" t="s">
        <v>109</v>
      </c>
      <c r="C6" s="253">
        <v>2000</v>
      </c>
      <c r="D6" s="253"/>
      <c r="E6" s="269"/>
      <c r="G6" s="128">
        <f t="shared" ref="G6:G39" si="2">C6</f>
        <v>2000</v>
      </c>
      <c r="H6" s="128">
        <f t="shared" si="0"/>
        <v>2000</v>
      </c>
      <c r="I6" s="294">
        <f t="shared" si="1"/>
        <v>4000</v>
      </c>
      <c r="J6" s="128">
        <f t="shared" ref="J6:J32" si="3">E6-D6</f>
        <v>0</v>
      </c>
    </row>
    <row r="7" spans="1:10" s="33" customFormat="1" ht="25.2" customHeight="1" x14ac:dyDescent="0.3">
      <c r="A7" s="64">
        <v>3</v>
      </c>
      <c r="B7" s="65" t="s">
        <v>110</v>
      </c>
      <c r="C7" s="254">
        <v>3000</v>
      </c>
      <c r="D7" s="254"/>
      <c r="E7" s="269"/>
      <c r="G7" s="128">
        <f t="shared" si="2"/>
        <v>3000</v>
      </c>
      <c r="H7" s="128">
        <f t="shared" si="0"/>
        <v>3000</v>
      </c>
      <c r="I7" s="294">
        <f t="shared" si="1"/>
        <v>6000</v>
      </c>
      <c r="J7" s="128">
        <f t="shared" si="3"/>
        <v>0</v>
      </c>
    </row>
    <row r="8" spans="1:10" s="33" customFormat="1" ht="25.2" customHeight="1" x14ac:dyDescent="0.3">
      <c r="A8" s="64">
        <v>4</v>
      </c>
      <c r="B8" s="65" t="s">
        <v>111</v>
      </c>
      <c r="C8" s="253">
        <v>1000</v>
      </c>
      <c r="D8" s="253"/>
      <c r="E8" s="269"/>
      <c r="G8" s="128">
        <f t="shared" si="2"/>
        <v>1000</v>
      </c>
      <c r="H8" s="128">
        <f t="shared" si="0"/>
        <v>1000</v>
      </c>
      <c r="I8" s="294">
        <f t="shared" si="1"/>
        <v>2000</v>
      </c>
      <c r="J8" s="128">
        <f t="shared" si="3"/>
        <v>0</v>
      </c>
    </row>
    <row r="9" spans="1:10" s="33" customFormat="1" ht="25.2" customHeight="1" x14ac:dyDescent="0.3">
      <c r="A9" s="64">
        <v>5</v>
      </c>
      <c r="B9" s="70" t="s">
        <v>112</v>
      </c>
      <c r="C9" s="253">
        <v>2000</v>
      </c>
      <c r="D9" s="253"/>
      <c r="E9" s="254"/>
      <c r="G9" s="128">
        <f t="shared" si="2"/>
        <v>2000</v>
      </c>
      <c r="H9" s="128">
        <f t="shared" si="0"/>
        <v>2000</v>
      </c>
      <c r="I9" s="294">
        <f t="shared" si="1"/>
        <v>4000</v>
      </c>
      <c r="J9" s="128">
        <f t="shared" si="3"/>
        <v>0</v>
      </c>
    </row>
    <row r="10" spans="1:10" s="33" customFormat="1" ht="25.2" customHeight="1" x14ac:dyDescent="0.3">
      <c r="A10" s="64">
        <v>6</v>
      </c>
      <c r="B10" s="70" t="s">
        <v>113</v>
      </c>
      <c r="C10" s="254">
        <v>3800</v>
      </c>
      <c r="D10" s="254"/>
      <c r="E10" s="253"/>
      <c r="G10" s="128">
        <f t="shared" si="2"/>
        <v>3800</v>
      </c>
      <c r="H10" s="128">
        <f t="shared" si="0"/>
        <v>3800</v>
      </c>
      <c r="I10" s="294">
        <f t="shared" si="1"/>
        <v>7600</v>
      </c>
      <c r="J10" s="128">
        <f t="shared" si="3"/>
        <v>0</v>
      </c>
    </row>
    <row r="11" spans="1:10" s="33" customFormat="1" ht="25.2" customHeight="1" x14ac:dyDescent="0.3">
      <c r="A11" s="75">
        <v>7</v>
      </c>
      <c r="B11" s="65" t="s">
        <v>114</v>
      </c>
      <c r="C11" s="254">
        <v>2000</v>
      </c>
      <c r="D11" s="254"/>
      <c r="E11" s="253"/>
      <c r="G11" s="128">
        <f t="shared" si="2"/>
        <v>2000</v>
      </c>
      <c r="H11" s="128">
        <f t="shared" si="0"/>
        <v>2000</v>
      </c>
      <c r="I11" s="294">
        <f t="shared" si="1"/>
        <v>4000</v>
      </c>
      <c r="J11" s="128">
        <f t="shared" si="3"/>
        <v>0</v>
      </c>
    </row>
    <row r="12" spans="1:10" s="45" customFormat="1" ht="25.2" customHeight="1" x14ac:dyDescent="0.3">
      <c r="A12" s="75">
        <v>8</v>
      </c>
      <c r="B12" s="70" t="s">
        <v>115</v>
      </c>
      <c r="C12" s="253">
        <v>3500</v>
      </c>
      <c r="D12" s="253"/>
      <c r="E12" s="254"/>
      <c r="G12" s="128">
        <f t="shared" si="2"/>
        <v>3500</v>
      </c>
      <c r="H12" s="128">
        <f t="shared" si="0"/>
        <v>3500</v>
      </c>
      <c r="I12" s="294">
        <f t="shared" si="1"/>
        <v>7000</v>
      </c>
      <c r="J12" s="128">
        <f t="shared" si="3"/>
        <v>0</v>
      </c>
    </row>
    <row r="13" spans="1:10" s="45" customFormat="1" ht="25.2" customHeight="1" x14ac:dyDescent="0.3">
      <c r="A13" s="64">
        <v>9</v>
      </c>
      <c r="B13" s="65" t="s">
        <v>116</v>
      </c>
      <c r="C13" s="253">
        <v>2500</v>
      </c>
      <c r="D13" s="253"/>
      <c r="E13" s="254"/>
      <c r="G13" s="128">
        <f t="shared" si="2"/>
        <v>2500</v>
      </c>
      <c r="H13" s="128">
        <f t="shared" si="0"/>
        <v>2500</v>
      </c>
      <c r="I13" s="294">
        <f t="shared" si="1"/>
        <v>5000</v>
      </c>
      <c r="J13" s="128">
        <f t="shared" si="3"/>
        <v>0</v>
      </c>
    </row>
    <row r="14" spans="1:10" s="45" customFormat="1" ht="25.2" customHeight="1" x14ac:dyDescent="0.3">
      <c r="A14" s="64">
        <v>10</v>
      </c>
      <c r="B14" s="65" t="s">
        <v>117</v>
      </c>
      <c r="C14" s="253">
        <v>2500</v>
      </c>
      <c r="D14" s="253"/>
      <c r="E14" s="253"/>
      <c r="G14" s="128">
        <f t="shared" si="2"/>
        <v>2500</v>
      </c>
      <c r="H14" s="128">
        <f t="shared" si="0"/>
        <v>2500</v>
      </c>
      <c r="I14" s="294">
        <f t="shared" si="1"/>
        <v>5000</v>
      </c>
      <c r="J14" s="128">
        <f t="shared" si="3"/>
        <v>0</v>
      </c>
    </row>
    <row r="15" spans="1:10" s="33" customFormat="1" ht="25.2" customHeight="1" x14ac:dyDescent="0.3">
      <c r="A15" s="64">
        <v>11</v>
      </c>
      <c r="B15" s="70" t="s">
        <v>215</v>
      </c>
      <c r="C15" s="254">
        <v>3000</v>
      </c>
      <c r="D15" s="254"/>
      <c r="E15" s="254"/>
      <c r="G15" s="128">
        <f t="shared" si="2"/>
        <v>3000</v>
      </c>
      <c r="H15" s="128">
        <f t="shared" si="0"/>
        <v>3000</v>
      </c>
      <c r="I15" s="294">
        <f t="shared" si="1"/>
        <v>6000</v>
      </c>
      <c r="J15" s="128">
        <f t="shared" si="3"/>
        <v>0</v>
      </c>
    </row>
    <row r="16" spans="1:10" s="33" customFormat="1" ht="25.2" customHeight="1" x14ac:dyDescent="0.3">
      <c r="A16" s="75">
        <v>12</v>
      </c>
      <c r="B16" s="65" t="s">
        <v>118</v>
      </c>
      <c r="C16" s="254">
        <v>5000</v>
      </c>
      <c r="D16" s="254"/>
      <c r="E16" s="253"/>
      <c r="G16" s="128">
        <f t="shared" si="2"/>
        <v>5000</v>
      </c>
      <c r="H16" s="128">
        <f t="shared" si="0"/>
        <v>5000</v>
      </c>
      <c r="I16" s="294">
        <f t="shared" si="1"/>
        <v>10000</v>
      </c>
      <c r="J16" s="128">
        <f t="shared" si="3"/>
        <v>0</v>
      </c>
    </row>
    <row r="17" spans="1:10" s="33" customFormat="1" ht="25.2" customHeight="1" x14ac:dyDescent="0.3">
      <c r="A17" s="64">
        <v>13</v>
      </c>
      <c r="B17" s="70" t="s">
        <v>119</v>
      </c>
      <c r="C17" s="254">
        <v>2000</v>
      </c>
      <c r="D17" s="254"/>
      <c r="E17" s="253"/>
      <c r="G17" s="128">
        <f t="shared" si="2"/>
        <v>2000</v>
      </c>
      <c r="H17" s="128">
        <f t="shared" si="0"/>
        <v>2000</v>
      </c>
      <c r="I17" s="294">
        <f t="shared" si="1"/>
        <v>4000</v>
      </c>
      <c r="J17" s="128">
        <f t="shared" si="3"/>
        <v>0</v>
      </c>
    </row>
    <row r="18" spans="1:10" s="45" customFormat="1" ht="25.2" customHeight="1" x14ac:dyDescent="0.3">
      <c r="A18" s="64">
        <v>14</v>
      </c>
      <c r="B18" s="70" t="s">
        <v>120</v>
      </c>
      <c r="C18" s="254">
        <v>2500</v>
      </c>
      <c r="D18" s="254"/>
      <c r="E18" s="254"/>
      <c r="G18" s="128">
        <f t="shared" si="2"/>
        <v>2500</v>
      </c>
      <c r="H18" s="128">
        <f t="shared" si="0"/>
        <v>2500</v>
      </c>
      <c r="I18" s="294">
        <f t="shared" si="1"/>
        <v>5000</v>
      </c>
      <c r="J18" s="128">
        <f t="shared" si="3"/>
        <v>0</v>
      </c>
    </row>
    <row r="19" spans="1:10" s="33" customFormat="1" ht="25.2" customHeight="1" x14ac:dyDescent="0.3">
      <c r="A19" s="64">
        <v>15</v>
      </c>
      <c r="B19" s="70" t="s">
        <v>121</v>
      </c>
      <c r="C19" s="254">
        <v>3000</v>
      </c>
      <c r="D19" s="254"/>
      <c r="E19" s="253"/>
      <c r="G19" s="128">
        <f t="shared" si="2"/>
        <v>3000</v>
      </c>
      <c r="H19" s="128">
        <f t="shared" si="0"/>
        <v>3000</v>
      </c>
      <c r="I19" s="294">
        <f t="shared" si="1"/>
        <v>6000</v>
      </c>
      <c r="J19" s="128">
        <f t="shared" si="3"/>
        <v>0</v>
      </c>
    </row>
    <row r="20" spans="1:10" s="33" customFormat="1" ht="25.2" customHeight="1" x14ac:dyDescent="0.3">
      <c r="A20" s="64">
        <v>16</v>
      </c>
      <c r="B20" s="70" t="s">
        <v>122</v>
      </c>
      <c r="C20" s="254">
        <v>1300</v>
      </c>
      <c r="D20" s="254"/>
      <c r="E20" s="254"/>
      <c r="G20" s="128">
        <f t="shared" si="2"/>
        <v>1300</v>
      </c>
      <c r="H20" s="128">
        <f t="shared" si="0"/>
        <v>1300</v>
      </c>
      <c r="I20" s="294">
        <f t="shared" si="1"/>
        <v>2600</v>
      </c>
      <c r="J20" s="128">
        <f t="shared" si="3"/>
        <v>0</v>
      </c>
    </row>
    <row r="21" spans="1:10" s="33" customFormat="1" ht="25.2" customHeight="1" x14ac:dyDescent="0.3">
      <c r="A21" s="64">
        <v>17</v>
      </c>
      <c r="B21" s="70" t="s">
        <v>123</v>
      </c>
      <c r="C21" s="253">
        <v>1200</v>
      </c>
      <c r="D21" s="253"/>
      <c r="E21" s="254"/>
      <c r="G21" s="128">
        <f t="shared" si="2"/>
        <v>1200</v>
      </c>
      <c r="H21" s="128">
        <f t="shared" si="0"/>
        <v>1200</v>
      </c>
      <c r="I21" s="294">
        <f t="shared" si="1"/>
        <v>2400</v>
      </c>
      <c r="J21" s="128">
        <f t="shared" si="3"/>
        <v>0</v>
      </c>
    </row>
    <row r="22" spans="1:10" s="33" customFormat="1" ht="25.2" customHeight="1" x14ac:dyDescent="0.3">
      <c r="A22" s="64">
        <v>18</v>
      </c>
      <c r="B22" s="70" t="s">
        <v>124</v>
      </c>
      <c r="C22" s="253">
        <v>1000</v>
      </c>
      <c r="D22" s="253"/>
      <c r="E22" s="254"/>
      <c r="G22" s="128">
        <f t="shared" si="2"/>
        <v>1000</v>
      </c>
      <c r="H22" s="128">
        <f t="shared" si="0"/>
        <v>1000</v>
      </c>
      <c r="I22" s="294">
        <f t="shared" si="1"/>
        <v>2000</v>
      </c>
      <c r="J22" s="128">
        <f t="shared" si="3"/>
        <v>0</v>
      </c>
    </row>
    <row r="23" spans="1:10" s="33" customFormat="1" ht="25.2" customHeight="1" x14ac:dyDescent="0.3">
      <c r="A23" s="64">
        <v>19</v>
      </c>
      <c r="B23" s="70" t="s">
        <v>125</v>
      </c>
      <c r="C23" s="254">
        <v>1000</v>
      </c>
      <c r="D23" s="254"/>
      <c r="E23" s="254"/>
      <c r="G23" s="128">
        <f t="shared" si="2"/>
        <v>1000</v>
      </c>
      <c r="H23" s="128">
        <f t="shared" si="0"/>
        <v>1000</v>
      </c>
      <c r="I23" s="294">
        <f t="shared" si="1"/>
        <v>2000</v>
      </c>
      <c r="J23" s="128">
        <f t="shared" si="3"/>
        <v>0</v>
      </c>
    </row>
    <row r="24" spans="1:10" s="33" customFormat="1" ht="25.2" customHeight="1" x14ac:dyDescent="0.3">
      <c r="A24" s="64">
        <v>20</v>
      </c>
      <c r="B24" s="70" t="s">
        <v>126</v>
      </c>
      <c r="C24" s="254">
        <v>3000</v>
      </c>
      <c r="D24" s="254"/>
      <c r="E24" s="254"/>
      <c r="G24" s="128">
        <f t="shared" si="2"/>
        <v>3000</v>
      </c>
      <c r="H24" s="128">
        <f t="shared" si="0"/>
        <v>3000</v>
      </c>
      <c r="I24" s="294">
        <f t="shared" si="1"/>
        <v>6000</v>
      </c>
      <c r="J24" s="128">
        <f t="shared" si="3"/>
        <v>0</v>
      </c>
    </row>
    <row r="25" spans="1:10" s="33" customFormat="1" ht="25.2" customHeight="1" x14ac:dyDescent="0.3">
      <c r="A25" s="64">
        <v>21</v>
      </c>
      <c r="B25" s="70" t="s">
        <v>127</v>
      </c>
      <c r="C25" s="253">
        <v>2500</v>
      </c>
      <c r="D25" s="253"/>
      <c r="E25" s="254"/>
      <c r="G25" s="128">
        <f t="shared" si="2"/>
        <v>2500</v>
      </c>
      <c r="H25" s="128">
        <f t="shared" si="0"/>
        <v>2500</v>
      </c>
      <c r="I25" s="294">
        <f t="shared" si="1"/>
        <v>5000</v>
      </c>
      <c r="J25" s="128">
        <f t="shared" si="3"/>
        <v>0</v>
      </c>
    </row>
    <row r="26" spans="1:10" s="33" customFormat="1" ht="25.2" customHeight="1" x14ac:dyDescent="0.3">
      <c r="A26" s="64">
        <v>22</v>
      </c>
      <c r="B26" s="70" t="s">
        <v>128</v>
      </c>
      <c r="C26" s="254">
        <v>2500</v>
      </c>
      <c r="D26" s="254"/>
      <c r="E26" s="254"/>
      <c r="G26" s="128">
        <f t="shared" si="2"/>
        <v>2500</v>
      </c>
      <c r="H26" s="128">
        <f t="shared" si="0"/>
        <v>2500</v>
      </c>
      <c r="I26" s="294">
        <f t="shared" si="1"/>
        <v>5000</v>
      </c>
      <c r="J26" s="128">
        <f t="shared" si="3"/>
        <v>0</v>
      </c>
    </row>
    <row r="27" spans="1:10" s="45" customFormat="1" ht="25.2" customHeight="1" x14ac:dyDescent="0.3">
      <c r="A27" s="64">
        <v>23</v>
      </c>
      <c r="B27" s="70" t="s">
        <v>129</v>
      </c>
      <c r="C27" s="253">
        <v>7500</v>
      </c>
      <c r="D27" s="253"/>
      <c r="E27" s="254"/>
      <c r="G27" s="128">
        <f t="shared" si="2"/>
        <v>7500</v>
      </c>
      <c r="H27" s="128">
        <f t="shared" si="0"/>
        <v>7500</v>
      </c>
      <c r="I27" s="294">
        <f t="shared" si="1"/>
        <v>15000</v>
      </c>
      <c r="J27" s="128">
        <f t="shared" si="3"/>
        <v>0</v>
      </c>
    </row>
    <row r="28" spans="1:10" s="33" customFormat="1" ht="25.2" customHeight="1" x14ac:dyDescent="0.3">
      <c r="A28" s="64">
        <v>24</v>
      </c>
      <c r="B28" s="70" t="s">
        <v>130</v>
      </c>
      <c r="C28" s="254">
        <v>7500</v>
      </c>
      <c r="D28" s="254"/>
      <c r="E28" s="254"/>
      <c r="G28" s="128">
        <f t="shared" si="2"/>
        <v>7500</v>
      </c>
      <c r="H28" s="128">
        <f t="shared" si="0"/>
        <v>7500</v>
      </c>
      <c r="I28" s="294">
        <f t="shared" si="1"/>
        <v>15000</v>
      </c>
      <c r="J28" s="128">
        <f t="shared" si="3"/>
        <v>0</v>
      </c>
    </row>
    <row r="29" spans="1:10" s="45" customFormat="1" ht="25.2" customHeight="1" x14ac:dyDescent="0.3">
      <c r="A29" s="75">
        <v>25</v>
      </c>
      <c r="B29" s="70" t="s">
        <v>131</v>
      </c>
      <c r="C29" s="254">
        <v>1500</v>
      </c>
      <c r="D29" s="254"/>
      <c r="E29" s="254"/>
      <c r="G29" s="128">
        <f t="shared" si="2"/>
        <v>1500</v>
      </c>
      <c r="H29" s="128">
        <f t="shared" si="0"/>
        <v>1500</v>
      </c>
      <c r="I29" s="294">
        <f t="shared" si="1"/>
        <v>3000</v>
      </c>
      <c r="J29" s="128">
        <f t="shared" si="3"/>
        <v>0</v>
      </c>
    </row>
    <row r="30" spans="1:10" s="33" customFormat="1" ht="25.2" customHeight="1" x14ac:dyDescent="0.3">
      <c r="A30" s="64">
        <v>26</v>
      </c>
      <c r="B30" s="70" t="s">
        <v>132</v>
      </c>
      <c r="C30" s="254">
        <v>2000</v>
      </c>
      <c r="D30" s="254"/>
      <c r="E30" s="254"/>
      <c r="G30" s="128">
        <f t="shared" si="2"/>
        <v>2000</v>
      </c>
      <c r="H30" s="128">
        <f t="shared" si="0"/>
        <v>2000</v>
      </c>
      <c r="I30" s="294">
        <f t="shared" si="1"/>
        <v>4000</v>
      </c>
      <c r="J30" s="128">
        <f t="shared" si="3"/>
        <v>0</v>
      </c>
    </row>
    <row r="31" spans="1:10" s="33" customFormat="1" ht="25.2" customHeight="1" x14ac:dyDescent="0.3">
      <c r="A31" s="64">
        <v>27</v>
      </c>
      <c r="B31" s="70" t="s">
        <v>182</v>
      </c>
      <c r="C31" s="254">
        <v>2000</v>
      </c>
      <c r="D31" s="254"/>
      <c r="E31" s="254"/>
      <c r="G31" s="128">
        <f t="shared" si="2"/>
        <v>2000</v>
      </c>
      <c r="H31" s="128">
        <f t="shared" si="0"/>
        <v>2000</v>
      </c>
      <c r="I31" s="294">
        <f t="shared" si="1"/>
        <v>4000</v>
      </c>
      <c r="J31" s="128">
        <f t="shared" si="3"/>
        <v>0</v>
      </c>
    </row>
    <row r="32" spans="1:10" s="33" customFormat="1" ht="25.2" customHeight="1" x14ac:dyDescent="0.3">
      <c r="A32" s="64">
        <v>28</v>
      </c>
      <c r="B32" s="70" t="s">
        <v>229</v>
      </c>
      <c r="C32" s="254">
        <v>0</v>
      </c>
      <c r="D32" s="254"/>
      <c r="E32" s="254"/>
      <c r="G32" s="128">
        <f t="shared" si="2"/>
        <v>0</v>
      </c>
      <c r="H32" s="128">
        <f t="shared" si="0"/>
        <v>0</v>
      </c>
      <c r="I32" s="294">
        <f t="shared" si="1"/>
        <v>0</v>
      </c>
      <c r="J32" s="128">
        <f t="shared" si="3"/>
        <v>0</v>
      </c>
    </row>
    <row r="33" spans="1:9" s="45" customFormat="1" ht="25.2" customHeight="1" x14ac:dyDescent="0.3">
      <c r="A33" s="75">
        <v>29</v>
      </c>
      <c r="B33" s="70"/>
      <c r="C33" s="254"/>
      <c r="D33" s="254"/>
      <c r="E33" s="254"/>
      <c r="G33" s="128">
        <f t="shared" si="2"/>
        <v>0</v>
      </c>
      <c r="H33" s="128">
        <f t="shared" si="0"/>
        <v>0</v>
      </c>
      <c r="I33" s="294">
        <f t="shared" si="1"/>
        <v>0</v>
      </c>
    </row>
    <row r="34" spans="1:9" s="33" customFormat="1" ht="25.2" customHeight="1" x14ac:dyDescent="0.3">
      <c r="A34" s="64">
        <v>30</v>
      </c>
      <c r="B34" s="70"/>
      <c r="C34" s="254"/>
      <c r="D34" s="254"/>
      <c r="E34" s="254"/>
      <c r="G34" s="128">
        <f t="shared" si="2"/>
        <v>0</v>
      </c>
      <c r="H34" s="128">
        <f t="shared" si="0"/>
        <v>0</v>
      </c>
      <c r="I34" s="294">
        <f t="shared" si="1"/>
        <v>0</v>
      </c>
    </row>
    <row r="35" spans="1:9" s="33" customFormat="1" ht="25.2" customHeight="1" x14ac:dyDescent="0.3">
      <c r="A35" s="64">
        <v>31</v>
      </c>
      <c r="B35" s="70"/>
      <c r="C35" s="254"/>
      <c r="D35" s="254"/>
      <c r="E35" s="254"/>
      <c r="G35" s="128">
        <f t="shared" si="2"/>
        <v>0</v>
      </c>
      <c r="H35" s="128">
        <f t="shared" si="0"/>
        <v>0</v>
      </c>
      <c r="I35" s="294">
        <f t="shared" si="1"/>
        <v>0</v>
      </c>
    </row>
    <row r="36" spans="1:9" s="33" customFormat="1" ht="25.2" customHeight="1" x14ac:dyDescent="0.3">
      <c r="A36" s="64">
        <v>32</v>
      </c>
      <c r="B36" s="70"/>
      <c r="C36" s="254"/>
      <c r="D36" s="254"/>
      <c r="E36" s="252"/>
      <c r="G36" s="128">
        <f t="shared" si="2"/>
        <v>0</v>
      </c>
      <c r="H36" s="128">
        <f t="shared" si="0"/>
        <v>0</v>
      </c>
      <c r="I36" s="294">
        <f t="shared" si="1"/>
        <v>0</v>
      </c>
    </row>
    <row r="37" spans="1:9" s="33" customFormat="1" ht="25.2" customHeight="1" x14ac:dyDescent="0.3">
      <c r="A37" s="64">
        <v>33</v>
      </c>
      <c r="B37" s="70"/>
      <c r="C37" s="254"/>
      <c r="D37" s="254"/>
      <c r="E37" s="252"/>
      <c r="G37" s="128">
        <f t="shared" si="2"/>
        <v>0</v>
      </c>
      <c r="H37" s="128">
        <f t="shared" si="0"/>
        <v>0</v>
      </c>
      <c r="I37" s="294">
        <f t="shared" si="1"/>
        <v>0</v>
      </c>
    </row>
    <row r="38" spans="1:9" s="33" customFormat="1" ht="25.2" customHeight="1" x14ac:dyDescent="0.3">
      <c r="A38" s="64">
        <v>34</v>
      </c>
      <c r="B38" s="70"/>
      <c r="C38" s="254"/>
      <c r="D38" s="254"/>
      <c r="E38" s="252"/>
      <c r="G38" s="128">
        <f t="shared" si="2"/>
        <v>0</v>
      </c>
      <c r="H38" s="128">
        <f t="shared" si="0"/>
        <v>0</v>
      </c>
      <c r="I38" s="294">
        <f t="shared" si="1"/>
        <v>0</v>
      </c>
    </row>
    <row r="39" spans="1:9" s="33" customFormat="1" ht="25.2" customHeight="1" thickBot="1" x14ac:dyDescent="0.35">
      <c r="A39" s="82">
        <v>35</v>
      </c>
      <c r="B39" s="83"/>
      <c r="C39" s="255"/>
      <c r="D39" s="255"/>
      <c r="E39" s="252"/>
      <c r="G39" s="128">
        <f t="shared" si="2"/>
        <v>0</v>
      </c>
      <c r="H39" s="128">
        <f t="shared" si="0"/>
        <v>0</v>
      </c>
      <c r="I39" s="294">
        <f t="shared" si="1"/>
        <v>0</v>
      </c>
    </row>
    <row r="40" spans="1:9" x14ac:dyDescent="0.3">
      <c r="A40" s="15"/>
      <c r="B40" s="15"/>
    </row>
    <row r="41" spans="1:9" x14ac:dyDescent="0.3">
      <c r="A41" s="15"/>
      <c r="B41" s="15"/>
    </row>
  </sheetData>
  <sheetProtection insertRows="0" selectLockedCells="1"/>
  <dataConsolidate link="1"/>
  <mergeCells count="3">
    <mergeCell ref="A1:C1"/>
    <mergeCell ref="A2:C2"/>
    <mergeCell ref="A3:C3"/>
  </mergeCells>
  <pageMargins left="0.7" right="0.7" top="0.75" bottom="0.75" header="0.3" footer="0.3"/>
  <pageSetup scale="7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1C91-529C-40A5-8AA7-B3F758694D59}">
  <sheetPr codeName="Sheet36">
    <tabColor rgb="FF92D050"/>
  </sheetPr>
  <dimension ref="A1:AU40"/>
  <sheetViews>
    <sheetView workbookViewId="0">
      <pane xSplit="13" ySplit="4" topLeftCell="AA5" activePane="bottomRight" state="frozen"/>
      <selection activeCell="M36" sqref="M36"/>
      <selection pane="topRight" activeCell="M36" sqref="M36"/>
      <selection pane="bottomLeft" activeCell="M36" sqref="M36"/>
      <selection pane="bottomRight" activeCell="S16" sqref="S16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3320312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.33203125" style="133" bestFit="1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9.6640625" style="135" bestFit="1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7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99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7" ht="24.6" x14ac:dyDescent="0.3">
      <c r="A2" s="211" t="s">
        <v>198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7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7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  <c r="AS4" s="151" t="s">
        <v>97</v>
      </c>
    </row>
    <row r="5" spans="1:47" s="162" customFormat="1" ht="25.2" customHeight="1" x14ac:dyDescent="0.3">
      <c r="A5" s="155">
        <v>1</v>
      </c>
      <c r="B5" s="156" t="str" cm="1">
        <f t="array" ref="B5">IF($J$1="Active",IF(Salary_Master_1!B5="","",_xlfn.IFS(Salary_Master_1!M5="Working",IF(Salary_Master_1!H5&lt;=DATE(2025,6,30),Salary_Master_1!B5,""),Salary_Master_1!M5="Left",IF(Salary_Master_1!N5&gt;DATE(2025,5,31),Salary_Master_1!B5,""))),"")</f>
        <v>Munna Prasad Vishwakarma</v>
      </c>
      <c r="C5" s="156">
        <v>31</v>
      </c>
      <c r="D5" s="157">
        <f>IF($J$1="Active",IF(B5="","",C5-SUM(E5:G5)-I5),"")</f>
        <v>31</v>
      </c>
      <c r="E5" s="175"/>
      <c r="F5" s="175"/>
      <c r="G5" s="175"/>
      <c r="H5" s="157">
        <f t="shared" ref="H5" si="0">IF(SUM(D5:G5)=0,"",SUM(D5:G5))</f>
        <v>31</v>
      </c>
      <c r="I5" s="176"/>
      <c r="J5" s="176">
        <v>1</v>
      </c>
      <c r="K5" s="158" t="str">
        <f t="shared" ref="K5:K39" si="1">IF($J$1="Active",IF(B5="","",VLOOKUP(B5,Salary_Master_1,14,FALSE)),"")</f>
        <v>No</v>
      </c>
      <c r="L5" s="158" t="str">
        <f t="shared" ref="L5:L39" si="2">IF($J$1="Active",IF(B5="","",VLOOKUP(B5,Salary_Master_1,15,FALSE)),"")</f>
        <v>No</v>
      </c>
      <c r="M5" s="159"/>
      <c r="N5" s="169">
        <f t="shared" ref="N5:N39" si="3">IFERROR(ROUND(IF($B5="","",SUM(VLOOKUP($B5,Salary_Master_1,17,FALSE)/31*$H5)),0),"")</f>
        <v>20000</v>
      </c>
      <c r="O5" s="170">
        <f t="shared" ref="O5:O39" si="4">IFERROR(ROUND(IF($B5="","",SUM(VLOOKUP($B5,Salary_Master_1,18,FALSE)/31*$H5)),0),"")</f>
        <v>10000</v>
      </c>
      <c r="P5" s="170">
        <f t="shared" ref="P5:P39" si="5">IFERROR(ROUND(IF($B5="","",SUM(VLOOKUP($B5,Salary_Master_1,19,FALSE)/31*$H5)),0),"")</f>
        <v>1600</v>
      </c>
      <c r="Q5" s="170">
        <f t="shared" ref="Q5:Q39" si="6">IFERROR(ROUND(IF($B5="","",SUM(VLOOKUP($B5,Salary_Master_1,20,FALSE)/31*$H5)),0),"")</f>
        <v>1667</v>
      </c>
      <c r="R5" s="170">
        <f t="shared" ref="R5:R39" si="7">IFERROR(ROUND(IF($B5="","",SUM(VLOOKUP($B5,Salary_Master_1,21,FALSE)/31*$H5)),0),"")</f>
        <v>44733</v>
      </c>
      <c r="S5" s="170">
        <f t="shared" ref="S5:S39" si="8">IFERROR(ROUND(IF($B5="","",SUM(VLOOKUP($B5,Salary_Master_1,22,FALSE)/31*$H5)),0),"")</f>
        <v>0</v>
      </c>
      <c r="T5" s="170">
        <f t="shared" ref="T5:T39" si="9">IFERROR(ROUND(IF($B5="","",SUM(VLOOKUP($B5,Salary_Master_1,23,FALSE)/31*$H5)),0),"")</f>
        <v>0</v>
      </c>
      <c r="U5" s="170">
        <f t="shared" ref="U5:U39" si="10">IFERROR(ROUND(IF($B5="","",SUM(VLOOKUP($B5,Salary_Master_1,24,FALSE)/31*$H5)),0),"")</f>
        <v>0</v>
      </c>
      <c r="V5" s="261">
        <f>ROUND(SUM(N5:U5),0)</f>
        <v>78000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200</v>
      </c>
      <c r="AB5" s="161">
        <f>AM5</f>
        <v>0</v>
      </c>
      <c r="AC5" s="161">
        <f>AN5</f>
        <v>0</v>
      </c>
      <c r="AD5" s="264">
        <f>ROUND(V5-SUM(W5:AC5),0)</f>
        <v>77800</v>
      </c>
      <c r="AE5" s="303" t="str">
        <f>IF(B5="","",VLOOKUP(B5,Salary_Master_1,8,FALSE))</f>
        <v>Male</v>
      </c>
      <c r="AF5" s="163">
        <f t="shared" ref="AF5:AF39" si="13">IFERROR(IF(VLOOKUP($B5,Mayy25,36,FALSE)="No",IF($AK5="Yes",MROUND($AJ5/3,0.5)-$E5,""),IF(VLOOKUP($B5,Mayy25,36,FALSE)="Yes",(VLOOKUP($B5,Mayy25,31,FALSE)-$E5),"")),"")</f>
        <v>0</v>
      </c>
      <c r="AG5" s="163">
        <f t="shared" ref="AG5:AG39" si="14">IFERROR(IF(VLOOKUP($B5,Mayy25,36,FALSE)="No",IF($AK5="Yes",MROUND($AJ5/3,0.5)-$F5,""),IF(VLOOKUP($B5,Mayy25,36,FALSE)="Yes",(VLOOKUP($B5,Mayy25,32,FALSE)-$F5),"")),"")</f>
        <v>0</v>
      </c>
      <c r="AH5" s="163">
        <f t="shared" ref="AH5:AH39" si="15">IFERROR(IF(VLOOKUP($B5,Mayy25,36,FALSE)="No",IF($AK5="Yes",($AJ5-(AF5+AG5)-(E5+F5))-$G5,""),IF(VLOOKUP($B5,Mayy25,36,FALSE)="Yes",(VLOOKUP($B5,Mayy25,33,FALSE)-$G5),"")),"")</f>
        <v>5</v>
      </c>
      <c r="AJ5" s="165" t="str">
        <f t="shared" ref="AJ5:AJ39" si="16">IF(AK5="Yes",IF(VLOOKUP($B5,Mayy25,36,FALSE)="No",MROUND(SUM(21/12*10),0.5),""),"")</f>
        <v/>
      </c>
      <c r="AK5" s="180" t="str">
        <f t="shared" ref="AK5:AK39" si="17">IF($B5="","",VLOOKUP($B5,Mayy25,36,FALSE))</f>
        <v>Yes</v>
      </c>
      <c r="AM5" s="179"/>
      <c r="AN5" s="179"/>
      <c r="AP5" s="166">
        <f t="shared" ref="AP5:AP39" si="18">IFERROR(IF($B5="","",(VLOOKUP($B5,Aprr25,4,FALSE)+VLOOKUP($B5,Mayy25,4,FALSE)+VLOOKUP($B5,Junn25,4,FALSE))),0)</f>
        <v>7</v>
      </c>
      <c r="AQ5" s="166">
        <f t="shared" ref="AQ5:AQ39" si="19">IFERROR(IF($B5="","",(VLOOKUP($B5,Aprr25,5,FALSE)+VLOOKUP($B5,Mayy25,5,FALSE)+VLOOKUP($B5,Junn25,5,FALSE))),0)</f>
        <v>7</v>
      </c>
      <c r="AR5" s="166">
        <f t="shared" ref="AR5:AR39" si="20">IFERROR(IF($B5="","",(VLOOKUP($B5,Aprr25,6,FALSE)+VLOOKUP($B5,Mayy25,6,FALSE)+VLOOKUP($B5,Junn25,6,FALSE))),0)</f>
        <v>2</v>
      </c>
      <c r="AS5" s="162">
        <f>IFERROR(VLOOKUP(B5,Increment!$B$5:$D$39,2,)*2,"")</f>
        <v>8000</v>
      </c>
    </row>
    <row r="6" spans="1:47" s="162" customFormat="1" ht="25.2" customHeight="1" x14ac:dyDescent="0.3">
      <c r="A6" s="167">
        <v>2</v>
      </c>
      <c r="B6" s="156" t="str" cm="1">
        <f t="array" ref="B6">IF($J$1="Active",IF(Salary_Master_1!B6="","",_xlfn.IFS(Salary_Master_1!M6="Working",IF(Salary_Master_1!H6&lt;=DATE(2025,6,30),Salary_Master_1!B6,""),Salary_Master_1!M6="Left",IF(Salary_Master_1!N6&gt;DATE(2025,5,31),Salary_Master_1!B6,""))),"")</f>
        <v>Ramesh Poojari</v>
      </c>
      <c r="C6" s="304">
        <v>31</v>
      </c>
      <c r="D6" s="305">
        <f t="shared" ref="D6:D39" si="21">IF($J$1="Active",IF(B6="","",C6-SUM(E6:G6)-I6),"")</f>
        <v>30.5</v>
      </c>
      <c r="E6" s="177">
        <v>0.5</v>
      </c>
      <c r="F6" s="177"/>
      <c r="G6" s="177"/>
      <c r="H6" s="305">
        <f t="shared" ref="H6:H39" si="22">IF(SUM(D6:G6)=0,"",SUM(D6:G6))</f>
        <v>31</v>
      </c>
      <c r="I6" s="177"/>
      <c r="J6" s="177">
        <v>1</v>
      </c>
      <c r="K6" s="158" t="str">
        <f t="shared" si="1"/>
        <v>No</v>
      </c>
      <c r="L6" s="158" t="str">
        <f t="shared" si="2"/>
        <v>No</v>
      </c>
      <c r="M6" s="168"/>
      <c r="N6" s="169">
        <f t="shared" si="3"/>
        <v>11500</v>
      </c>
      <c r="O6" s="170">
        <f t="shared" si="4"/>
        <v>4600</v>
      </c>
      <c r="P6" s="170">
        <f t="shared" si="5"/>
        <v>1600</v>
      </c>
      <c r="Q6" s="170">
        <f t="shared" si="6"/>
        <v>958</v>
      </c>
      <c r="R6" s="170">
        <f t="shared" si="7"/>
        <v>18842</v>
      </c>
      <c r="S6" s="170">
        <f t="shared" si="8"/>
        <v>0</v>
      </c>
      <c r="T6" s="170">
        <f t="shared" si="9"/>
        <v>0</v>
      </c>
      <c r="U6" s="170">
        <f t="shared" si="10"/>
        <v>0</v>
      </c>
      <c r="V6" s="262">
        <f t="shared" ref="V6:V39" si="23">ROUND(SUM(N6:U6),0)</f>
        <v>37500</v>
      </c>
      <c r="W6" s="160">
        <f t="shared" ref="W6:W39" si="24">IFERROR(ROUND(IF(K6="Yes",IF((V6-O6)&gt;15000,1800,SUM(V6-O6)*12%),),),"")</f>
        <v>0</v>
      </c>
      <c r="X6" s="160">
        <f t="shared" ref="X6:X39" si="25">IF(B6="Sagar Kadam",0,IF(B6="Rahul Jadhav",0,IF(W6="","",W6)))</f>
        <v>0</v>
      </c>
      <c r="Y6" s="160">
        <f t="shared" ref="Y6:Y39" si="26">ROUND(IF(L6="Yes",V6*0.75%,0),0)</f>
        <v>0</v>
      </c>
      <c r="Z6" s="160">
        <f t="shared" ref="Z6:Z39" si="27">IF(B6="Sagar Kadam",0,IF(B6="Rahul Jadhav",0,ROUND(IF(L6="Yes",V6*3.25%,0),0)))</f>
        <v>0</v>
      </c>
      <c r="AA6" s="160">
        <f t="shared" ref="AA6:AA39" si="28">IF(AE6="Female",IF(V6&gt;24999,200,0),IF(V6&gt;7500,200,0))</f>
        <v>200</v>
      </c>
      <c r="AB6" s="160">
        <f t="shared" ref="AB6:AB39" si="29">AM6</f>
        <v>0</v>
      </c>
      <c r="AC6" s="160">
        <f t="shared" ref="AC6:AC39" si="30">AN6</f>
        <v>0</v>
      </c>
      <c r="AD6" s="307">
        <f t="shared" ref="AD6:AD39" si="31">ROUND(V6-SUM(W6:AC6),0)</f>
        <v>37300</v>
      </c>
      <c r="AE6" s="308" t="str">
        <f t="shared" ref="AE6:AE39" si="32">IF(B6="","",VLOOKUP(B6,Salary_Master,8,FALSE))</f>
        <v>Male</v>
      </c>
      <c r="AF6" s="163">
        <f t="shared" si="13"/>
        <v>1</v>
      </c>
      <c r="AG6" s="163">
        <f t="shared" si="14"/>
        <v>7</v>
      </c>
      <c r="AH6" s="163">
        <f t="shared" si="15"/>
        <v>7</v>
      </c>
      <c r="AJ6" s="165" t="str">
        <f t="shared" si="16"/>
        <v/>
      </c>
      <c r="AK6" s="180" t="str">
        <f t="shared" si="17"/>
        <v>Yes</v>
      </c>
      <c r="AM6" s="179"/>
      <c r="AN6" s="179"/>
      <c r="AP6" s="166">
        <f t="shared" si="18"/>
        <v>6</v>
      </c>
      <c r="AQ6" s="166">
        <f t="shared" si="19"/>
        <v>0</v>
      </c>
      <c r="AR6" s="166">
        <f t="shared" si="20"/>
        <v>0</v>
      </c>
      <c r="AS6" s="162">
        <f>IFERROR(VLOOKUP(B6,Increment!$B$5:$D$39,2,)*2,"")</f>
        <v>4000</v>
      </c>
    </row>
    <row r="7" spans="1:47" s="162" customFormat="1" ht="25.2" customHeight="1" x14ac:dyDescent="0.3">
      <c r="A7" s="167">
        <v>3</v>
      </c>
      <c r="B7" s="156" t="str" cm="1">
        <f t="array" ref="B7">IF($J$1="Active",IF(Salary_Master_1!B7="","",_xlfn.IFS(Salary_Master_1!M7="Working",IF(Salary_Master_1!H7&lt;=DATE(2025,6,30),Salary_Master_1!B7,""),Salary_Master_1!M7="Left",IF(Salary_Master_1!N7&gt;DATE(2025,5,31),Salary_Master_1!B7,""))),"")</f>
        <v>Rajan Fernandes</v>
      </c>
      <c r="C7" s="304">
        <v>31</v>
      </c>
      <c r="D7" s="305">
        <f t="shared" si="21"/>
        <v>28</v>
      </c>
      <c r="E7" s="177">
        <v>3</v>
      </c>
      <c r="F7" s="177"/>
      <c r="G7" s="177"/>
      <c r="H7" s="305">
        <f t="shared" si="22"/>
        <v>31</v>
      </c>
      <c r="I7" s="177"/>
      <c r="J7" s="177">
        <v>0</v>
      </c>
      <c r="K7" s="158" t="str">
        <f t="shared" si="1"/>
        <v>No</v>
      </c>
      <c r="L7" s="158" t="str">
        <f t="shared" si="2"/>
        <v>No</v>
      </c>
      <c r="M7" s="168"/>
      <c r="N7" s="169">
        <f t="shared" si="3"/>
        <v>20000</v>
      </c>
      <c r="O7" s="170">
        <f t="shared" si="4"/>
        <v>10000</v>
      </c>
      <c r="P7" s="170">
        <f t="shared" si="5"/>
        <v>1600</v>
      </c>
      <c r="Q7" s="170">
        <f t="shared" si="6"/>
        <v>1667</v>
      </c>
      <c r="R7" s="170">
        <f t="shared" si="7"/>
        <v>27233</v>
      </c>
      <c r="S7" s="170">
        <f t="shared" si="8"/>
        <v>0</v>
      </c>
      <c r="T7" s="170">
        <f t="shared" si="9"/>
        <v>0</v>
      </c>
      <c r="U7" s="170">
        <f t="shared" si="10"/>
        <v>0</v>
      </c>
      <c r="V7" s="262">
        <f t="shared" si="23"/>
        <v>60500</v>
      </c>
      <c r="W7" s="160">
        <f t="shared" si="24"/>
        <v>0</v>
      </c>
      <c r="X7" s="160">
        <f t="shared" si="25"/>
        <v>0</v>
      </c>
      <c r="Y7" s="160">
        <f t="shared" si="26"/>
        <v>0</v>
      </c>
      <c r="Z7" s="160">
        <f t="shared" si="27"/>
        <v>0</v>
      </c>
      <c r="AA7" s="160">
        <f t="shared" si="28"/>
        <v>200</v>
      </c>
      <c r="AB7" s="160">
        <f t="shared" si="29"/>
        <v>0</v>
      </c>
      <c r="AC7" s="160">
        <f t="shared" si="30"/>
        <v>0</v>
      </c>
      <c r="AD7" s="307">
        <f t="shared" si="31"/>
        <v>60300</v>
      </c>
      <c r="AE7" s="308" t="str">
        <f t="shared" si="32"/>
        <v>Male</v>
      </c>
      <c r="AF7" s="163">
        <f t="shared" si="13"/>
        <v>-3</v>
      </c>
      <c r="AG7" s="163">
        <f t="shared" si="14"/>
        <v>7</v>
      </c>
      <c r="AH7" s="163">
        <f t="shared" si="15"/>
        <v>7</v>
      </c>
      <c r="AJ7" s="165" t="str">
        <f t="shared" si="16"/>
        <v/>
      </c>
      <c r="AK7" s="180" t="str">
        <f t="shared" si="17"/>
        <v>Yes</v>
      </c>
      <c r="AM7" s="179"/>
      <c r="AN7" s="179"/>
      <c r="AP7" s="166">
        <f t="shared" si="18"/>
        <v>10</v>
      </c>
      <c r="AQ7" s="166">
        <f t="shared" si="19"/>
        <v>0</v>
      </c>
      <c r="AR7" s="166">
        <f t="shared" si="20"/>
        <v>0</v>
      </c>
      <c r="AS7" s="162">
        <f>IFERROR(VLOOKUP(B7,Increment!$B$5:$D$39,2,)*2,"")</f>
        <v>6000</v>
      </c>
    </row>
    <row r="8" spans="1:47" s="162" customFormat="1" ht="25.2" customHeight="1" x14ac:dyDescent="0.3">
      <c r="A8" s="167">
        <v>4</v>
      </c>
      <c r="B8" s="156" t="str" cm="1">
        <f t="array" ref="B8">IF($J$1="Active",IF(Salary_Master_1!B8="","",_xlfn.IFS(Salary_Master_1!M8="Working",IF(Salary_Master_1!H8&lt;=DATE(2025,6,30),Salary_Master_1!B8,""),Salary_Master_1!M8="Left",IF(Salary_Master_1!N8&gt;DATE(2025,5,31),Salary_Master_1!B8,""))),"")</f>
        <v>Sanjay Jadhav</v>
      </c>
      <c r="C8" s="304">
        <v>31</v>
      </c>
      <c r="D8" s="305">
        <f t="shared" si="21"/>
        <v>27.5</v>
      </c>
      <c r="E8" s="177"/>
      <c r="F8" s="177"/>
      <c r="G8" s="177">
        <v>3.5</v>
      </c>
      <c r="H8" s="305">
        <f t="shared" si="22"/>
        <v>31</v>
      </c>
      <c r="I8" s="177"/>
      <c r="J8" s="177">
        <v>3</v>
      </c>
      <c r="K8" s="158" t="str">
        <f t="shared" si="1"/>
        <v>Yes</v>
      </c>
      <c r="L8" s="158" t="str">
        <f t="shared" si="2"/>
        <v>No</v>
      </c>
      <c r="M8" s="168"/>
      <c r="N8" s="169">
        <f t="shared" si="3"/>
        <v>11500</v>
      </c>
      <c r="O8" s="170">
        <f t="shared" si="4"/>
        <v>4600</v>
      </c>
      <c r="P8" s="170">
        <f t="shared" si="5"/>
        <v>1600</v>
      </c>
      <c r="Q8" s="170">
        <f t="shared" si="6"/>
        <v>958</v>
      </c>
      <c r="R8" s="170">
        <f t="shared" si="7"/>
        <v>5742</v>
      </c>
      <c r="S8" s="170">
        <f t="shared" si="8"/>
        <v>1800</v>
      </c>
      <c r="T8" s="170">
        <f t="shared" si="9"/>
        <v>1800</v>
      </c>
      <c r="U8" s="170">
        <f t="shared" si="10"/>
        <v>0</v>
      </c>
      <c r="V8" s="262">
        <f t="shared" si="23"/>
        <v>28000</v>
      </c>
      <c r="W8" s="160">
        <f t="shared" si="24"/>
        <v>1800</v>
      </c>
      <c r="X8" s="160">
        <f t="shared" si="25"/>
        <v>1800</v>
      </c>
      <c r="Y8" s="160">
        <f t="shared" si="26"/>
        <v>0</v>
      </c>
      <c r="Z8" s="160">
        <f t="shared" si="27"/>
        <v>0</v>
      </c>
      <c r="AA8" s="160">
        <f t="shared" si="28"/>
        <v>200</v>
      </c>
      <c r="AB8" s="160">
        <f t="shared" si="29"/>
        <v>0</v>
      </c>
      <c r="AC8" s="160">
        <f t="shared" si="30"/>
        <v>0</v>
      </c>
      <c r="AD8" s="307">
        <f t="shared" si="31"/>
        <v>24200</v>
      </c>
      <c r="AE8" s="308" t="str">
        <f t="shared" si="32"/>
        <v>Male</v>
      </c>
      <c r="AF8" s="163">
        <f t="shared" si="13"/>
        <v>0</v>
      </c>
      <c r="AG8" s="163">
        <f t="shared" si="14"/>
        <v>0</v>
      </c>
      <c r="AH8" s="163">
        <f t="shared" si="15"/>
        <v>3.5</v>
      </c>
      <c r="AJ8" s="165" t="str">
        <f t="shared" si="16"/>
        <v/>
      </c>
      <c r="AK8" s="180" t="str">
        <f t="shared" si="17"/>
        <v>Yes</v>
      </c>
      <c r="AM8" s="179"/>
      <c r="AN8" s="179"/>
      <c r="AP8" s="166">
        <f t="shared" si="18"/>
        <v>7</v>
      </c>
      <c r="AQ8" s="166">
        <f t="shared" si="19"/>
        <v>7</v>
      </c>
      <c r="AR8" s="166">
        <f t="shared" si="20"/>
        <v>3.5</v>
      </c>
      <c r="AS8" s="162">
        <f>IFERROR(VLOOKUP(B8,Increment!$B$5:$D$39,2,)*2,"")</f>
        <v>2000</v>
      </c>
    </row>
    <row r="9" spans="1:47" s="162" customFormat="1" ht="25.2" customHeight="1" x14ac:dyDescent="0.3">
      <c r="A9" s="167">
        <v>5</v>
      </c>
      <c r="B9" s="156" t="str" cm="1">
        <f t="array" ref="B9">IF($J$1="Active",IF(Salary_Master_1!B9="","",_xlfn.IFS(Salary_Master_1!M9="Working",IF(Salary_Master_1!H9&lt;=DATE(2025,6,30),Salary_Master_1!B9,""),Salary_Master_1!M9="Left",IF(Salary_Master_1!N9&gt;DATE(2025,5,31),Salary_Master_1!B9,""))),"")</f>
        <v>Darshana Bhagat</v>
      </c>
      <c r="C9" s="304">
        <v>31</v>
      </c>
      <c r="D9" s="305">
        <f t="shared" si="21"/>
        <v>30</v>
      </c>
      <c r="E9" s="177">
        <v>1</v>
      </c>
      <c r="F9" s="177"/>
      <c r="G9" s="177"/>
      <c r="H9" s="305">
        <f t="shared" si="22"/>
        <v>31</v>
      </c>
      <c r="I9" s="177"/>
      <c r="J9" s="177">
        <v>0</v>
      </c>
      <c r="K9" s="158" t="str">
        <f t="shared" si="1"/>
        <v>No</v>
      </c>
      <c r="L9" s="158" t="str">
        <f t="shared" si="2"/>
        <v>No</v>
      </c>
      <c r="M9" s="168"/>
      <c r="N9" s="169">
        <f t="shared" si="3"/>
        <v>11500</v>
      </c>
      <c r="O9" s="170">
        <f t="shared" si="4"/>
        <v>4600</v>
      </c>
      <c r="P9" s="170">
        <f t="shared" si="5"/>
        <v>1600</v>
      </c>
      <c r="Q9" s="170">
        <f t="shared" si="6"/>
        <v>958</v>
      </c>
      <c r="R9" s="170">
        <f t="shared" si="7"/>
        <v>18842</v>
      </c>
      <c r="S9" s="170">
        <f t="shared" si="8"/>
        <v>0</v>
      </c>
      <c r="T9" s="170">
        <f t="shared" si="9"/>
        <v>0</v>
      </c>
      <c r="U9" s="170">
        <f t="shared" si="10"/>
        <v>0</v>
      </c>
      <c r="V9" s="262">
        <f t="shared" si="23"/>
        <v>37500</v>
      </c>
      <c r="W9" s="160">
        <f t="shared" si="24"/>
        <v>0</v>
      </c>
      <c r="X9" s="160">
        <f t="shared" si="25"/>
        <v>0</v>
      </c>
      <c r="Y9" s="160">
        <f t="shared" si="26"/>
        <v>0</v>
      </c>
      <c r="Z9" s="160">
        <f t="shared" si="27"/>
        <v>0</v>
      </c>
      <c r="AA9" s="160">
        <f t="shared" si="28"/>
        <v>200</v>
      </c>
      <c r="AB9" s="160">
        <f t="shared" si="29"/>
        <v>0</v>
      </c>
      <c r="AC9" s="160">
        <f t="shared" si="30"/>
        <v>0</v>
      </c>
      <c r="AD9" s="307">
        <f t="shared" si="31"/>
        <v>37300</v>
      </c>
      <c r="AE9" s="308" t="str">
        <f t="shared" si="32"/>
        <v>Female</v>
      </c>
      <c r="AF9" s="163">
        <f t="shared" si="13"/>
        <v>1.5</v>
      </c>
      <c r="AG9" s="163">
        <f t="shared" si="14"/>
        <v>7</v>
      </c>
      <c r="AH9" s="163">
        <f t="shared" si="15"/>
        <v>7</v>
      </c>
      <c r="AJ9" s="165" t="str">
        <f t="shared" si="16"/>
        <v/>
      </c>
      <c r="AK9" s="180" t="str">
        <f t="shared" si="17"/>
        <v>Yes</v>
      </c>
      <c r="AM9" s="179"/>
      <c r="AN9" s="179"/>
      <c r="AP9" s="166">
        <f t="shared" si="18"/>
        <v>5.5</v>
      </c>
      <c r="AQ9" s="166">
        <f t="shared" si="19"/>
        <v>0</v>
      </c>
      <c r="AR9" s="166">
        <f t="shared" si="20"/>
        <v>0</v>
      </c>
      <c r="AS9" s="162">
        <f>IFERROR(VLOOKUP(B9,Increment!$B$5:$D$39,2,)*2,"")</f>
        <v>4000</v>
      </c>
    </row>
    <row r="10" spans="1:47" s="162" customFormat="1" ht="25.2" customHeight="1" x14ac:dyDescent="0.3">
      <c r="A10" s="167">
        <v>6</v>
      </c>
      <c r="B10" s="156" t="str" cm="1">
        <f t="array" ref="B10">IF($J$1="Active",IF(Salary_Master_1!B10="","",_xlfn.IFS(Salary_Master_1!M10="Working",IF(Salary_Master_1!H10&lt;=DATE(2025,6,30),Salary_Master_1!B10,""),Salary_Master_1!M10="Left",IF(Salary_Master_1!N10&gt;DATE(2025,5,31),Salary_Master_1!B10,""))),"")</f>
        <v>Kavita Sawant</v>
      </c>
      <c r="C10" s="304">
        <v>31</v>
      </c>
      <c r="D10" s="305">
        <f t="shared" si="21"/>
        <v>31</v>
      </c>
      <c r="E10" s="177"/>
      <c r="F10" s="177"/>
      <c r="G10" s="177"/>
      <c r="H10" s="305">
        <f t="shared" si="22"/>
        <v>31</v>
      </c>
      <c r="I10" s="177"/>
      <c r="J10" s="177">
        <v>7</v>
      </c>
      <c r="K10" s="158" t="str">
        <f t="shared" si="1"/>
        <v>No</v>
      </c>
      <c r="L10" s="158" t="str">
        <f t="shared" si="2"/>
        <v>No</v>
      </c>
      <c r="M10" s="168"/>
      <c r="N10" s="169">
        <f t="shared" si="3"/>
        <v>20000</v>
      </c>
      <c r="O10" s="170">
        <f t="shared" si="4"/>
        <v>10000</v>
      </c>
      <c r="P10" s="170">
        <f t="shared" si="5"/>
        <v>1600</v>
      </c>
      <c r="Q10" s="170">
        <f t="shared" si="6"/>
        <v>1667</v>
      </c>
      <c r="R10" s="170">
        <f t="shared" si="7"/>
        <v>40733</v>
      </c>
      <c r="S10" s="170">
        <f t="shared" si="8"/>
        <v>0</v>
      </c>
      <c r="T10" s="170">
        <f t="shared" si="9"/>
        <v>0</v>
      </c>
      <c r="U10" s="170">
        <f t="shared" si="10"/>
        <v>0</v>
      </c>
      <c r="V10" s="262">
        <f t="shared" si="23"/>
        <v>74000</v>
      </c>
      <c r="W10" s="160">
        <f t="shared" si="24"/>
        <v>0</v>
      </c>
      <c r="X10" s="160">
        <f t="shared" si="25"/>
        <v>0</v>
      </c>
      <c r="Y10" s="160">
        <f t="shared" si="26"/>
        <v>0</v>
      </c>
      <c r="Z10" s="160">
        <f t="shared" si="27"/>
        <v>0</v>
      </c>
      <c r="AA10" s="160">
        <f t="shared" si="28"/>
        <v>200</v>
      </c>
      <c r="AB10" s="160">
        <f t="shared" si="29"/>
        <v>0</v>
      </c>
      <c r="AC10" s="160">
        <f t="shared" si="30"/>
        <v>0</v>
      </c>
      <c r="AD10" s="307">
        <f t="shared" si="31"/>
        <v>73800</v>
      </c>
      <c r="AE10" s="308" t="str">
        <f t="shared" si="32"/>
        <v>Female</v>
      </c>
      <c r="AF10" s="163">
        <f t="shared" si="13"/>
        <v>5</v>
      </c>
      <c r="AG10" s="163">
        <f t="shared" si="14"/>
        <v>7</v>
      </c>
      <c r="AH10" s="163">
        <f t="shared" si="15"/>
        <v>7</v>
      </c>
      <c r="AJ10" s="165" t="str">
        <f t="shared" si="16"/>
        <v/>
      </c>
      <c r="AK10" s="180" t="str">
        <f t="shared" si="17"/>
        <v>Yes</v>
      </c>
      <c r="AM10" s="179"/>
      <c r="AN10" s="179"/>
      <c r="AP10" s="166">
        <f t="shared" si="18"/>
        <v>2</v>
      </c>
      <c r="AQ10" s="166">
        <f t="shared" si="19"/>
        <v>0</v>
      </c>
      <c r="AR10" s="166">
        <f t="shared" si="20"/>
        <v>0</v>
      </c>
      <c r="AS10" s="162">
        <f>IFERROR(VLOOKUP(B10,Increment!$B$5:$D$39,2,)*2,"")</f>
        <v>7600</v>
      </c>
    </row>
    <row r="11" spans="1:47" s="162" customFormat="1" ht="25.2" customHeight="1" x14ac:dyDescent="0.3">
      <c r="A11" s="167">
        <v>7</v>
      </c>
      <c r="B11" s="156" t="str" cm="1">
        <f t="array" ref="B11">IF($J$1="Active",IF(Salary_Master_1!B11="","",_xlfn.IFS(Salary_Master_1!M11="Working",IF(Salary_Master_1!H11&lt;=DATE(2025,6,30),Salary_Master_1!B11,""),Salary_Master_1!M11="Left",IF(Salary_Master_1!N11&gt;DATE(2025,5,31),Salary_Master_1!B11,""))),"")</f>
        <v>Pankajkumar Chodhary</v>
      </c>
      <c r="C11" s="304">
        <v>31</v>
      </c>
      <c r="D11" s="305">
        <f t="shared" si="21"/>
        <v>31</v>
      </c>
      <c r="E11" s="177"/>
      <c r="F11" s="177"/>
      <c r="G11" s="177"/>
      <c r="H11" s="305">
        <f t="shared" si="22"/>
        <v>31</v>
      </c>
      <c r="I11" s="177"/>
      <c r="J11" s="177">
        <v>0</v>
      </c>
      <c r="K11" s="158" t="str">
        <f t="shared" si="1"/>
        <v>No</v>
      </c>
      <c r="L11" s="158" t="str">
        <f t="shared" si="2"/>
        <v>No</v>
      </c>
      <c r="M11" s="168"/>
      <c r="N11" s="169">
        <f t="shared" si="3"/>
        <v>16500</v>
      </c>
      <c r="O11" s="170">
        <f t="shared" si="4"/>
        <v>6600</v>
      </c>
      <c r="P11" s="170">
        <f t="shared" si="5"/>
        <v>1600</v>
      </c>
      <c r="Q11" s="170">
        <f t="shared" si="6"/>
        <v>1375</v>
      </c>
      <c r="R11" s="170">
        <f t="shared" si="7"/>
        <v>19925</v>
      </c>
      <c r="S11" s="170">
        <f t="shared" si="8"/>
        <v>0</v>
      </c>
      <c r="T11" s="170">
        <f t="shared" si="9"/>
        <v>0</v>
      </c>
      <c r="U11" s="170">
        <f t="shared" si="10"/>
        <v>0</v>
      </c>
      <c r="V11" s="262">
        <f t="shared" si="23"/>
        <v>46000</v>
      </c>
      <c r="W11" s="160">
        <f t="shared" si="24"/>
        <v>0</v>
      </c>
      <c r="X11" s="160">
        <f t="shared" si="25"/>
        <v>0</v>
      </c>
      <c r="Y11" s="160">
        <f t="shared" si="26"/>
        <v>0</v>
      </c>
      <c r="Z11" s="160">
        <f t="shared" si="27"/>
        <v>0</v>
      </c>
      <c r="AA11" s="160">
        <f t="shared" si="28"/>
        <v>200</v>
      </c>
      <c r="AB11" s="160">
        <f t="shared" si="29"/>
        <v>0</v>
      </c>
      <c r="AC11" s="160">
        <f t="shared" si="30"/>
        <v>0</v>
      </c>
      <c r="AD11" s="307">
        <f t="shared" si="31"/>
        <v>45800</v>
      </c>
      <c r="AE11" s="308" t="str">
        <f t="shared" si="32"/>
        <v>Male</v>
      </c>
      <c r="AF11" s="163">
        <f t="shared" si="13"/>
        <v>7</v>
      </c>
      <c r="AG11" s="163">
        <f t="shared" si="14"/>
        <v>7</v>
      </c>
      <c r="AH11" s="163">
        <f t="shared" si="15"/>
        <v>7</v>
      </c>
      <c r="AJ11" s="165" t="str">
        <f t="shared" si="16"/>
        <v/>
      </c>
      <c r="AK11" s="180" t="str">
        <f t="shared" si="17"/>
        <v>Yes</v>
      </c>
      <c r="AM11" s="179"/>
      <c r="AN11" s="179"/>
      <c r="AP11" s="166">
        <f t="shared" si="18"/>
        <v>0</v>
      </c>
      <c r="AQ11" s="166">
        <f t="shared" si="19"/>
        <v>0</v>
      </c>
      <c r="AR11" s="166">
        <f t="shared" si="20"/>
        <v>0</v>
      </c>
      <c r="AS11" s="162">
        <f>IFERROR(VLOOKUP(B11,Increment!$B$5:$D$39,2,)*2,"")</f>
        <v>4000</v>
      </c>
    </row>
    <row r="12" spans="1:47" s="173" customFormat="1" ht="25.2" customHeight="1" x14ac:dyDescent="0.3">
      <c r="A12" s="172">
        <v>8</v>
      </c>
      <c r="B12" s="156" t="str" cm="1">
        <f t="array" ref="B12">IF($J$1="Active",IF(Salary_Master_1!B12="","",_xlfn.IFS(Salary_Master_1!M12="Working",IF(Salary_Master_1!H12&lt;=DATE(2025,6,30),Salary_Master_1!B12,""),Salary_Master_1!M12="Left",IF(Salary_Master_1!N12&gt;DATE(2025,5,31),Salary_Master_1!B12,""))),"")</f>
        <v>Komal Patil</v>
      </c>
      <c r="C12" s="304">
        <v>31</v>
      </c>
      <c r="D12" s="305">
        <f t="shared" si="21"/>
        <v>27</v>
      </c>
      <c r="E12" s="177"/>
      <c r="F12" s="177"/>
      <c r="G12" s="177">
        <v>4</v>
      </c>
      <c r="H12" s="305">
        <f t="shared" si="22"/>
        <v>31</v>
      </c>
      <c r="I12" s="177"/>
      <c r="J12" s="177">
        <v>17</v>
      </c>
      <c r="K12" s="158" t="str">
        <f t="shared" si="1"/>
        <v>No</v>
      </c>
      <c r="L12" s="158" t="str">
        <f t="shared" si="2"/>
        <v>No</v>
      </c>
      <c r="M12" s="168"/>
      <c r="N12" s="169">
        <f t="shared" si="3"/>
        <v>20000</v>
      </c>
      <c r="O12" s="170">
        <f t="shared" si="4"/>
        <v>10000</v>
      </c>
      <c r="P12" s="170">
        <f t="shared" si="5"/>
        <v>1600</v>
      </c>
      <c r="Q12" s="170">
        <f t="shared" si="6"/>
        <v>1667</v>
      </c>
      <c r="R12" s="170">
        <f t="shared" si="7"/>
        <v>46733</v>
      </c>
      <c r="S12" s="170">
        <f t="shared" si="8"/>
        <v>0</v>
      </c>
      <c r="T12" s="170">
        <f t="shared" si="9"/>
        <v>0</v>
      </c>
      <c r="U12" s="170">
        <f t="shared" si="10"/>
        <v>0</v>
      </c>
      <c r="V12" s="262">
        <f t="shared" si="23"/>
        <v>80000</v>
      </c>
      <c r="W12" s="160">
        <f t="shared" si="24"/>
        <v>0</v>
      </c>
      <c r="X12" s="160">
        <f t="shared" si="25"/>
        <v>0</v>
      </c>
      <c r="Y12" s="160">
        <f t="shared" si="26"/>
        <v>0</v>
      </c>
      <c r="Z12" s="160">
        <f t="shared" si="27"/>
        <v>0</v>
      </c>
      <c r="AA12" s="160">
        <f t="shared" si="28"/>
        <v>200</v>
      </c>
      <c r="AB12" s="160">
        <f t="shared" si="29"/>
        <v>0</v>
      </c>
      <c r="AC12" s="160">
        <f t="shared" si="30"/>
        <v>0</v>
      </c>
      <c r="AD12" s="307">
        <f t="shared" si="31"/>
        <v>79800</v>
      </c>
      <c r="AE12" s="308" t="str">
        <f t="shared" si="32"/>
        <v>Female</v>
      </c>
      <c r="AF12" s="163">
        <f t="shared" si="13"/>
        <v>0</v>
      </c>
      <c r="AG12" s="163">
        <f t="shared" si="14"/>
        <v>0</v>
      </c>
      <c r="AH12" s="163">
        <f t="shared" si="15"/>
        <v>1</v>
      </c>
      <c r="AJ12" s="165" t="str">
        <f t="shared" si="16"/>
        <v/>
      </c>
      <c r="AK12" s="180" t="str">
        <f t="shared" si="17"/>
        <v>Yes</v>
      </c>
      <c r="AM12" s="179"/>
      <c r="AN12" s="179"/>
      <c r="AP12" s="166">
        <f t="shared" si="18"/>
        <v>7</v>
      </c>
      <c r="AQ12" s="166">
        <f t="shared" si="19"/>
        <v>7</v>
      </c>
      <c r="AR12" s="166">
        <f t="shared" si="20"/>
        <v>6</v>
      </c>
      <c r="AS12" s="162">
        <f>IFERROR(VLOOKUP(B12,Increment!$B$5:$D$39,2,)*2,"")</f>
        <v>7000</v>
      </c>
      <c r="AT12" s="162"/>
      <c r="AU12" s="162"/>
    </row>
    <row r="13" spans="1:47" s="173" customFormat="1" ht="25.2" customHeight="1" x14ac:dyDescent="0.3">
      <c r="A13" s="172">
        <v>9</v>
      </c>
      <c r="B13" s="156" t="str" cm="1">
        <f t="array" ref="B13">IF($J$1="Active",IF(Salary_Master_1!B13="","",_xlfn.IFS(Salary_Master_1!M13="Working",IF(Salary_Master_1!H13&lt;=DATE(2025,6,30),Salary_Master_1!B13,""),Salary_Master_1!M13="Left",IF(Salary_Master_1!N13&gt;DATE(2025,5,31),Salary_Master_1!B13,""))),"")</f>
        <v>Ankit Parmar</v>
      </c>
      <c r="C13" s="304">
        <v>31</v>
      </c>
      <c r="D13" s="305">
        <f t="shared" si="21"/>
        <v>31</v>
      </c>
      <c r="E13" s="177"/>
      <c r="F13" s="177"/>
      <c r="G13" s="177"/>
      <c r="H13" s="305">
        <f t="shared" si="22"/>
        <v>31</v>
      </c>
      <c r="I13" s="177"/>
      <c r="J13" s="177">
        <v>1</v>
      </c>
      <c r="K13" s="158" t="str">
        <f t="shared" si="1"/>
        <v>No</v>
      </c>
      <c r="L13" s="158" t="str">
        <f t="shared" si="2"/>
        <v>No</v>
      </c>
      <c r="M13" s="168"/>
      <c r="N13" s="169">
        <f t="shared" si="3"/>
        <v>16500</v>
      </c>
      <c r="O13" s="170">
        <f t="shared" si="4"/>
        <v>6600</v>
      </c>
      <c r="P13" s="170">
        <f t="shared" si="5"/>
        <v>1600</v>
      </c>
      <c r="Q13" s="170">
        <f t="shared" si="6"/>
        <v>1375</v>
      </c>
      <c r="R13" s="170">
        <f t="shared" si="7"/>
        <v>21425</v>
      </c>
      <c r="S13" s="170">
        <f t="shared" si="8"/>
        <v>0</v>
      </c>
      <c r="T13" s="170">
        <f t="shared" si="9"/>
        <v>0</v>
      </c>
      <c r="U13" s="170">
        <f t="shared" si="10"/>
        <v>0</v>
      </c>
      <c r="V13" s="262">
        <f t="shared" si="23"/>
        <v>47500</v>
      </c>
      <c r="W13" s="160">
        <f t="shared" si="24"/>
        <v>0</v>
      </c>
      <c r="X13" s="160">
        <f t="shared" si="25"/>
        <v>0</v>
      </c>
      <c r="Y13" s="160">
        <f t="shared" si="26"/>
        <v>0</v>
      </c>
      <c r="Z13" s="160">
        <f t="shared" si="27"/>
        <v>0</v>
      </c>
      <c r="AA13" s="160">
        <f t="shared" si="28"/>
        <v>200</v>
      </c>
      <c r="AB13" s="160">
        <f t="shared" si="29"/>
        <v>0</v>
      </c>
      <c r="AC13" s="160">
        <f t="shared" si="30"/>
        <v>0</v>
      </c>
      <c r="AD13" s="307">
        <f t="shared" si="31"/>
        <v>47300</v>
      </c>
      <c r="AE13" s="308" t="str">
        <f t="shared" si="32"/>
        <v>Male</v>
      </c>
      <c r="AF13" s="163">
        <f t="shared" si="13"/>
        <v>2.5</v>
      </c>
      <c r="AG13" s="163">
        <f t="shared" si="14"/>
        <v>7</v>
      </c>
      <c r="AH13" s="163">
        <f t="shared" si="15"/>
        <v>7</v>
      </c>
      <c r="AJ13" s="165" t="str">
        <f t="shared" si="16"/>
        <v/>
      </c>
      <c r="AK13" s="180" t="str">
        <f t="shared" si="17"/>
        <v>Yes</v>
      </c>
      <c r="AM13" s="179"/>
      <c r="AN13" s="179"/>
      <c r="AP13" s="166">
        <f t="shared" si="18"/>
        <v>4.5</v>
      </c>
      <c r="AQ13" s="166">
        <f t="shared" si="19"/>
        <v>0</v>
      </c>
      <c r="AR13" s="166">
        <f t="shared" si="20"/>
        <v>0</v>
      </c>
      <c r="AS13" s="162">
        <f>IFERROR(VLOOKUP(B13,Increment!$B$5:$D$39,2,)*2,"")</f>
        <v>5000</v>
      </c>
      <c r="AT13" s="162"/>
      <c r="AU13" s="162"/>
    </row>
    <row r="14" spans="1:47" s="162" customFormat="1" ht="25.2" customHeight="1" x14ac:dyDescent="0.3">
      <c r="A14" s="167">
        <v>10</v>
      </c>
      <c r="B14" s="156" t="str" cm="1">
        <f t="array" ref="B14">IF($J$1="Active",IF(Salary_Master_1!B14="","",_xlfn.IFS(Salary_Master_1!M14="Working",IF(Salary_Master_1!H14&lt;=DATE(2025,6,30),Salary_Master_1!B14,""),Salary_Master_1!M14="Left",IF(Salary_Master_1!N14&gt;DATE(2025,5,31),Salary_Master_1!B14,""))),"")</f>
        <v>Jayesh Chogle</v>
      </c>
      <c r="C14" s="304">
        <v>31</v>
      </c>
      <c r="D14" s="305">
        <f t="shared" si="21"/>
        <v>27</v>
      </c>
      <c r="E14" s="177">
        <v>3</v>
      </c>
      <c r="F14" s="177">
        <v>1</v>
      </c>
      <c r="G14" s="177"/>
      <c r="H14" s="305">
        <f t="shared" si="22"/>
        <v>31</v>
      </c>
      <c r="I14" s="177"/>
      <c r="J14" s="177">
        <v>12</v>
      </c>
      <c r="K14" s="158" t="str">
        <f t="shared" si="1"/>
        <v>No</v>
      </c>
      <c r="L14" s="158" t="str">
        <f t="shared" si="2"/>
        <v>No</v>
      </c>
      <c r="M14" s="168"/>
      <c r="N14" s="169">
        <f t="shared" si="3"/>
        <v>16500</v>
      </c>
      <c r="O14" s="170">
        <f t="shared" si="4"/>
        <v>6600</v>
      </c>
      <c r="P14" s="170">
        <f t="shared" si="5"/>
        <v>1600</v>
      </c>
      <c r="Q14" s="170">
        <f t="shared" si="6"/>
        <v>1375</v>
      </c>
      <c r="R14" s="170">
        <f t="shared" si="7"/>
        <v>18925</v>
      </c>
      <c r="S14" s="170">
        <f t="shared" si="8"/>
        <v>0</v>
      </c>
      <c r="T14" s="170">
        <f t="shared" si="9"/>
        <v>0</v>
      </c>
      <c r="U14" s="170">
        <f t="shared" si="10"/>
        <v>0</v>
      </c>
      <c r="V14" s="262">
        <f t="shared" si="23"/>
        <v>45000</v>
      </c>
      <c r="W14" s="160">
        <f t="shared" si="24"/>
        <v>0</v>
      </c>
      <c r="X14" s="160">
        <f t="shared" si="25"/>
        <v>0</v>
      </c>
      <c r="Y14" s="160">
        <f t="shared" si="26"/>
        <v>0</v>
      </c>
      <c r="Z14" s="160">
        <f t="shared" si="27"/>
        <v>0</v>
      </c>
      <c r="AA14" s="160">
        <f t="shared" si="28"/>
        <v>200</v>
      </c>
      <c r="AB14" s="160">
        <f t="shared" si="29"/>
        <v>0</v>
      </c>
      <c r="AC14" s="160">
        <f t="shared" si="30"/>
        <v>0</v>
      </c>
      <c r="AD14" s="307">
        <f t="shared" si="31"/>
        <v>44800</v>
      </c>
      <c r="AE14" s="308" t="str">
        <f t="shared" si="32"/>
        <v>Male</v>
      </c>
      <c r="AF14" s="163">
        <f t="shared" si="13"/>
        <v>0</v>
      </c>
      <c r="AG14" s="163">
        <f t="shared" si="14"/>
        <v>6</v>
      </c>
      <c r="AH14" s="163">
        <f t="shared" si="15"/>
        <v>7</v>
      </c>
      <c r="AJ14" s="165" t="str">
        <f t="shared" si="16"/>
        <v/>
      </c>
      <c r="AK14" s="180" t="str">
        <f t="shared" si="17"/>
        <v>Yes</v>
      </c>
      <c r="AM14" s="179"/>
      <c r="AN14" s="179"/>
      <c r="AP14" s="166">
        <f t="shared" si="18"/>
        <v>7</v>
      </c>
      <c r="AQ14" s="166">
        <f t="shared" si="19"/>
        <v>1</v>
      </c>
      <c r="AR14" s="166">
        <f t="shared" si="20"/>
        <v>0</v>
      </c>
      <c r="AS14" s="162">
        <f>IFERROR(VLOOKUP(B14,Increment!$B$5:$D$39,2,)*2,"")</f>
        <v>5000</v>
      </c>
    </row>
    <row r="15" spans="1:47" s="162" customFormat="1" ht="25.2" customHeight="1" x14ac:dyDescent="0.3">
      <c r="A15" s="167">
        <v>11</v>
      </c>
      <c r="B15" s="156" t="str" cm="1">
        <f t="array" ref="B15">IF($J$1="Active",IF(Salary_Master_1!B15="","",_xlfn.IFS(Salary_Master_1!M15="Working",IF(Salary_Master_1!H15&lt;=DATE(2025,6,30),Salary_Master_1!B15,""),Salary_Master_1!M15="Left",IF(Salary_Master_1!N15&gt;DATE(2025,5,31),Salary_Master_1!B15,""))),"")</f>
        <v>Aparna Raithatha</v>
      </c>
      <c r="C15" s="304">
        <v>31</v>
      </c>
      <c r="D15" s="305">
        <f t="shared" si="21"/>
        <v>27.5</v>
      </c>
      <c r="E15" s="177">
        <v>3.5</v>
      </c>
      <c r="F15" s="177"/>
      <c r="G15" s="177"/>
      <c r="H15" s="305">
        <f t="shared" si="22"/>
        <v>31</v>
      </c>
      <c r="I15" s="177"/>
      <c r="J15" s="177">
        <v>0</v>
      </c>
      <c r="K15" s="158" t="str">
        <f t="shared" si="1"/>
        <v>No</v>
      </c>
      <c r="L15" s="158" t="str">
        <f t="shared" si="2"/>
        <v>No</v>
      </c>
      <c r="M15" s="168"/>
      <c r="N15" s="169">
        <f t="shared" si="3"/>
        <v>16500</v>
      </c>
      <c r="O15" s="170">
        <f t="shared" si="4"/>
        <v>6600</v>
      </c>
      <c r="P15" s="170">
        <f t="shared" si="5"/>
        <v>1600</v>
      </c>
      <c r="Q15" s="170">
        <f t="shared" si="6"/>
        <v>1375</v>
      </c>
      <c r="R15" s="170">
        <f t="shared" si="7"/>
        <v>29425</v>
      </c>
      <c r="S15" s="170">
        <f t="shared" si="8"/>
        <v>0</v>
      </c>
      <c r="T15" s="170">
        <f t="shared" si="9"/>
        <v>0</v>
      </c>
      <c r="U15" s="170">
        <f t="shared" si="10"/>
        <v>0</v>
      </c>
      <c r="V15" s="262">
        <f t="shared" si="23"/>
        <v>55500</v>
      </c>
      <c r="W15" s="160">
        <f t="shared" si="24"/>
        <v>0</v>
      </c>
      <c r="X15" s="160">
        <f t="shared" si="25"/>
        <v>0</v>
      </c>
      <c r="Y15" s="160">
        <f t="shared" si="26"/>
        <v>0</v>
      </c>
      <c r="Z15" s="160">
        <f t="shared" si="27"/>
        <v>0</v>
      </c>
      <c r="AA15" s="160">
        <f t="shared" si="28"/>
        <v>200</v>
      </c>
      <c r="AB15" s="160">
        <f t="shared" si="29"/>
        <v>0</v>
      </c>
      <c r="AC15" s="160">
        <f t="shared" si="30"/>
        <v>0</v>
      </c>
      <c r="AD15" s="307">
        <f t="shared" si="31"/>
        <v>55300</v>
      </c>
      <c r="AE15" s="308" t="str">
        <f t="shared" si="32"/>
        <v>Female</v>
      </c>
      <c r="AF15" s="163">
        <f t="shared" si="13"/>
        <v>1.5</v>
      </c>
      <c r="AG15" s="163">
        <f t="shared" si="14"/>
        <v>7</v>
      </c>
      <c r="AH15" s="163">
        <f t="shared" si="15"/>
        <v>7</v>
      </c>
      <c r="AJ15" s="165" t="str">
        <f t="shared" si="16"/>
        <v/>
      </c>
      <c r="AK15" s="180" t="str">
        <f t="shared" si="17"/>
        <v>Yes</v>
      </c>
      <c r="AM15" s="179"/>
      <c r="AN15" s="179"/>
      <c r="AP15" s="166">
        <f t="shared" si="18"/>
        <v>5.5</v>
      </c>
      <c r="AQ15" s="166">
        <f t="shared" si="19"/>
        <v>0</v>
      </c>
      <c r="AR15" s="166">
        <f t="shared" si="20"/>
        <v>0</v>
      </c>
      <c r="AS15" s="162">
        <f>IFERROR(VLOOKUP(B15,Increment!$B$5:$D$39,2,)*2,"")</f>
        <v>6000</v>
      </c>
    </row>
    <row r="16" spans="1:47" s="162" customFormat="1" ht="25.2" customHeight="1" x14ac:dyDescent="0.3">
      <c r="A16" s="167">
        <v>12</v>
      </c>
      <c r="B16" s="156" t="str" cm="1">
        <f t="array" ref="B16">IF($J$1="Active",IF(Salary_Master_1!B16="","",_xlfn.IFS(Salary_Master_1!M16="Working",IF(Salary_Master_1!H16&lt;=DATE(2025,6,30),Salary_Master_1!B16,""),Salary_Master_1!M16="Left",IF(Salary_Master_1!N16&gt;DATE(2025,5,31),Salary_Master_1!B16,""))),"")</f>
        <v>Ravin Gaikwad</v>
      </c>
      <c r="C16" s="304">
        <v>31</v>
      </c>
      <c r="D16" s="305">
        <f t="shared" si="21"/>
        <v>31</v>
      </c>
      <c r="E16" s="177"/>
      <c r="F16" s="177"/>
      <c r="G16" s="177"/>
      <c r="H16" s="305">
        <f t="shared" si="22"/>
        <v>31</v>
      </c>
      <c r="I16" s="177"/>
      <c r="J16" s="177">
        <v>0</v>
      </c>
      <c r="K16" s="158" t="str">
        <f t="shared" si="1"/>
        <v>Yes</v>
      </c>
      <c r="L16" s="158" t="str">
        <f t="shared" si="2"/>
        <v>No</v>
      </c>
      <c r="M16" s="168"/>
      <c r="N16" s="169">
        <f t="shared" si="3"/>
        <v>11500</v>
      </c>
      <c r="O16" s="170">
        <f t="shared" si="4"/>
        <v>4600</v>
      </c>
      <c r="P16" s="170">
        <f t="shared" si="5"/>
        <v>1600</v>
      </c>
      <c r="Q16" s="170">
        <f t="shared" si="6"/>
        <v>958</v>
      </c>
      <c r="R16" s="170">
        <f t="shared" si="7"/>
        <v>37742</v>
      </c>
      <c r="S16" s="170">
        <f t="shared" si="8"/>
        <v>1800</v>
      </c>
      <c r="T16" s="170">
        <f t="shared" si="9"/>
        <v>1800</v>
      </c>
      <c r="U16" s="170">
        <f t="shared" si="10"/>
        <v>0</v>
      </c>
      <c r="V16" s="262">
        <f t="shared" si="23"/>
        <v>60000</v>
      </c>
      <c r="W16" s="160">
        <f t="shared" si="24"/>
        <v>1800</v>
      </c>
      <c r="X16" s="160">
        <f t="shared" si="25"/>
        <v>1800</v>
      </c>
      <c r="Y16" s="160">
        <f t="shared" si="26"/>
        <v>0</v>
      </c>
      <c r="Z16" s="160">
        <f t="shared" si="27"/>
        <v>0</v>
      </c>
      <c r="AA16" s="160">
        <f t="shared" si="28"/>
        <v>200</v>
      </c>
      <c r="AB16" s="160">
        <f t="shared" si="29"/>
        <v>0</v>
      </c>
      <c r="AC16" s="160">
        <f t="shared" si="30"/>
        <v>0</v>
      </c>
      <c r="AD16" s="307">
        <f t="shared" si="31"/>
        <v>56200</v>
      </c>
      <c r="AE16" s="308" t="str">
        <f t="shared" si="32"/>
        <v>Male</v>
      </c>
      <c r="AF16" s="163">
        <f t="shared" si="13"/>
        <v>7</v>
      </c>
      <c r="AG16" s="163">
        <f t="shared" si="14"/>
        <v>7</v>
      </c>
      <c r="AH16" s="163">
        <f t="shared" si="15"/>
        <v>7</v>
      </c>
      <c r="AJ16" s="165" t="str">
        <f t="shared" si="16"/>
        <v/>
      </c>
      <c r="AK16" s="180" t="str">
        <f t="shared" si="17"/>
        <v>Yes</v>
      </c>
      <c r="AM16" s="179"/>
      <c r="AN16" s="179"/>
      <c r="AP16" s="166">
        <f t="shared" si="18"/>
        <v>0</v>
      </c>
      <c r="AQ16" s="166">
        <f t="shared" si="19"/>
        <v>0</v>
      </c>
      <c r="AR16" s="166">
        <f t="shared" si="20"/>
        <v>0</v>
      </c>
      <c r="AS16" s="162">
        <f>IFERROR(VLOOKUP(B16,Increment!$B$5:$D$39,2,)*2,"")</f>
        <v>10000</v>
      </c>
    </row>
    <row r="17" spans="1:47" s="162" customFormat="1" ht="25.2" customHeight="1" x14ac:dyDescent="0.3">
      <c r="A17" s="172">
        <v>13</v>
      </c>
      <c r="B17" s="156" t="str" cm="1">
        <f t="array" ref="B17">IF($J$1="Active",IF(Salary_Master_1!B17="","",_xlfn.IFS(Salary_Master_1!M17="Working",IF(Salary_Master_1!H17&lt;=DATE(2025,6,30),Salary_Master_1!B17,""),Salary_Master_1!M17="Left",IF(Salary_Master_1!N17&gt;DATE(2025,5,31),Salary_Master_1!B17,""))),"")</f>
        <v>Gaurav Sune</v>
      </c>
      <c r="C17" s="304">
        <v>31</v>
      </c>
      <c r="D17" s="305">
        <f t="shared" si="21"/>
        <v>28</v>
      </c>
      <c r="E17" s="177">
        <v>3</v>
      </c>
      <c r="F17" s="177"/>
      <c r="G17" s="177"/>
      <c r="H17" s="305">
        <f t="shared" si="22"/>
        <v>31</v>
      </c>
      <c r="I17" s="177"/>
      <c r="J17" s="177">
        <v>12</v>
      </c>
      <c r="K17" s="158" t="str">
        <f t="shared" si="1"/>
        <v>No</v>
      </c>
      <c r="L17" s="158" t="str">
        <f t="shared" si="2"/>
        <v>No</v>
      </c>
      <c r="M17" s="168"/>
      <c r="N17" s="169">
        <f t="shared" si="3"/>
        <v>16500</v>
      </c>
      <c r="O17" s="170">
        <f t="shared" si="4"/>
        <v>6600</v>
      </c>
      <c r="P17" s="170">
        <f t="shared" si="5"/>
        <v>1600</v>
      </c>
      <c r="Q17" s="170">
        <f t="shared" si="6"/>
        <v>1375</v>
      </c>
      <c r="R17" s="170">
        <f t="shared" si="7"/>
        <v>9925</v>
      </c>
      <c r="S17" s="170">
        <f t="shared" si="8"/>
        <v>0</v>
      </c>
      <c r="T17" s="170">
        <f t="shared" si="9"/>
        <v>0</v>
      </c>
      <c r="U17" s="170">
        <f t="shared" si="10"/>
        <v>0</v>
      </c>
      <c r="V17" s="262">
        <f t="shared" si="23"/>
        <v>36000</v>
      </c>
      <c r="W17" s="160">
        <f t="shared" si="24"/>
        <v>0</v>
      </c>
      <c r="X17" s="160">
        <f t="shared" si="25"/>
        <v>0</v>
      </c>
      <c r="Y17" s="160">
        <f t="shared" si="26"/>
        <v>0</v>
      </c>
      <c r="Z17" s="160">
        <f t="shared" si="27"/>
        <v>0</v>
      </c>
      <c r="AA17" s="160">
        <f t="shared" si="28"/>
        <v>200</v>
      </c>
      <c r="AB17" s="160">
        <f t="shared" si="29"/>
        <v>0</v>
      </c>
      <c r="AC17" s="160">
        <f t="shared" si="30"/>
        <v>0</v>
      </c>
      <c r="AD17" s="307">
        <f t="shared" si="31"/>
        <v>35800</v>
      </c>
      <c r="AE17" s="308" t="str">
        <f t="shared" si="32"/>
        <v>Male</v>
      </c>
      <c r="AF17" s="163">
        <f t="shared" si="13"/>
        <v>1.5</v>
      </c>
      <c r="AG17" s="163">
        <f t="shared" si="14"/>
        <v>7</v>
      </c>
      <c r="AH17" s="163">
        <f t="shared" si="15"/>
        <v>7</v>
      </c>
      <c r="AJ17" s="165" t="str">
        <f t="shared" si="16"/>
        <v/>
      </c>
      <c r="AK17" s="180" t="str">
        <f t="shared" si="17"/>
        <v>Yes</v>
      </c>
      <c r="AM17" s="179"/>
      <c r="AN17" s="179"/>
      <c r="AP17" s="166">
        <f t="shared" si="18"/>
        <v>5.5</v>
      </c>
      <c r="AQ17" s="166">
        <f t="shared" si="19"/>
        <v>0</v>
      </c>
      <c r="AR17" s="166">
        <f t="shared" si="20"/>
        <v>0</v>
      </c>
      <c r="AS17" s="162">
        <f>IFERROR(VLOOKUP(B17,Increment!$B$5:$D$39,2,)*2,"")</f>
        <v>4000</v>
      </c>
    </row>
    <row r="18" spans="1:47" s="173" customFormat="1" ht="25.2" customHeight="1" x14ac:dyDescent="0.3">
      <c r="A18" s="167">
        <v>14</v>
      </c>
      <c r="B18" s="156" t="str" cm="1">
        <f t="array" ref="B18">IF($J$1="Active",IF(Salary_Master_1!B18="","",_xlfn.IFS(Salary_Master_1!M18="Working",IF(Salary_Master_1!H18&lt;=DATE(2025,6,30),Salary_Master_1!B18,""),Salary_Master_1!M18="Left",IF(Salary_Master_1!N18&gt;DATE(2025,5,31),Salary_Master_1!B18,""))),"")</f>
        <v>Hasanulbana Siddiqui</v>
      </c>
      <c r="C18" s="304">
        <v>31</v>
      </c>
      <c r="D18" s="305">
        <f t="shared" si="21"/>
        <v>29.5</v>
      </c>
      <c r="E18" s="177">
        <v>1.5</v>
      </c>
      <c r="F18" s="177"/>
      <c r="G18" s="177"/>
      <c r="H18" s="305">
        <f t="shared" si="22"/>
        <v>31</v>
      </c>
      <c r="I18" s="177"/>
      <c r="J18" s="177">
        <v>5</v>
      </c>
      <c r="K18" s="158" t="str">
        <f t="shared" si="1"/>
        <v>No</v>
      </c>
      <c r="L18" s="158" t="str">
        <f t="shared" si="2"/>
        <v>No</v>
      </c>
      <c r="M18" s="168"/>
      <c r="N18" s="169">
        <f t="shared" si="3"/>
        <v>16500</v>
      </c>
      <c r="O18" s="170">
        <f t="shared" si="4"/>
        <v>6600</v>
      </c>
      <c r="P18" s="170">
        <f t="shared" si="5"/>
        <v>1600</v>
      </c>
      <c r="Q18" s="170">
        <f t="shared" si="6"/>
        <v>1375</v>
      </c>
      <c r="R18" s="170">
        <f t="shared" si="7"/>
        <v>8925</v>
      </c>
      <c r="S18" s="170">
        <f t="shared" si="8"/>
        <v>0</v>
      </c>
      <c r="T18" s="170">
        <f t="shared" si="9"/>
        <v>0</v>
      </c>
      <c r="U18" s="170">
        <f t="shared" si="10"/>
        <v>0</v>
      </c>
      <c r="V18" s="262">
        <f t="shared" si="23"/>
        <v>35000</v>
      </c>
      <c r="W18" s="160">
        <f t="shared" si="24"/>
        <v>0</v>
      </c>
      <c r="X18" s="160">
        <f t="shared" si="25"/>
        <v>0</v>
      </c>
      <c r="Y18" s="160">
        <f t="shared" si="26"/>
        <v>0</v>
      </c>
      <c r="Z18" s="160">
        <f t="shared" si="27"/>
        <v>0</v>
      </c>
      <c r="AA18" s="160">
        <f t="shared" si="28"/>
        <v>200</v>
      </c>
      <c r="AB18" s="160">
        <f t="shared" si="29"/>
        <v>0</v>
      </c>
      <c r="AC18" s="160">
        <f t="shared" si="30"/>
        <v>0</v>
      </c>
      <c r="AD18" s="307">
        <f t="shared" si="31"/>
        <v>34800</v>
      </c>
      <c r="AE18" s="308" t="str">
        <f t="shared" si="32"/>
        <v>Male</v>
      </c>
      <c r="AF18" s="163">
        <f t="shared" si="13"/>
        <v>2.5</v>
      </c>
      <c r="AG18" s="163">
        <f t="shared" si="14"/>
        <v>7</v>
      </c>
      <c r="AH18" s="163">
        <f t="shared" si="15"/>
        <v>7</v>
      </c>
      <c r="AJ18" s="165" t="str">
        <f t="shared" si="16"/>
        <v/>
      </c>
      <c r="AK18" s="180" t="str">
        <f t="shared" si="17"/>
        <v>Yes</v>
      </c>
      <c r="AM18" s="179"/>
      <c r="AN18" s="179"/>
      <c r="AP18" s="166">
        <f t="shared" si="18"/>
        <v>4.5</v>
      </c>
      <c r="AQ18" s="166">
        <f t="shared" si="19"/>
        <v>0</v>
      </c>
      <c r="AR18" s="166">
        <f t="shared" si="20"/>
        <v>0</v>
      </c>
      <c r="AS18" s="162">
        <f>IFERROR(VLOOKUP(B18,Increment!$B$5:$D$39,2,)*2,"")</f>
        <v>5000</v>
      </c>
      <c r="AT18" s="162"/>
      <c r="AU18" s="162"/>
    </row>
    <row r="19" spans="1:47" s="162" customFormat="1" ht="25.2" customHeight="1" x14ac:dyDescent="0.3">
      <c r="A19" s="167">
        <v>15</v>
      </c>
      <c r="B19" s="156" t="str" cm="1">
        <f t="array" ref="B19">IF($J$1="Active",IF(Salary_Master_1!B19="","",_xlfn.IFS(Salary_Master_1!M19="Working",IF(Salary_Master_1!H19&lt;=DATE(2025,6,30),Salary_Master_1!B19,""),Salary_Master_1!M19="Left",IF(Salary_Master_1!N19&gt;DATE(2025,5,31),Salary_Master_1!B19,""))),"")</f>
        <v>Aniket Sawant</v>
      </c>
      <c r="C19" s="304">
        <v>31</v>
      </c>
      <c r="D19" s="305">
        <f t="shared" si="21"/>
        <v>28</v>
      </c>
      <c r="E19" s="177">
        <v>3</v>
      </c>
      <c r="F19" s="177"/>
      <c r="G19" s="177"/>
      <c r="H19" s="305">
        <f t="shared" si="22"/>
        <v>31</v>
      </c>
      <c r="I19" s="177"/>
      <c r="J19" s="177">
        <v>1</v>
      </c>
      <c r="K19" s="158" t="str">
        <f t="shared" si="1"/>
        <v>No</v>
      </c>
      <c r="L19" s="158" t="str">
        <f t="shared" si="2"/>
        <v>No</v>
      </c>
      <c r="M19" s="168"/>
      <c r="N19" s="169">
        <f t="shared" si="3"/>
        <v>16500</v>
      </c>
      <c r="O19" s="170">
        <f t="shared" si="4"/>
        <v>6600</v>
      </c>
      <c r="P19" s="170">
        <f t="shared" si="5"/>
        <v>1600</v>
      </c>
      <c r="Q19" s="170">
        <f t="shared" si="6"/>
        <v>1375</v>
      </c>
      <c r="R19" s="170">
        <f t="shared" si="7"/>
        <v>34925</v>
      </c>
      <c r="S19" s="170">
        <f t="shared" si="8"/>
        <v>0</v>
      </c>
      <c r="T19" s="170">
        <f t="shared" si="9"/>
        <v>0</v>
      </c>
      <c r="U19" s="170">
        <f t="shared" si="10"/>
        <v>0</v>
      </c>
      <c r="V19" s="262">
        <f t="shared" si="23"/>
        <v>61000</v>
      </c>
      <c r="W19" s="160">
        <f t="shared" si="24"/>
        <v>0</v>
      </c>
      <c r="X19" s="160">
        <f t="shared" si="25"/>
        <v>0</v>
      </c>
      <c r="Y19" s="160">
        <f t="shared" si="26"/>
        <v>0</v>
      </c>
      <c r="Z19" s="160">
        <f t="shared" si="27"/>
        <v>0</v>
      </c>
      <c r="AA19" s="160">
        <f t="shared" si="28"/>
        <v>200</v>
      </c>
      <c r="AB19" s="160">
        <f t="shared" si="29"/>
        <v>30000</v>
      </c>
      <c r="AC19" s="160">
        <f t="shared" si="30"/>
        <v>0</v>
      </c>
      <c r="AD19" s="307">
        <f t="shared" si="31"/>
        <v>30800</v>
      </c>
      <c r="AE19" s="308" t="str">
        <f t="shared" si="32"/>
        <v>Male</v>
      </c>
      <c r="AF19" s="163">
        <f t="shared" si="13"/>
        <v>1.5</v>
      </c>
      <c r="AG19" s="163">
        <f t="shared" si="14"/>
        <v>7</v>
      </c>
      <c r="AH19" s="163">
        <f t="shared" si="15"/>
        <v>7</v>
      </c>
      <c r="AJ19" s="165" t="str">
        <f t="shared" si="16"/>
        <v/>
      </c>
      <c r="AK19" s="180" t="str">
        <f t="shared" si="17"/>
        <v>Yes</v>
      </c>
      <c r="AM19" s="179">
        <v>30000</v>
      </c>
      <c r="AN19" s="179"/>
      <c r="AP19" s="166">
        <f t="shared" si="18"/>
        <v>5.5</v>
      </c>
      <c r="AQ19" s="166">
        <f t="shared" si="19"/>
        <v>0</v>
      </c>
      <c r="AR19" s="166">
        <f t="shared" si="20"/>
        <v>0</v>
      </c>
      <c r="AS19" s="162">
        <f>IFERROR(VLOOKUP(B19,Increment!$B$5:$D$39,2,)*2,"")</f>
        <v>6000</v>
      </c>
    </row>
    <row r="20" spans="1:47" s="162" customFormat="1" ht="25.2" customHeight="1" x14ac:dyDescent="0.3">
      <c r="A20" s="167">
        <v>16</v>
      </c>
      <c r="B20" s="156" t="str" cm="1">
        <f t="array" ref="B20">IF($J$1="Active",IF(Salary_Master_1!B20="","",_xlfn.IFS(Salary_Master_1!M20="Working",IF(Salary_Master_1!H20&lt;=DATE(2025,6,30),Salary_Master_1!B20,""),Salary_Master_1!M20="Left",IF(Salary_Master_1!N20&gt;DATE(2025,5,31),Salary_Master_1!B20,""))),"")</f>
        <v>Mayur Bhoir</v>
      </c>
      <c r="C20" s="304">
        <v>31</v>
      </c>
      <c r="D20" s="305">
        <f t="shared" si="21"/>
        <v>29.5</v>
      </c>
      <c r="E20" s="177">
        <v>1.5</v>
      </c>
      <c r="F20" s="177"/>
      <c r="G20" s="177"/>
      <c r="H20" s="305">
        <f t="shared" si="22"/>
        <v>31</v>
      </c>
      <c r="I20" s="177"/>
      <c r="J20" s="177">
        <v>5</v>
      </c>
      <c r="K20" s="158" t="str">
        <f t="shared" si="1"/>
        <v>Yes</v>
      </c>
      <c r="L20" s="158" t="str">
        <f t="shared" si="2"/>
        <v>No</v>
      </c>
      <c r="M20" s="168"/>
      <c r="N20" s="169">
        <f t="shared" si="3"/>
        <v>10000</v>
      </c>
      <c r="O20" s="170">
        <f t="shared" si="4"/>
        <v>2000</v>
      </c>
      <c r="P20" s="170">
        <f t="shared" si="5"/>
        <v>1600</v>
      </c>
      <c r="Q20" s="170">
        <f t="shared" si="6"/>
        <v>833</v>
      </c>
      <c r="R20" s="170">
        <f t="shared" si="7"/>
        <v>9767</v>
      </c>
      <c r="S20" s="170">
        <f t="shared" si="8"/>
        <v>1800</v>
      </c>
      <c r="T20" s="170">
        <f t="shared" si="9"/>
        <v>1800</v>
      </c>
      <c r="U20" s="170">
        <f t="shared" si="10"/>
        <v>0</v>
      </c>
      <c r="V20" s="262">
        <f t="shared" si="23"/>
        <v>27800</v>
      </c>
      <c r="W20" s="160">
        <f t="shared" si="24"/>
        <v>1800</v>
      </c>
      <c r="X20" s="160">
        <f t="shared" si="25"/>
        <v>1800</v>
      </c>
      <c r="Y20" s="160">
        <f t="shared" si="26"/>
        <v>0</v>
      </c>
      <c r="Z20" s="160">
        <f t="shared" si="27"/>
        <v>0</v>
      </c>
      <c r="AA20" s="160">
        <f t="shared" si="28"/>
        <v>200</v>
      </c>
      <c r="AB20" s="160">
        <f t="shared" si="29"/>
        <v>0</v>
      </c>
      <c r="AC20" s="160">
        <f t="shared" si="30"/>
        <v>0</v>
      </c>
      <c r="AD20" s="307">
        <f t="shared" si="31"/>
        <v>24000</v>
      </c>
      <c r="AE20" s="308" t="str">
        <f t="shared" si="32"/>
        <v>Male</v>
      </c>
      <c r="AF20" s="163">
        <f t="shared" si="13"/>
        <v>3</v>
      </c>
      <c r="AG20" s="163">
        <f t="shared" si="14"/>
        <v>7</v>
      </c>
      <c r="AH20" s="163">
        <f t="shared" si="15"/>
        <v>7</v>
      </c>
      <c r="AJ20" s="165" t="str">
        <f t="shared" si="16"/>
        <v/>
      </c>
      <c r="AK20" s="180" t="str">
        <f t="shared" si="17"/>
        <v>Yes</v>
      </c>
      <c r="AM20" s="179"/>
      <c r="AN20" s="179"/>
      <c r="AP20" s="166">
        <f t="shared" si="18"/>
        <v>4</v>
      </c>
      <c r="AQ20" s="166">
        <f t="shared" si="19"/>
        <v>0</v>
      </c>
      <c r="AR20" s="166">
        <f t="shared" si="20"/>
        <v>0</v>
      </c>
      <c r="AS20" s="162">
        <f>IFERROR(VLOOKUP(B20,Increment!$B$5:$D$39,2,)*2,"")</f>
        <v>2600</v>
      </c>
    </row>
    <row r="21" spans="1:47" s="162" customFormat="1" ht="25.2" customHeight="1" x14ac:dyDescent="0.3">
      <c r="A21" s="172">
        <v>17</v>
      </c>
      <c r="B21" s="156" t="str" cm="1">
        <f t="array" ref="B21">IF($J$1="Active",IF(Salary_Master_1!B21="","",_xlfn.IFS(Salary_Master_1!M21="Working",IF(Salary_Master_1!H21&lt;=DATE(2025,6,30),Salary_Master_1!B21,""),Salary_Master_1!M21="Left",IF(Salary_Master_1!N21&gt;DATE(2025,5,31),Salary_Master_1!B21,""))),"")</f>
        <v>Supriya Padel</v>
      </c>
      <c r="C21" s="304">
        <v>31</v>
      </c>
      <c r="D21" s="305">
        <f t="shared" si="21"/>
        <v>30</v>
      </c>
      <c r="E21" s="177"/>
      <c r="F21" s="177">
        <v>1</v>
      </c>
      <c r="G21" s="177"/>
      <c r="H21" s="305">
        <f t="shared" si="22"/>
        <v>31</v>
      </c>
      <c r="I21" s="177"/>
      <c r="J21" s="177">
        <v>7</v>
      </c>
      <c r="K21" s="158" t="str">
        <f t="shared" si="1"/>
        <v>Yes</v>
      </c>
      <c r="L21" s="158" t="str">
        <f t="shared" si="2"/>
        <v>No</v>
      </c>
      <c r="M21" s="168"/>
      <c r="N21" s="169">
        <f t="shared" si="3"/>
        <v>10000</v>
      </c>
      <c r="O21" s="170">
        <f t="shared" si="4"/>
        <v>2000</v>
      </c>
      <c r="P21" s="170">
        <f t="shared" si="5"/>
        <v>1600</v>
      </c>
      <c r="Q21" s="170">
        <f t="shared" si="6"/>
        <v>833</v>
      </c>
      <c r="R21" s="170">
        <f t="shared" si="7"/>
        <v>6667</v>
      </c>
      <c r="S21" s="170">
        <f t="shared" si="8"/>
        <v>1800</v>
      </c>
      <c r="T21" s="170">
        <f t="shared" si="9"/>
        <v>1800</v>
      </c>
      <c r="U21" s="170">
        <f t="shared" si="10"/>
        <v>0</v>
      </c>
      <c r="V21" s="262">
        <f t="shared" si="23"/>
        <v>24700</v>
      </c>
      <c r="W21" s="160">
        <f t="shared" si="24"/>
        <v>1800</v>
      </c>
      <c r="X21" s="160">
        <f t="shared" si="25"/>
        <v>1800</v>
      </c>
      <c r="Y21" s="160">
        <f t="shared" si="26"/>
        <v>0</v>
      </c>
      <c r="Z21" s="160">
        <f t="shared" si="27"/>
        <v>0</v>
      </c>
      <c r="AA21" s="160">
        <f t="shared" si="28"/>
        <v>0</v>
      </c>
      <c r="AB21" s="160">
        <f t="shared" si="29"/>
        <v>0</v>
      </c>
      <c r="AC21" s="160">
        <f t="shared" si="30"/>
        <v>0</v>
      </c>
      <c r="AD21" s="307">
        <f t="shared" si="31"/>
        <v>21100</v>
      </c>
      <c r="AE21" s="308" t="str">
        <f t="shared" si="32"/>
        <v>Female</v>
      </c>
      <c r="AF21" s="163">
        <f t="shared" si="13"/>
        <v>0</v>
      </c>
      <c r="AG21" s="163">
        <f t="shared" si="14"/>
        <v>5</v>
      </c>
      <c r="AH21" s="163">
        <f t="shared" si="15"/>
        <v>7</v>
      </c>
      <c r="AJ21" s="165" t="str">
        <f t="shared" si="16"/>
        <v/>
      </c>
      <c r="AK21" s="180" t="s">
        <v>50</v>
      </c>
      <c r="AM21" s="179"/>
      <c r="AN21" s="179"/>
      <c r="AP21" s="166">
        <f t="shared" si="18"/>
        <v>7</v>
      </c>
      <c r="AQ21" s="166">
        <f t="shared" si="19"/>
        <v>2</v>
      </c>
      <c r="AR21" s="166">
        <f t="shared" si="20"/>
        <v>0</v>
      </c>
      <c r="AS21" s="162">
        <f>IFERROR(VLOOKUP(B21,Increment!$B$5:$D$39,2,)*2,"")</f>
        <v>2400</v>
      </c>
    </row>
    <row r="22" spans="1:47" s="173" customFormat="1" ht="25.2" customHeight="1" x14ac:dyDescent="0.3">
      <c r="A22" s="167">
        <v>18</v>
      </c>
      <c r="B22" s="156" t="str" cm="1">
        <f t="array" ref="B22">IF($J$1="Active",IF(Salary_Master_1!B22="","",_xlfn.IFS(Salary_Master_1!M22="Working",IF(Salary_Master_1!H22&lt;=DATE(2025,6,30),Salary_Master_1!B22,""),Salary_Master_1!M22="Left",IF(Salary_Master_1!N22&gt;DATE(2025,5,31),Salary_Master_1!B22,""))),"")</f>
        <v>Sagar Kadam</v>
      </c>
      <c r="C22" s="304">
        <v>31</v>
      </c>
      <c r="D22" s="305">
        <f t="shared" si="21"/>
        <v>31</v>
      </c>
      <c r="E22" s="177"/>
      <c r="F22" s="177"/>
      <c r="G22" s="177"/>
      <c r="H22" s="305">
        <f t="shared" si="22"/>
        <v>31</v>
      </c>
      <c r="I22" s="177"/>
      <c r="J22" s="177">
        <v>0</v>
      </c>
      <c r="K22" s="158" t="str">
        <f t="shared" si="1"/>
        <v>Yes</v>
      </c>
      <c r="L22" s="158" t="str">
        <f t="shared" si="2"/>
        <v>Yes</v>
      </c>
      <c r="M22" s="168"/>
      <c r="N22" s="169">
        <f t="shared" si="3"/>
        <v>10000</v>
      </c>
      <c r="O22" s="170">
        <f t="shared" si="4"/>
        <v>2000</v>
      </c>
      <c r="P22" s="170">
        <f t="shared" si="5"/>
        <v>1600</v>
      </c>
      <c r="Q22" s="170">
        <f t="shared" si="6"/>
        <v>833</v>
      </c>
      <c r="R22" s="170">
        <f t="shared" si="7"/>
        <v>4817</v>
      </c>
      <c r="S22" s="170">
        <f t="shared" si="8"/>
        <v>0</v>
      </c>
      <c r="T22" s="170">
        <f t="shared" si="9"/>
        <v>0</v>
      </c>
      <c r="U22" s="170">
        <f t="shared" si="10"/>
        <v>0</v>
      </c>
      <c r="V22" s="262">
        <f t="shared" si="23"/>
        <v>19250</v>
      </c>
      <c r="W22" s="160">
        <f t="shared" si="24"/>
        <v>1800</v>
      </c>
      <c r="X22" s="160">
        <f t="shared" si="25"/>
        <v>0</v>
      </c>
      <c r="Y22" s="160">
        <f t="shared" si="26"/>
        <v>144</v>
      </c>
      <c r="Z22" s="160">
        <f t="shared" si="27"/>
        <v>0</v>
      </c>
      <c r="AA22" s="160">
        <f t="shared" si="28"/>
        <v>200</v>
      </c>
      <c r="AB22" s="160">
        <f t="shared" si="29"/>
        <v>0</v>
      </c>
      <c r="AC22" s="160">
        <f t="shared" si="30"/>
        <v>0</v>
      </c>
      <c r="AD22" s="307">
        <f t="shared" si="31"/>
        <v>17106</v>
      </c>
      <c r="AE22" s="308" t="str">
        <f t="shared" si="32"/>
        <v>Male</v>
      </c>
      <c r="AF22" s="163">
        <f t="shared" si="13"/>
        <v>0</v>
      </c>
      <c r="AG22" s="163">
        <f t="shared" si="14"/>
        <v>6</v>
      </c>
      <c r="AH22" s="163">
        <f t="shared" si="15"/>
        <v>7</v>
      </c>
      <c r="AJ22" s="165" t="str">
        <f t="shared" si="16"/>
        <v/>
      </c>
      <c r="AK22" s="180" t="str">
        <f t="shared" si="17"/>
        <v>Yes</v>
      </c>
      <c r="AM22" s="179"/>
      <c r="AN22" s="179"/>
      <c r="AP22" s="166">
        <f t="shared" si="18"/>
        <v>7</v>
      </c>
      <c r="AQ22" s="166">
        <f t="shared" si="19"/>
        <v>1</v>
      </c>
      <c r="AR22" s="166">
        <f t="shared" si="20"/>
        <v>0</v>
      </c>
      <c r="AS22" s="162">
        <f>IFERROR(VLOOKUP(B22,Increment!$B$5:$D$39,2,)*2,"")</f>
        <v>2000</v>
      </c>
      <c r="AT22" s="162"/>
      <c r="AU22" s="162"/>
    </row>
    <row r="23" spans="1:47" s="162" customFormat="1" ht="25.2" customHeight="1" x14ac:dyDescent="0.3">
      <c r="A23" s="167">
        <v>19</v>
      </c>
      <c r="B23" s="156" t="str" cm="1">
        <f t="array" ref="B23">IF($J$1="Active",IF(Salary_Master_1!B23="","",_xlfn.IFS(Salary_Master_1!M23="Working",IF(Salary_Master_1!H23&lt;=DATE(2025,6,30),Salary_Master_1!B23,""),Salary_Master_1!M23="Left",IF(Salary_Master_1!N23&gt;DATE(2025,5,31),Salary_Master_1!B23,""))),"")</f>
        <v>Rahul Jadhav</v>
      </c>
      <c r="C23" s="304">
        <v>31</v>
      </c>
      <c r="D23" s="305">
        <f t="shared" si="21"/>
        <v>31</v>
      </c>
      <c r="E23" s="177"/>
      <c r="F23" s="177"/>
      <c r="G23" s="177"/>
      <c r="H23" s="305">
        <f t="shared" si="22"/>
        <v>31</v>
      </c>
      <c r="I23" s="177"/>
      <c r="J23" s="177"/>
      <c r="K23" s="158" t="str">
        <f t="shared" si="1"/>
        <v>Yes</v>
      </c>
      <c r="L23" s="158" t="str">
        <f t="shared" si="2"/>
        <v>Yes</v>
      </c>
      <c r="M23" s="168"/>
      <c r="N23" s="169">
        <f t="shared" si="3"/>
        <v>10000</v>
      </c>
      <c r="O23" s="170">
        <f t="shared" si="4"/>
        <v>2000</v>
      </c>
      <c r="P23" s="170">
        <f t="shared" si="5"/>
        <v>1600</v>
      </c>
      <c r="Q23" s="170">
        <f t="shared" si="6"/>
        <v>833</v>
      </c>
      <c r="R23" s="170">
        <f t="shared" si="7"/>
        <v>5317</v>
      </c>
      <c r="S23" s="170">
        <f t="shared" si="8"/>
        <v>0</v>
      </c>
      <c r="T23" s="170">
        <f t="shared" si="9"/>
        <v>0</v>
      </c>
      <c r="U23" s="170">
        <f t="shared" si="10"/>
        <v>0</v>
      </c>
      <c r="V23" s="262">
        <f t="shared" si="23"/>
        <v>19750</v>
      </c>
      <c r="W23" s="160">
        <f t="shared" si="24"/>
        <v>1800</v>
      </c>
      <c r="X23" s="160">
        <f t="shared" si="25"/>
        <v>0</v>
      </c>
      <c r="Y23" s="160">
        <f t="shared" si="26"/>
        <v>148</v>
      </c>
      <c r="Z23" s="160">
        <f t="shared" si="27"/>
        <v>0</v>
      </c>
      <c r="AA23" s="160">
        <f t="shared" si="28"/>
        <v>200</v>
      </c>
      <c r="AB23" s="160">
        <f t="shared" si="29"/>
        <v>2000</v>
      </c>
      <c r="AC23" s="160">
        <f t="shared" si="30"/>
        <v>0</v>
      </c>
      <c r="AD23" s="307">
        <f t="shared" si="31"/>
        <v>15602</v>
      </c>
      <c r="AE23" s="308" t="str">
        <f t="shared" si="32"/>
        <v>Male</v>
      </c>
      <c r="AF23" s="163">
        <f t="shared" si="13"/>
        <v>4.5</v>
      </c>
      <c r="AG23" s="163">
        <f t="shared" si="14"/>
        <v>7</v>
      </c>
      <c r="AH23" s="163">
        <f t="shared" si="15"/>
        <v>7</v>
      </c>
      <c r="AJ23" s="165" t="str">
        <f t="shared" si="16"/>
        <v/>
      </c>
      <c r="AK23" s="180" t="str">
        <f t="shared" si="17"/>
        <v>Yes</v>
      </c>
      <c r="AM23" s="179">
        <v>2000</v>
      </c>
      <c r="AN23" s="179"/>
      <c r="AP23" s="166">
        <f t="shared" si="18"/>
        <v>2.5</v>
      </c>
      <c r="AQ23" s="166">
        <f t="shared" si="19"/>
        <v>0</v>
      </c>
      <c r="AR23" s="166">
        <f t="shared" si="20"/>
        <v>0</v>
      </c>
      <c r="AS23" s="162">
        <f>IFERROR(VLOOKUP(B23,Increment!$B$5:$D$39,2,)*2,"")</f>
        <v>2000</v>
      </c>
    </row>
    <row r="24" spans="1:47" s="162" customFormat="1" ht="25.2" customHeight="1" x14ac:dyDescent="0.3">
      <c r="A24" s="172">
        <v>20</v>
      </c>
      <c r="B24" s="156" t="str" cm="1">
        <f t="array" ref="B24">IF($J$1="Active",IF(Salary_Master_1!B24="","",_xlfn.IFS(Salary_Master_1!M24="Working",IF(Salary_Master_1!H24&lt;=DATE(2025,6,30),Salary_Master_1!B24,""),Salary_Master_1!M24="Left",IF(Salary_Master_1!N24&gt;DATE(2025,5,31),Salary_Master_1!B24,""))),"")</f>
        <v>Yash Ghumre</v>
      </c>
      <c r="C24" s="304">
        <v>31</v>
      </c>
      <c r="D24" s="305">
        <f t="shared" si="21"/>
        <v>28.5</v>
      </c>
      <c r="E24" s="177"/>
      <c r="F24" s="177">
        <v>2.5</v>
      </c>
      <c r="G24" s="177"/>
      <c r="H24" s="305">
        <f t="shared" si="22"/>
        <v>31</v>
      </c>
      <c r="I24" s="177"/>
      <c r="J24" s="177">
        <v>4</v>
      </c>
      <c r="K24" s="158" t="str">
        <f t="shared" si="1"/>
        <v>Yes</v>
      </c>
      <c r="L24" s="158" t="str">
        <f t="shared" si="2"/>
        <v>No</v>
      </c>
      <c r="M24" s="168"/>
      <c r="N24" s="169">
        <f t="shared" si="3"/>
        <v>10000</v>
      </c>
      <c r="O24" s="170">
        <f t="shared" si="4"/>
        <v>2000</v>
      </c>
      <c r="P24" s="170">
        <f t="shared" si="5"/>
        <v>1600</v>
      </c>
      <c r="Q24" s="170">
        <f t="shared" si="6"/>
        <v>833</v>
      </c>
      <c r="R24" s="170">
        <f t="shared" si="7"/>
        <v>11967</v>
      </c>
      <c r="S24" s="170">
        <f t="shared" si="8"/>
        <v>1800</v>
      </c>
      <c r="T24" s="170">
        <f t="shared" si="9"/>
        <v>1800</v>
      </c>
      <c r="U24" s="170">
        <f t="shared" si="10"/>
        <v>0</v>
      </c>
      <c r="V24" s="262">
        <f t="shared" si="23"/>
        <v>30000</v>
      </c>
      <c r="W24" s="160">
        <f t="shared" si="24"/>
        <v>1800</v>
      </c>
      <c r="X24" s="160">
        <f t="shared" si="25"/>
        <v>1800</v>
      </c>
      <c r="Y24" s="160">
        <f t="shared" si="26"/>
        <v>0</v>
      </c>
      <c r="Z24" s="160">
        <f t="shared" si="27"/>
        <v>0</v>
      </c>
      <c r="AA24" s="160">
        <f t="shared" si="28"/>
        <v>200</v>
      </c>
      <c r="AB24" s="160">
        <f t="shared" si="29"/>
        <v>0</v>
      </c>
      <c r="AC24" s="160">
        <f t="shared" si="30"/>
        <v>0</v>
      </c>
      <c r="AD24" s="307">
        <f t="shared" si="31"/>
        <v>26200</v>
      </c>
      <c r="AE24" s="308" t="str">
        <f t="shared" si="32"/>
        <v>Male</v>
      </c>
      <c r="AF24" s="163">
        <f t="shared" si="13"/>
        <v>0</v>
      </c>
      <c r="AG24" s="163">
        <f t="shared" si="14"/>
        <v>4.5</v>
      </c>
      <c r="AH24" s="163">
        <f t="shared" si="15"/>
        <v>7</v>
      </c>
      <c r="AJ24" s="165" t="str">
        <f t="shared" si="16"/>
        <v/>
      </c>
      <c r="AK24" s="180" t="str">
        <f t="shared" si="17"/>
        <v>Yes</v>
      </c>
      <c r="AM24" s="179"/>
      <c r="AN24" s="179"/>
      <c r="AP24" s="166">
        <f t="shared" si="18"/>
        <v>7</v>
      </c>
      <c r="AQ24" s="166">
        <f t="shared" si="19"/>
        <v>2.5</v>
      </c>
      <c r="AR24" s="166">
        <f t="shared" si="20"/>
        <v>0</v>
      </c>
      <c r="AS24" s="162">
        <f>IFERROR(VLOOKUP(B24,Increment!$B$5:$D$39,2,)*2,"")</f>
        <v>6000</v>
      </c>
    </row>
    <row r="25" spans="1:47" s="173" customFormat="1" ht="25.2" customHeight="1" x14ac:dyDescent="0.3">
      <c r="A25" s="167">
        <v>21</v>
      </c>
      <c r="B25" s="156" t="str" cm="1">
        <f t="array" ref="B25">IF($J$1="Active",IF(Salary_Master_1!B25="","",_xlfn.IFS(Salary_Master_1!M25="Working",IF(Salary_Master_1!H25&lt;=DATE(2025,6,30),Salary_Master_1!B25,""),Salary_Master_1!M25="Left",IF(Salary_Master_1!N25&gt;DATE(2025,5,31),Salary_Master_1!B25,""))),"")</f>
        <v>Shivraj Mahajan</v>
      </c>
      <c r="C25" s="304">
        <v>31</v>
      </c>
      <c r="D25" s="305">
        <f t="shared" si="21"/>
        <v>31</v>
      </c>
      <c r="E25" s="177"/>
      <c r="F25" s="177"/>
      <c r="G25" s="177"/>
      <c r="H25" s="305">
        <f t="shared" si="22"/>
        <v>31</v>
      </c>
      <c r="I25" s="177"/>
      <c r="J25" s="177">
        <v>2</v>
      </c>
      <c r="K25" s="158" t="str">
        <f t="shared" si="1"/>
        <v>Yes</v>
      </c>
      <c r="L25" s="158" t="str">
        <f t="shared" si="2"/>
        <v>No</v>
      </c>
      <c r="M25" s="168"/>
      <c r="N25" s="169">
        <f t="shared" si="3"/>
        <v>11500</v>
      </c>
      <c r="O25" s="170">
        <f t="shared" si="4"/>
        <v>4600</v>
      </c>
      <c r="P25" s="170">
        <f t="shared" si="5"/>
        <v>1600</v>
      </c>
      <c r="Q25" s="170">
        <f t="shared" si="6"/>
        <v>958</v>
      </c>
      <c r="R25" s="170">
        <f t="shared" si="7"/>
        <v>15242</v>
      </c>
      <c r="S25" s="170">
        <f t="shared" si="8"/>
        <v>1800</v>
      </c>
      <c r="T25" s="170">
        <f t="shared" si="9"/>
        <v>1800</v>
      </c>
      <c r="U25" s="170">
        <f t="shared" si="10"/>
        <v>0</v>
      </c>
      <c r="V25" s="262">
        <f t="shared" si="23"/>
        <v>37500</v>
      </c>
      <c r="W25" s="160">
        <f t="shared" si="24"/>
        <v>1800</v>
      </c>
      <c r="X25" s="160">
        <f t="shared" si="25"/>
        <v>1800</v>
      </c>
      <c r="Y25" s="160">
        <f t="shared" si="26"/>
        <v>0</v>
      </c>
      <c r="Z25" s="160">
        <f t="shared" si="27"/>
        <v>0</v>
      </c>
      <c r="AA25" s="160">
        <f t="shared" si="28"/>
        <v>200</v>
      </c>
      <c r="AB25" s="160">
        <f t="shared" si="29"/>
        <v>0</v>
      </c>
      <c r="AC25" s="160">
        <f t="shared" si="30"/>
        <v>0</v>
      </c>
      <c r="AD25" s="307">
        <f t="shared" si="31"/>
        <v>33700</v>
      </c>
      <c r="AE25" s="308" t="str">
        <f t="shared" si="32"/>
        <v>Male</v>
      </c>
      <c r="AF25" s="163">
        <f t="shared" si="13"/>
        <v>1</v>
      </c>
      <c r="AG25" s="163">
        <f t="shared" si="14"/>
        <v>7</v>
      </c>
      <c r="AH25" s="163">
        <f t="shared" si="15"/>
        <v>7</v>
      </c>
      <c r="AJ25" s="165" t="str">
        <f t="shared" si="16"/>
        <v/>
      </c>
      <c r="AK25" s="180" t="str">
        <f t="shared" si="17"/>
        <v>Yes</v>
      </c>
      <c r="AM25" s="179"/>
      <c r="AN25" s="179"/>
      <c r="AP25" s="166">
        <f t="shared" si="18"/>
        <v>6</v>
      </c>
      <c r="AQ25" s="166">
        <f t="shared" si="19"/>
        <v>0</v>
      </c>
      <c r="AR25" s="166">
        <f t="shared" si="20"/>
        <v>0</v>
      </c>
      <c r="AS25" s="162">
        <f>IFERROR(VLOOKUP(B25,Increment!$B$5:$D$39,2,)*2,"")</f>
        <v>5000</v>
      </c>
      <c r="AT25" s="162"/>
    </row>
    <row r="26" spans="1:47" s="162" customFormat="1" ht="25.2" customHeight="1" x14ac:dyDescent="0.3">
      <c r="A26" s="167">
        <v>22</v>
      </c>
      <c r="B26" s="156" t="str" cm="1">
        <f t="array" ref="B26">IF($J$1="Active",IF(Salary_Master_1!B26="","",_xlfn.IFS(Salary_Master_1!M26="Working",IF(Salary_Master_1!H26&lt;=DATE(2025,6,30),Salary_Master_1!B26,""),Salary_Master_1!M26="Left",IF(Salary_Master_1!N26&gt;DATE(2025,5,31),Salary_Master_1!B26,""))),"")</f>
        <v>Akash Gholap</v>
      </c>
      <c r="C26" s="304">
        <v>31</v>
      </c>
      <c r="D26" s="305">
        <f t="shared" si="21"/>
        <v>28</v>
      </c>
      <c r="E26" s="177"/>
      <c r="F26" s="177">
        <v>3</v>
      </c>
      <c r="G26" s="177"/>
      <c r="H26" s="305">
        <f t="shared" si="22"/>
        <v>31</v>
      </c>
      <c r="I26" s="177"/>
      <c r="J26" s="177">
        <v>4</v>
      </c>
      <c r="K26" s="158" t="str">
        <f t="shared" si="1"/>
        <v>Yes</v>
      </c>
      <c r="L26" s="158" t="str">
        <f t="shared" si="2"/>
        <v>No</v>
      </c>
      <c r="M26" s="168"/>
      <c r="N26" s="169">
        <f t="shared" si="3"/>
        <v>11500</v>
      </c>
      <c r="O26" s="170">
        <f t="shared" si="4"/>
        <v>4600</v>
      </c>
      <c r="P26" s="170">
        <f t="shared" si="5"/>
        <v>1600</v>
      </c>
      <c r="Q26" s="170">
        <f t="shared" si="6"/>
        <v>958</v>
      </c>
      <c r="R26" s="170">
        <f t="shared" si="7"/>
        <v>12042</v>
      </c>
      <c r="S26" s="170">
        <f t="shared" si="8"/>
        <v>1800</v>
      </c>
      <c r="T26" s="170">
        <f t="shared" si="9"/>
        <v>1800</v>
      </c>
      <c r="U26" s="170">
        <f t="shared" si="10"/>
        <v>0</v>
      </c>
      <c r="V26" s="262">
        <f t="shared" si="23"/>
        <v>34300</v>
      </c>
      <c r="W26" s="160">
        <f t="shared" si="24"/>
        <v>1800</v>
      </c>
      <c r="X26" s="160">
        <f t="shared" si="25"/>
        <v>1800</v>
      </c>
      <c r="Y26" s="160">
        <f t="shared" si="26"/>
        <v>0</v>
      </c>
      <c r="Z26" s="160">
        <f t="shared" si="27"/>
        <v>0</v>
      </c>
      <c r="AA26" s="160">
        <f t="shared" si="28"/>
        <v>200</v>
      </c>
      <c r="AB26" s="160">
        <f t="shared" si="29"/>
        <v>0</v>
      </c>
      <c r="AC26" s="160">
        <f t="shared" si="30"/>
        <v>0</v>
      </c>
      <c r="AD26" s="307">
        <f t="shared" si="31"/>
        <v>30500</v>
      </c>
      <c r="AE26" s="308" t="str">
        <f t="shared" si="32"/>
        <v>Male</v>
      </c>
      <c r="AF26" s="163">
        <f t="shared" si="13"/>
        <v>0</v>
      </c>
      <c r="AG26" s="163">
        <f t="shared" si="14"/>
        <v>4</v>
      </c>
      <c r="AH26" s="163">
        <f t="shared" si="15"/>
        <v>7</v>
      </c>
      <c r="AJ26" s="165" t="str">
        <f t="shared" si="16"/>
        <v/>
      </c>
      <c r="AK26" s="180" t="str">
        <f t="shared" si="17"/>
        <v>Yes</v>
      </c>
      <c r="AM26" s="179"/>
      <c r="AN26" s="179"/>
      <c r="AP26" s="166">
        <f t="shared" si="18"/>
        <v>7</v>
      </c>
      <c r="AQ26" s="166">
        <f t="shared" si="19"/>
        <v>3</v>
      </c>
      <c r="AR26" s="166">
        <f t="shared" si="20"/>
        <v>0</v>
      </c>
      <c r="AS26" s="162">
        <f>IFERROR(VLOOKUP(B26,Increment!$B$5:$D$39,2,)*2,"")</f>
        <v>5000</v>
      </c>
    </row>
    <row r="27" spans="1:47" s="162" customFormat="1" ht="25.2" customHeight="1" x14ac:dyDescent="0.3">
      <c r="A27" s="167">
        <v>23</v>
      </c>
      <c r="B27" s="156" t="str" cm="1">
        <f t="array" ref="B27">IF($J$1="Active",IF(Salary_Master_1!B27="","",_xlfn.IFS(Salary_Master_1!M27="Working",IF(Salary_Master_1!H27&lt;=DATE(2025,6,30),Salary_Master_1!B27,""),Salary_Master_1!M27="Left",IF(Salary_Master_1!N27&gt;DATE(2025,5,31),Salary_Master_1!B27,""))),"")</f>
        <v>Jatin Bhosale</v>
      </c>
      <c r="C27" s="304">
        <v>31</v>
      </c>
      <c r="D27" s="305">
        <f t="shared" si="21"/>
        <v>25.5</v>
      </c>
      <c r="E27" s="177">
        <v>3.5</v>
      </c>
      <c r="F27" s="177">
        <v>2</v>
      </c>
      <c r="G27" s="177"/>
      <c r="H27" s="305">
        <f t="shared" si="22"/>
        <v>31</v>
      </c>
      <c r="I27" s="177"/>
      <c r="J27" s="177">
        <v>10</v>
      </c>
      <c r="K27" s="158" t="str">
        <f t="shared" si="1"/>
        <v>Yes</v>
      </c>
      <c r="L27" s="158" t="str">
        <f t="shared" si="2"/>
        <v>No</v>
      </c>
      <c r="M27" s="168"/>
      <c r="N27" s="169">
        <f t="shared" si="3"/>
        <v>15000</v>
      </c>
      <c r="O27" s="170">
        <f t="shared" si="4"/>
        <v>6000</v>
      </c>
      <c r="P27" s="170">
        <f t="shared" si="5"/>
        <v>1600</v>
      </c>
      <c r="Q27" s="170">
        <f t="shared" si="6"/>
        <v>1250</v>
      </c>
      <c r="R27" s="170">
        <f t="shared" si="7"/>
        <v>55050</v>
      </c>
      <c r="S27" s="170">
        <f t="shared" si="8"/>
        <v>1800</v>
      </c>
      <c r="T27" s="170">
        <f t="shared" si="9"/>
        <v>1800</v>
      </c>
      <c r="U27" s="170">
        <f t="shared" si="10"/>
        <v>0</v>
      </c>
      <c r="V27" s="262">
        <f t="shared" si="23"/>
        <v>82500</v>
      </c>
      <c r="W27" s="160">
        <f t="shared" si="24"/>
        <v>1800</v>
      </c>
      <c r="X27" s="160">
        <f t="shared" si="25"/>
        <v>1800</v>
      </c>
      <c r="Y27" s="160">
        <f t="shared" si="26"/>
        <v>0</v>
      </c>
      <c r="Z27" s="160">
        <f t="shared" si="27"/>
        <v>0</v>
      </c>
      <c r="AA27" s="160">
        <f t="shared" si="28"/>
        <v>200</v>
      </c>
      <c r="AB27" s="160">
        <f t="shared" si="29"/>
        <v>0</v>
      </c>
      <c r="AC27" s="160">
        <f t="shared" si="30"/>
        <v>0</v>
      </c>
      <c r="AD27" s="307">
        <f t="shared" si="31"/>
        <v>78700</v>
      </c>
      <c r="AE27" s="308" t="str">
        <f t="shared" si="32"/>
        <v>Male</v>
      </c>
      <c r="AF27" s="163">
        <f t="shared" si="13"/>
        <v>0</v>
      </c>
      <c r="AG27" s="163">
        <f t="shared" si="14"/>
        <v>5</v>
      </c>
      <c r="AH27" s="163">
        <f t="shared" si="15"/>
        <v>7</v>
      </c>
      <c r="AJ27" s="165" t="str">
        <f t="shared" si="16"/>
        <v/>
      </c>
      <c r="AK27" s="180" t="str">
        <f t="shared" si="17"/>
        <v>Yes</v>
      </c>
      <c r="AM27" s="179"/>
      <c r="AN27" s="179"/>
      <c r="AP27" s="166">
        <f t="shared" si="18"/>
        <v>7</v>
      </c>
      <c r="AQ27" s="166">
        <f t="shared" si="19"/>
        <v>2</v>
      </c>
      <c r="AR27" s="166">
        <f t="shared" si="20"/>
        <v>0</v>
      </c>
      <c r="AS27" s="162">
        <f>IFERROR(VLOOKUP(B27,Increment!$B$5:$D$39,2,)*2,"")</f>
        <v>15000</v>
      </c>
    </row>
    <row r="28" spans="1:47" s="162" customFormat="1" ht="25.2" customHeight="1" x14ac:dyDescent="0.3">
      <c r="A28" s="167">
        <v>24</v>
      </c>
      <c r="B28" s="156" t="str" cm="1">
        <f t="array" ref="B28">IF($J$1="Active",IF(Salary_Master_1!B28="","",_xlfn.IFS(Salary_Master_1!M28="Working",IF(Salary_Master_1!H28&lt;=DATE(2025,6,30),Salary_Master_1!B28,""),Salary_Master_1!M28="Left",IF(Salary_Master_1!N28&gt;DATE(2025,5,31),Salary_Master_1!B28,""))),"")</f>
        <v>Pratik Lotankar</v>
      </c>
      <c r="C28" s="304">
        <v>31</v>
      </c>
      <c r="D28" s="305">
        <f t="shared" si="21"/>
        <v>29</v>
      </c>
      <c r="E28" s="177"/>
      <c r="F28" s="177">
        <v>2</v>
      </c>
      <c r="G28" s="177"/>
      <c r="H28" s="305">
        <f t="shared" si="22"/>
        <v>31</v>
      </c>
      <c r="I28" s="177"/>
      <c r="J28" s="177">
        <v>3</v>
      </c>
      <c r="K28" s="158" t="str">
        <f t="shared" si="1"/>
        <v>Yes</v>
      </c>
      <c r="L28" s="158" t="str">
        <f t="shared" si="2"/>
        <v>No</v>
      </c>
      <c r="M28" s="168"/>
      <c r="N28" s="169">
        <f t="shared" si="3"/>
        <v>15000</v>
      </c>
      <c r="O28" s="170">
        <f t="shared" si="4"/>
        <v>6000</v>
      </c>
      <c r="P28" s="170">
        <f t="shared" si="5"/>
        <v>1600</v>
      </c>
      <c r="Q28" s="170">
        <f t="shared" si="6"/>
        <v>1250</v>
      </c>
      <c r="R28" s="170">
        <f t="shared" si="7"/>
        <v>51050</v>
      </c>
      <c r="S28" s="170">
        <f t="shared" si="8"/>
        <v>1800</v>
      </c>
      <c r="T28" s="170">
        <f t="shared" si="9"/>
        <v>1800</v>
      </c>
      <c r="U28" s="170">
        <f t="shared" si="10"/>
        <v>0</v>
      </c>
      <c r="V28" s="262">
        <f t="shared" si="23"/>
        <v>78500</v>
      </c>
      <c r="W28" s="160">
        <f t="shared" si="24"/>
        <v>1800</v>
      </c>
      <c r="X28" s="160">
        <f t="shared" si="25"/>
        <v>1800</v>
      </c>
      <c r="Y28" s="160">
        <f t="shared" si="26"/>
        <v>0</v>
      </c>
      <c r="Z28" s="160">
        <f t="shared" si="27"/>
        <v>0</v>
      </c>
      <c r="AA28" s="160">
        <f t="shared" si="28"/>
        <v>200</v>
      </c>
      <c r="AB28" s="160">
        <f t="shared" si="29"/>
        <v>0</v>
      </c>
      <c r="AC28" s="160">
        <f t="shared" si="30"/>
        <v>0</v>
      </c>
      <c r="AD28" s="307">
        <f t="shared" si="31"/>
        <v>74700</v>
      </c>
      <c r="AE28" s="308" t="str">
        <f t="shared" si="32"/>
        <v>Male</v>
      </c>
      <c r="AF28" s="163">
        <f t="shared" si="13"/>
        <v>1.5</v>
      </c>
      <c r="AG28" s="163">
        <f t="shared" si="14"/>
        <v>5</v>
      </c>
      <c r="AH28" s="163">
        <f t="shared" si="15"/>
        <v>7</v>
      </c>
      <c r="AJ28" s="165" t="str">
        <f t="shared" si="16"/>
        <v/>
      </c>
      <c r="AK28" s="180" t="str">
        <f t="shared" si="17"/>
        <v>Yes</v>
      </c>
      <c r="AM28" s="179"/>
      <c r="AN28" s="179"/>
      <c r="AP28" s="166">
        <f t="shared" si="18"/>
        <v>5.5</v>
      </c>
      <c r="AQ28" s="166">
        <f t="shared" si="19"/>
        <v>2</v>
      </c>
      <c r="AR28" s="166">
        <f t="shared" si="20"/>
        <v>0</v>
      </c>
      <c r="AS28" s="162">
        <f>IFERROR(VLOOKUP(B28,Increment!$B$5:$D$39,2,)*2,"")</f>
        <v>15000</v>
      </c>
    </row>
    <row r="29" spans="1:47" s="173" customFormat="1" ht="25.2" customHeight="1" x14ac:dyDescent="0.3">
      <c r="A29" s="172">
        <v>25</v>
      </c>
      <c r="B29" s="156" t="str" cm="1">
        <f t="array" ref="B29">IF($J$1="Active",IF(Salary_Master_1!B29="","",_xlfn.IFS(Salary_Master_1!M29="Working",IF(Salary_Master_1!H29&lt;=DATE(2025,6,30),Salary_Master_1!B29,""),Salary_Master_1!M29="Left",IF(Salary_Master_1!N29&gt;DATE(2025,5,31),Salary_Master_1!B29,""))),"")</f>
        <v>Jyoti Sawant</v>
      </c>
      <c r="C29" s="304">
        <v>31</v>
      </c>
      <c r="D29" s="305">
        <f t="shared" si="21"/>
        <v>28.5</v>
      </c>
      <c r="E29" s="177">
        <v>1</v>
      </c>
      <c r="F29" s="177">
        <v>1.5</v>
      </c>
      <c r="G29" s="177"/>
      <c r="H29" s="305">
        <f t="shared" si="22"/>
        <v>31</v>
      </c>
      <c r="I29" s="177"/>
      <c r="J29" s="177">
        <v>1</v>
      </c>
      <c r="K29" s="158" t="str">
        <f t="shared" si="1"/>
        <v>Yes</v>
      </c>
      <c r="L29" s="158" t="str">
        <f t="shared" si="2"/>
        <v>No</v>
      </c>
      <c r="M29" s="168"/>
      <c r="N29" s="169">
        <f t="shared" si="3"/>
        <v>10000</v>
      </c>
      <c r="O29" s="170">
        <f t="shared" si="4"/>
        <v>2000</v>
      </c>
      <c r="P29" s="170">
        <f t="shared" si="5"/>
        <v>1600</v>
      </c>
      <c r="Q29" s="170">
        <f t="shared" si="6"/>
        <v>833</v>
      </c>
      <c r="R29" s="170">
        <f t="shared" si="7"/>
        <v>14467</v>
      </c>
      <c r="S29" s="170">
        <f t="shared" si="8"/>
        <v>1800</v>
      </c>
      <c r="T29" s="170">
        <f t="shared" si="9"/>
        <v>1800</v>
      </c>
      <c r="U29" s="170">
        <f t="shared" si="10"/>
        <v>0</v>
      </c>
      <c r="V29" s="262">
        <f t="shared" si="23"/>
        <v>32500</v>
      </c>
      <c r="W29" s="160">
        <f t="shared" si="24"/>
        <v>1800</v>
      </c>
      <c r="X29" s="160">
        <f t="shared" si="25"/>
        <v>1800</v>
      </c>
      <c r="Y29" s="160">
        <f t="shared" si="26"/>
        <v>0</v>
      </c>
      <c r="Z29" s="160">
        <f t="shared" si="27"/>
        <v>0</v>
      </c>
      <c r="AA29" s="160">
        <f t="shared" si="28"/>
        <v>200</v>
      </c>
      <c r="AB29" s="160">
        <f t="shared" si="29"/>
        <v>0</v>
      </c>
      <c r="AC29" s="160">
        <f t="shared" si="30"/>
        <v>0</v>
      </c>
      <c r="AD29" s="307">
        <f t="shared" si="31"/>
        <v>28700</v>
      </c>
      <c r="AE29" s="308" t="str">
        <f t="shared" si="32"/>
        <v>Female</v>
      </c>
      <c r="AF29" s="163">
        <f t="shared" si="13"/>
        <v>0</v>
      </c>
      <c r="AG29" s="163">
        <f t="shared" si="14"/>
        <v>5.5</v>
      </c>
      <c r="AH29" s="163">
        <f t="shared" si="15"/>
        <v>7</v>
      </c>
      <c r="AJ29" s="165" t="str">
        <f t="shared" si="16"/>
        <v/>
      </c>
      <c r="AK29" s="180" t="str">
        <f t="shared" si="17"/>
        <v>Yes</v>
      </c>
      <c r="AM29" s="179"/>
      <c r="AN29" s="179"/>
      <c r="AP29" s="166">
        <f t="shared" si="18"/>
        <v>7</v>
      </c>
      <c r="AQ29" s="166">
        <f t="shared" si="19"/>
        <v>1.5</v>
      </c>
      <c r="AR29" s="166">
        <f t="shared" si="20"/>
        <v>0</v>
      </c>
      <c r="AS29" s="162">
        <f>IFERROR(VLOOKUP(B29,Increment!$B$5:$D$39,2,)*2,"")</f>
        <v>3000</v>
      </c>
      <c r="AT29" s="162"/>
    </row>
    <row r="30" spans="1:47" s="162" customFormat="1" ht="25.2" customHeight="1" x14ac:dyDescent="0.3">
      <c r="A30" s="167">
        <v>26</v>
      </c>
      <c r="B30" s="156" t="str" cm="1">
        <f t="array" ref="B30">IF($J$1="Active",IF(Salary_Master_1!B30="","",_xlfn.IFS(Salary_Master_1!M30="Working",IF(Salary_Master_1!H30&lt;=DATE(2025,6,30),Salary_Master_1!B30,""),Salary_Master_1!M30="Left",IF(Salary_Master_1!N30&gt;DATE(2025,5,31),Salary_Master_1!B30,""))),"")</f>
        <v>Deepu Raj</v>
      </c>
      <c r="C30" s="304">
        <v>31</v>
      </c>
      <c r="D30" s="305">
        <f t="shared" si="21"/>
        <v>31</v>
      </c>
      <c r="E30" s="177"/>
      <c r="F30" s="177"/>
      <c r="G30" s="177"/>
      <c r="H30" s="305">
        <f t="shared" si="22"/>
        <v>31</v>
      </c>
      <c r="I30" s="177"/>
      <c r="J30" s="177">
        <v>0</v>
      </c>
      <c r="K30" s="158" t="str">
        <f t="shared" si="1"/>
        <v>No</v>
      </c>
      <c r="L30" s="158" t="str">
        <f t="shared" si="2"/>
        <v>No</v>
      </c>
      <c r="M30" s="168"/>
      <c r="N30" s="169">
        <f t="shared" si="3"/>
        <v>15000</v>
      </c>
      <c r="O30" s="170">
        <f t="shared" si="4"/>
        <v>6000</v>
      </c>
      <c r="P30" s="170">
        <f t="shared" si="5"/>
        <v>1600</v>
      </c>
      <c r="Q30" s="170">
        <f t="shared" si="6"/>
        <v>1250</v>
      </c>
      <c r="R30" s="170">
        <f t="shared" si="7"/>
        <v>13150</v>
      </c>
      <c r="S30" s="170">
        <f t="shared" si="8"/>
        <v>0</v>
      </c>
      <c r="T30" s="170">
        <f t="shared" si="9"/>
        <v>0</v>
      </c>
      <c r="U30" s="170">
        <f t="shared" si="10"/>
        <v>0</v>
      </c>
      <c r="V30" s="262">
        <f t="shared" si="23"/>
        <v>37000</v>
      </c>
      <c r="W30" s="160">
        <f t="shared" si="24"/>
        <v>0</v>
      </c>
      <c r="X30" s="160">
        <f t="shared" si="25"/>
        <v>0</v>
      </c>
      <c r="Y30" s="160">
        <f t="shared" si="26"/>
        <v>0</v>
      </c>
      <c r="Z30" s="160">
        <f t="shared" si="27"/>
        <v>0</v>
      </c>
      <c r="AA30" s="160">
        <f t="shared" si="28"/>
        <v>200</v>
      </c>
      <c r="AB30" s="160">
        <f t="shared" si="29"/>
        <v>0</v>
      </c>
      <c r="AC30" s="160">
        <f t="shared" si="30"/>
        <v>0</v>
      </c>
      <c r="AD30" s="307">
        <f t="shared" si="31"/>
        <v>36800</v>
      </c>
      <c r="AE30" s="308" t="str">
        <f t="shared" si="32"/>
        <v>Male</v>
      </c>
      <c r="AF30" s="163">
        <f t="shared" si="13"/>
        <v>7</v>
      </c>
      <c r="AG30" s="163">
        <f t="shared" si="14"/>
        <v>7</v>
      </c>
      <c r="AH30" s="163">
        <f t="shared" si="15"/>
        <v>7</v>
      </c>
      <c r="AJ30" s="165" t="str">
        <f t="shared" si="16"/>
        <v/>
      </c>
      <c r="AK30" s="180" t="s">
        <v>49</v>
      </c>
      <c r="AM30" s="179"/>
      <c r="AN30" s="179"/>
      <c r="AP30" s="166">
        <f t="shared" si="18"/>
        <v>0</v>
      </c>
      <c r="AQ30" s="166">
        <f t="shared" si="19"/>
        <v>0</v>
      </c>
      <c r="AR30" s="166">
        <f t="shared" si="20"/>
        <v>0</v>
      </c>
      <c r="AS30" s="162">
        <f>IFERROR(VLOOKUP(B30,Increment!$B$5:$D$39,2,)*2,"")</f>
        <v>4000</v>
      </c>
    </row>
    <row r="31" spans="1:47" s="162" customFormat="1" ht="25.2" customHeight="1" x14ac:dyDescent="0.3">
      <c r="A31" s="167">
        <v>27</v>
      </c>
      <c r="B31" s="156" t="str" cm="1">
        <f t="array" ref="B31">IF($J$1="Active",IF(Salary_Master_1!B31="","",_xlfn.IFS(Salary_Master_1!M31="Working",IF(Salary_Master_1!H31&lt;=DATE(2025,6,30),Salary_Master_1!B31,""),Salary_Master_1!M31="Left",IF(Salary_Master_1!N31&gt;DATE(2025,5,31),Salary_Master_1!B31,""))),"")</f>
        <v xml:space="preserve">Vicky Kumar </v>
      </c>
      <c r="C31" s="304">
        <v>31</v>
      </c>
      <c r="D31" s="305">
        <f t="shared" si="21"/>
        <v>30</v>
      </c>
      <c r="E31" s="177">
        <v>1</v>
      </c>
      <c r="F31" s="177"/>
      <c r="G31" s="177"/>
      <c r="H31" s="305">
        <f t="shared" si="22"/>
        <v>31</v>
      </c>
      <c r="I31" s="177"/>
      <c r="J31" s="177">
        <v>0</v>
      </c>
      <c r="K31" s="158" t="str">
        <f t="shared" si="1"/>
        <v>Yes</v>
      </c>
      <c r="L31" s="158" t="str">
        <f t="shared" si="2"/>
        <v>No</v>
      </c>
      <c r="M31" s="168"/>
      <c r="N31" s="169">
        <f t="shared" si="3"/>
        <v>10000</v>
      </c>
      <c r="O31" s="170">
        <f t="shared" si="4"/>
        <v>2000</v>
      </c>
      <c r="P31" s="170">
        <f t="shared" si="5"/>
        <v>1600</v>
      </c>
      <c r="Q31" s="170">
        <f t="shared" si="6"/>
        <v>833</v>
      </c>
      <c r="R31" s="170">
        <f t="shared" si="7"/>
        <v>6967</v>
      </c>
      <c r="S31" s="170">
        <f t="shared" si="8"/>
        <v>1800</v>
      </c>
      <c r="T31" s="170">
        <f t="shared" si="9"/>
        <v>1800</v>
      </c>
      <c r="U31" s="170">
        <f t="shared" si="10"/>
        <v>0</v>
      </c>
      <c r="V31" s="262">
        <f t="shared" si="23"/>
        <v>25000</v>
      </c>
      <c r="W31" s="160">
        <f t="shared" si="24"/>
        <v>1800</v>
      </c>
      <c r="X31" s="160">
        <f t="shared" si="25"/>
        <v>1800</v>
      </c>
      <c r="Y31" s="160">
        <f t="shared" si="26"/>
        <v>0</v>
      </c>
      <c r="Z31" s="160">
        <f t="shared" si="27"/>
        <v>0</v>
      </c>
      <c r="AA31" s="160">
        <f t="shared" si="28"/>
        <v>200</v>
      </c>
      <c r="AB31" s="160">
        <f t="shared" si="29"/>
        <v>0</v>
      </c>
      <c r="AC31" s="160">
        <f t="shared" si="30"/>
        <v>0</v>
      </c>
      <c r="AD31" s="307">
        <f t="shared" si="31"/>
        <v>21200</v>
      </c>
      <c r="AE31" s="308" t="str">
        <f t="shared" si="32"/>
        <v>Male</v>
      </c>
      <c r="AF31" s="163">
        <f t="shared" si="13"/>
        <v>5</v>
      </c>
      <c r="AG31" s="163">
        <f t="shared" si="14"/>
        <v>7</v>
      </c>
      <c r="AH31" s="163">
        <f t="shared" si="15"/>
        <v>7</v>
      </c>
      <c r="AJ31" s="165" t="str">
        <f t="shared" si="16"/>
        <v/>
      </c>
      <c r="AK31" s="180" t="s">
        <v>49</v>
      </c>
      <c r="AM31" s="179"/>
      <c r="AN31" s="179"/>
      <c r="AP31" s="166">
        <f t="shared" si="18"/>
        <v>2</v>
      </c>
      <c r="AQ31" s="166">
        <f t="shared" si="19"/>
        <v>0</v>
      </c>
      <c r="AR31" s="166">
        <f t="shared" si="20"/>
        <v>0</v>
      </c>
      <c r="AS31" s="162">
        <f>IFERROR(VLOOKUP(B31,Increment!$B$5:$D$39,2,)*2,"")</f>
        <v>4000</v>
      </c>
    </row>
    <row r="32" spans="1:47" s="173" customFormat="1" ht="25.2" customHeight="1" x14ac:dyDescent="0.3">
      <c r="A32" s="172">
        <v>28</v>
      </c>
      <c r="B32" s="156" t="str" cm="1">
        <f t="array" ref="B32">IF($J$1="Active",IF(Salary_Master_1!B32="","",_xlfn.IFS(Salary_Master_1!M32="Working",IF(Salary_Master_1!H32&lt;=DATE(2025,6,30),Salary_Master_1!B32,""),Salary_Master_1!M32="Left",IF(Salary_Master_1!N32&gt;DATE(2025,5,31),Salary_Master_1!B32,""))),"")</f>
        <v>Waman Bandekar</v>
      </c>
      <c r="C32" s="304">
        <v>31</v>
      </c>
      <c r="D32" s="305">
        <f t="shared" si="21"/>
        <v>31</v>
      </c>
      <c r="E32" s="177"/>
      <c r="F32" s="177"/>
      <c r="G32" s="177"/>
      <c r="H32" s="305">
        <f t="shared" si="22"/>
        <v>31</v>
      </c>
      <c r="I32" s="177"/>
      <c r="J32" s="177">
        <v>3</v>
      </c>
      <c r="K32" s="158" t="str">
        <f t="shared" si="1"/>
        <v>Yes</v>
      </c>
      <c r="L32" s="158" t="str">
        <f t="shared" si="2"/>
        <v>Yes</v>
      </c>
      <c r="M32" s="168"/>
      <c r="N32" s="169">
        <f t="shared" si="3"/>
        <v>10000</v>
      </c>
      <c r="O32" s="170">
        <f t="shared" si="4"/>
        <v>2000</v>
      </c>
      <c r="P32" s="170">
        <f t="shared" si="5"/>
        <v>1600</v>
      </c>
      <c r="Q32" s="170">
        <f t="shared" si="6"/>
        <v>833</v>
      </c>
      <c r="R32" s="170">
        <f t="shared" si="7"/>
        <v>1317</v>
      </c>
      <c r="S32" s="170">
        <f t="shared" si="8"/>
        <v>1800</v>
      </c>
      <c r="T32" s="170">
        <f t="shared" si="9"/>
        <v>1800</v>
      </c>
      <c r="U32" s="170">
        <f t="shared" si="10"/>
        <v>650</v>
      </c>
      <c r="V32" s="262">
        <f t="shared" si="23"/>
        <v>20000</v>
      </c>
      <c r="W32" s="160">
        <f t="shared" si="24"/>
        <v>1800</v>
      </c>
      <c r="X32" s="160">
        <f t="shared" si="25"/>
        <v>1800</v>
      </c>
      <c r="Y32" s="160">
        <f t="shared" si="26"/>
        <v>150</v>
      </c>
      <c r="Z32" s="160">
        <f t="shared" si="27"/>
        <v>650</v>
      </c>
      <c r="AA32" s="160">
        <f t="shared" si="28"/>
        <v>200</v>
      </c>
      <c r="AB32" s="160">
        <f t="shared" si="29"/>
        <v>0</v>
      </c>
      <c r="AC32" s="160">
        <f t="shared" si="30"/>
        <v>0</v>
      </c>
      <c r="AD32" s="307">
        <f t="shared" si="31"/>
        <v>15400</v>
      </c>
      <c r="AE32" s="308" t="str">
        <f t="shared" si="32"/>
        <v>Male</v>
      </c>
      <c r="AF32" s="163">
        <f t="shared" si="13"/>
        <v>0</v>
      </c>
      <c r="AG32" s="163">
        <f t="shared" si="14"/>
        <v>5.5</v>
      </c>
      <c r="AH32" s="163">
        <f t="shared" si="15"/>
        <v>7</v>
      </c>
      <c r="AJ32" s="165" t="str">
        <f t="shared" si="16"/>
        <v/>
      </c>
      <c r="AK32" s="180" t="str">
        <f t="shared" si="17"/>
        <v>Yes</v>
      </c>
      <c r="AM32" s="179"/>
      <c r="AN32" s="179"/>
      <c r="AP32" s="166">
        <f t="shared" si="18"/>
        <v>7</v>
      </c>
      <c r="AQ32" s="166">
        <f t="shared" si="19"/>
        <v>1.5</v>
      </c>
      <c r="AR32" s="166">
        <f t="shared" si="20"/>
        <v>0</v>
      </c>
      <c r="AS32" s="162">
        <f>IFERROR(VLOOKUP(B32,Increment!$B$5:$D$39,2,)*2,"")</f>
        <v>0</v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IF($J$1="Active",IF(Salary_Master_1!B33="","",_xlfn.IFS(Salary_Master_1!M33="Working",IF(Salary_Master_1!H33&lt;=DATE(2025,6,30),Salary_Master_1!B33,""),Salary_Master_1!M33="Left",IF(Salary_Master_1!N33&gt;DATE(2025,5,31),Salary_Master_1!B33,""))),"")</f>
        <v/>
      </c>
      <c r="C33" s="304">
        <v>31</v>
      </c>
      <c r="D33" s="305" t="str">
        <f t="shared" si="21"/>
        <v/>
      </c>
      <c r="E33" s="177"/>
      <c r="F33" s="177"/>
      <c r="G33" s="177"/>
      <c r="H33" s="305" t="str">
        <f t="shared" si="22"/>
        <v/>
      </c>
      <c r="I33" s="177"/>
      <c r="J33" s="177"/>
      <c r="K33" s="158" t="str">
        <f t="shared" si="1"/>
        <v/>
      </c>
      <c r="L33" s="158" t="str">
        <f t="shared" si="2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3"/>
        <v>0</v>
      </c>
      <c r="W33" s="160">
        <f t="shared" si="24"/>
        <v>0</v>
      </c>
      <c r="X33" s="160">
        <f t="shared" si="25"/>
        <v>0</v>
      </c>
      <c r="Y33" s="160">
        <f t="shared" si="26"/>
        <v>0</v>
      </c>
      <c r="Z33" s="160">
        <f t="shared" si="27"/>
        <v>0</v>
      </c>
      <c r="AA33" s="160">
        <f t="shared" si="28"/>
        <v>0</v>
      </c>
      <c r="AB33" s="160">
        <f t="shared" si="29"/>
        <v>0</v>
      </c>
      <c r="AC33" s="160">
        <f t="shared" si="30"/>
        <v>0</v>
      </c>
      <c r="AD33" s="307">
        <f t="shared" si="31"/>
        <v>0</v>
      </c>
      <c r="AE33" s="308" t="str">
        <f t="shared" si="32"/>
        <v/>
      </c>
      <c r="AF33" s="163" t="str">
        <f t="shared" si="13"/>
        <v/>
      </c>
      <c r="AG33" s="163" t="str">
        <f t="shared" si="14"/>
        <v/>
      </c>
      <c r="AH33" s="163" t="str">
        <f t="shared" si="15"/>
        <v/>
      </c>
      <c r="AJ33" s="165" t="str">
        <f t="shared" si="16"/>
        <v/>
      </c>
      <c r="AK33" s="180" t="str">
        <f t="shared" si="17"/>
        <v/>
      </c>
      <c r="AM33" s="179"/>
      <c r="AN33" s="179"/>
      <c r="AP33" s="166" t="str">
        <f t="shared" si="18"/>
        <v/>
      </c>
      <c r="AQ33" s="166" t="str">
        <f t="shared" si="19"/>
        <v/>
      </c>
      <c r="AR33" s="166" t="str">
        <f t="shared" si="20"/>
        <v/>
      </c>
      <c r="AS33" s="162" t="str">
        <f>IFERROR(VLOOKUP(B33,Increment!$B$5:$D$39,2,)*2,"")</f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IF($J$1="Active",IF(Salary_Master_1!B34="","",_xlfn.IFS(Salary_Master_1!M34="Working",IF(Salary_Master_1!H34&lt;=DATE(2025,6,30),Salary_Master_1!B34,""),Salary_Master_1!M34="Left",IF(Salary_Master_1!N34&gt;DATE(2025,5,31),Salary_Master_1!B34,""))),"")</f>
        <v/>
      </c>
      <c r="C34" s="304">
        <v>31</v>
      </c>
      <c r="D34" s="305" t="str">
        <f t="shared" si="21"/>
        <v/>
      </c>
      <c r="E34" s="177"/>
      <c r="F34" s="177"/>
      <c r="G34" s="177"/>
      <c r="H34" s="305" t="str">
        <f t="shared" si="22"/>
        <v/>
      </c>
      <c r="I34" s="177"/>
      <c r="J34" s="177"/>
      <c r="K34" s="158" t="str">
        <f t="shared" si="1"/>
        <v/>
      </c>
      <c r="L34" s="158" t="str">
        <f t="shared" si="2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3"/>
        <v>0</v>
      </c>
      <c r="W34" s="160">
        <f t="shared" si="24"/>
        <v>0</v>
      </c>
      <c r="X34" s="160">
        <f t="shared" si="25"/>
        <v>0</v>
      </c>
      <c r="Y34" s="160">
        <f t="shared" si="26"/>
        <v>0</v>
      </c>
      <c r="Z34" s="160">
        <f t="shared" si="27"/>
        <v>0</v>
      </c>
      <c r="AA34" s="160">
        <f t="shared" si="28"/>
        <v>0</v>
      </c>
      <c r="AB34" s="160">
        <f t="shared" si="29"/>
        <v>0</v>
      </c>
      <c r="AC34" s="160">
        <f t="shared" si="30"/>
        <v>0</v>
      </c>
      <c r="AD34" s="307">
        <f t="shared" si="31"/>
        <v>0</v>
      </c>
      <c r="AE34" s="308" t="str">
        <f t="shared" si="32"/>
        <v/>
      </c>
      <c r="AF34" s="163" t="str">
        <f t="shared" si="13"/>
        <v/>
      </c>
      <c r="AG34" s="163" t="str">
        <f t="shared" si="14"/>
        <v/>
      </c>
      <c r="AH34" s="163" t="str">
        <f t="shared" si="15"/>
        <v/>
      </c>
      <c r="AJ34" s="165" t="str">
        <f t="shared" si="16"/>
        <v/>
      </c>
      <c r="AK34" s="180" t="s">
        <v>50</v>
      </c>
      <c r="AM34" s="179"/>
      <c r="AN34" s="179"/>
      <c r="AP34" s="166" t="str">
        <f t="shared" si="18"/>
        <v/>
      </c>
      <c r="AQ34" s="166" t="str">
        <f t="shared" si="19"/>
        <v/>
      </c>
      <c r="AR34" s="166" t="str">
        <f t="shared" si="20"/>
        <v/>
      </c>
      <c r="AS34" s="162" t="str">
        <f>IFERROR(VLOOKUP(B34,Increment!$B$5:$D$39,2,)*2,"")</f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IF($J$1="Active",IF(Salary_Master_1!B35="","",_xlfn.IFS(Salary_Master_1!M35="Working",IF(Salary_Master_1!H35&lt;=DATE(2025,6,30),Salary_Master_1!B35,""),Salary_Master_1!M35="Left",IF(Salary_Master_1!N35&gt;DATE(2025,5,31),Salary_Master_1!B35,""))),"")</f>
        <v/>
      </c>
      <c r="C35" s="304">
        <v>31</v>
      </c>
      <c r="D35" s="305" t="str">
        <f t="shared" si="21"/>
        <v/>
      </c>
      <c r="E35" s="177"/>
      <c r="F35" s="177"/>
      <c r="G35" s="177"/>
      <c r="H35" s="305" t="str">
        <f t="shared" si="22"/>
        <v/>
      </c>
      <c r="I35" s="177"/>
      <c r="J35" s="177"/>
      <c r="K35" s="158" t="str">
        <f t="shared" si="1"/>
        <v/>
      </c>
      <c r="L35" s="158" t="str">
        <f t="shared" si="2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3"/>
        <v>0</v>
      </c>
      <c r="W35" s="160">
        <f t="shared" si="24"/>
        <v>0</v>
      </c>
      <c r="X35" s="160">
        <f t="shared" si="25"/>
        <v>0</v>
      </c>
      <c r="Y35" s="160">
        <f t="shared" si="26"/>
        <v>0</v>
      </c>
      <c r="Z35" s="160">
        <f t="shared" si="27"/>
        <v>0</v>
      </c>
      <c r="AA35" s="160">
        <f t="shared" si="28"/>
        <v>0</v>
      </c>
      <c r="AB35" s="160">
        <f t="shared" si="29"/>
        <v>0</v>
      </c>
      <c r="AC35" s="160">
        <f t="shared" si="30"/>
        <v>0</v>
      </c>
      <c r="AD35" s="307">
        <f t="shared" si="31"/>
        <v>0</v>
      </c>
      <c r="AE35" s="308" t="str">
        <f t="shared" si="32"/>
        <v/>
      </c>
      <c r="AF35" s="163" t="str">
        <f t="shared" si="13"/>
        <v/>
      </c>
      <c r="AG35" s="163" t="str">
        <f t="shared" si="14"/>
        <v/>
      </c>
      <c r="AH35" s="163" t="str">
        <f t="shared" si="15"/>
        <v/>
      </c>
      <c r="AJ35" s="165" t="str">
        <f t="shared" si="16"/>
        <v/>
      </c>
      <c r="AK35" s="180" t="s">
        <v>49</v>
      </c>
      <c r="AM35" s="179"/>
      <c r="AN35" s="179"/>
      <c r="AP35" s="166" t="str">
        <f t="shared" si="18"/>
        <v/>
      </c>
      <c r="AQ35" s="166" t="str">
        <f t="shared" si="19"/>
        <v/>
      </c>
      <c r="AR35" s="166" t="str">
        <f t="shared" si="20"/>
        <v/>
      </c>
      <c r="AS35" s="162" t="str">
        <f>IFERROR(VLOOKUP(B35,Increment!$B$5:$D$39,2,)*2,"")</f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IF($J$1="Active",IF(Salary_Master_1!B36="","",_xlfn.IFS(Salary_Master_1!M36="Working",IF(Salary_Master_1!H36&lt;=DATE(2025,6,30),Salary_Master_1!B36,""),Salary_Master_1!M36="Left",IF(Salary_Master_1!N36&gt;DATE(2025,5,31),Salary_Master_1!B36,""))),"")</f>
        <v/>
      </c>
      <c r="C36" s="304">
        <v>31</v>
      </c>
      <c r="D36" s="305" t="str">
        <f t="shared" si="21"/>
        <v/>
      </c>
      <c r="E36" s="177"/>
      <c r="F36" s="177"/>
      <c r="G36" s="177"/>
      <c r="H36" s="305" t="str">
        <f t="shared" si="22"/>
        <v/>
      </c>
      <c r="I36" s="177"/>
      <c r="J36" s="177"/>
      <c r="K36" s="158" t="str">
        <f t="shared" si="1"/>
        <v/>
      </c>
      <c r="L36" s="158" t="str">
        <f t="shared" si="2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3"/>
        <v>0</v>
      </c>
      <c r="W36" s="160">
        <f t="shared" si="24"/>
        <v>0</v>
      </c>
      <c r="X36" s="160">
        <f t="shared" si="25"/>
        <v>0</v>
      </c>
      <c r="Y36" s="160">
        <f t="shared" si="26"/>
        <v>0</v>
      </c>
      <c r="Z36" s="160">
        <f t="shared" si="27"/>
        <v>0</v>
      </c>
      <c r="AA36" s="160">
        <f t="shared" si="28"/>
        <v>0</v>
      </c>
      <c r="AB36" s="160">
        <f t="shared" si="29"/>
        <v>0</v>
      </c>
      <c r="AC36" s="160">
        <f t="shared" si="30"/>
        <v>0</v>
      </c>
      <c r="AD36" s="307">
        <f t="shared" si="31"/>
        <v>0</v>
      </c>
      <c r="AE36" s="308" t="str">
        <f t="shared" si="32"/>
        <v/>
      </c>
      <c r="AF36" s="163" t="str">
        <f t="shared" si="13"/>
        <v/>
      </c>
      <c r="AG36" s="163" t="str">
        <f t="shared" si="14"/>
        <v/>
      </c>
      <c r="AH36" s="163" t="str">
        <f t="shared" si="15"/>
        <v/>
      </c>
      <c r="AJ36" s="165" t="str">
        <f t="shared" si="16"/>
        <v/>
      </c>
      <c r="AK36" s="180" t="str">
        <f t="shared" si="17"/>
        <v/>
      </c>
      <c r="AM36" s="179"/>
      <c r="AN36" s="179"/>
      <c r="AP36" s="166" t="str">
        <f t="shared" si="18"/>
        <v/>
      </c>
      <c r="AQ36" s="166" t="str">
        <f t="shared" si="19"/>
        <v/>
      </c>
      <c r="AR36" s="166" t="str">
        <f t="shared" si="20"/>
        <v/>
      </c>
      <c r="AS36" s="162" t="str">
        <f>IFERROR(VLOOKUP(B36,Increment!$B$5:$D$39,2,)*2,"")</f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IF($J$1="Active",IF(Salary_Master_1!B37="","",_xlfn.IFS(Salary_Master_1!M37="Working",IF(Salary_Master_1!H37&lt;=DATE(2025,6,30),Salary_Master_1!B37,""),Salary_Master_1!M37="Left",IF(Salary_Master_1!N37&gt;DATE(2025,5,31),Salary_Master_1!B37,""))),"")</f>
        <v/>
      </c>
      <c r="C37" s="304">
        <v>31</v>
      </c>
      <c r="D37" s="305" t="str">
        <f t="shared" si="21"/>
        <v/>
      </c>
      <c r="E37" s="177"/>
      <c r="F37" s="177"/>
      <c r="G37" s="177"/>
      <c r="H37" s="305" t="str">
        <f t="shared" si="22"/>
        <v/>
      </c>
      <c r="I37" s="177"/>
      <c r="J37" s="177"/>
      <c r="K37" s="158" t="str">
        <f t="shared" si="1"/>
        <v/>
      </c>
      <c r="L37" s="158" t="str">
        <f t="shared" si="2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3"/>
        <v>0</v>
      </c>
      <c r="W37" s="160">
        <f t="shared" si="24"/>
        <v>0</v>
      </c>
      <c r="X37" s="160">
        <f t="shared" si="25"/>
        <v>0</v>
      </c>
      <c r="Y37" s="160">
        <f t="shared" si="26"/>
        <v>0</v>
      </c>
      <c r="Z37" s="160">
        <f t="shared" si="27"/>
        <v>0</v>
      </c>
      <c r="AA37" s="160">
        <f t="shared" si="28"/>
        <v>0</v>
      </c>
      <c r="AB37" s="160">
        <f t="shared" si="29"/>
        <v>0</v>
      </c>
      <c r="AC37" s="160">
        <f t="shared" si="30"/>
        <v>0</v>
      </c>
      <c r="AD37" s="307">
        <f t="shared" si="31"/>
        <v>0</v>
      </c>
      <c r="AE37" s="308" t="str">
        <f t="shared" si="32"/>
        <v/>
      </c>
      <c r="AF37" s="163" t="str">
        <f t="shared" si="13"/>
        <v/>
      </c>
      <c r="AG37" s="163" t="str">
        <f t="shared" si="14"/>
        <v/>
      </c>
      <c r="AH37" s="163" t="str">
        <f t="shared" si="15"/>
        <v/>
      </c>
      <c r="AJ37" s="165" t="str">
        <f t="shared" si="16"/>
        <v/>
      </c>
      <c r="AK37" s="180" t="str">
        <f t="shared" si="17"/>
        <v/>
      </c>
      <c r="AM37" s="179"/>
      <c r="AN37" s="179"/>
      <c r="AP37" s="166" t="str">
        <f t="shared" si="18"/>
        <v/>
      </c>
      <c r="AQ37" s="166" t="str">
        <f t="shared" si="19"/>
        <v/>
      </c>
      <c r="AR37" s="166" t="str">
        <f t="shared" si="20"/>
        <v/>
      </c>
      <c r="AS37" s="162" t="str">
        <f>IFERROR(VLOOKUP(B37,Increment!$B$5:$D$39,2,)*2,"")</f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IF($J$1="Active",IF(Salary_Master_1!B38="","",_xlfn.IFS(Salary_Master_1!M38="Working",IF(Salary_Master_1!H38&lt;=DATE(2025,6,30),Salary_Master_1!B38,""),Salary_Master_1!M38="Left",IF(Salary_Master_1!N38&gt;DATE(2025,5,31),Salary_Master_1!B38,""))),"")</f>
        <v/>
      </c>
      <c r="C38" s="304">
        <v>31</v>
      </c>
      <c r="D38" s="305" t="str">
        <f t="shared" si="21"/>
        <v/>
      </c>
      <c r="E38" s="177"/>
      <c r="F38" s="177"/>
      <c r="G38" s="177"/>
      <c r="H38" s="305" t="str">
        <f t="shared" si="22"/>
        <v/>
      </c>
      <c r="I38" s="177"/>
      <c r="J38" s="177"/>
      <c r="K38" s="158" t="str">
        <f t="shared" si="1"/>
        <v/>
      </c>
      <c r="L38" s="158" t="str">
        <f t="shared" si="2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3"/>
        <v>0</v>
      </c>
      <c r="W38" s="160">
        <f t="shared" si="24"/>
        <v>0</v>
      </c>
      <c r="X38" s="160">
        <f t="shared" si="25"/>
        <v>0</v>
      </c>
      <c r="Y38" s="160">
        <f t="shared" si="26"/>
        <v>0</v>
      </c>
      <c r="Z38" s="160">
        <f t="shared" si="27"/>
        <v>0</v>
      </c>
      <c r="AA38" s="160">
        <f t="shared" si="28"/>
        <v>0</v>
      </c>
      <c r="AB38" s="160">
        <f t="shared" si="29"/>
        <v>0</v>
      </c>
      <c r="AC38" s="160">
        <f t="shared" si="30"/>
        <v>0</v>
      </c>
      <c r="AD38" s="307">
        <f t="shared" si="31"/>
        <v>0</v>
      </c>
      <c r="AE38" s="308" t="str">
        <f t="shared" si="32"/>
        <v/>
      </c>
      <c r="AF38" s="163" t="str">
        <f t="shared" si="13"/>
        <v/>
      </c>
      <c r="AG38" s="163" t="str">
        <f t="shared" si="14"/>
        <v/>
      </c>
      <c r="AH38" s="163" t="str">
        <f t="shared" si="15"/>
        <v/>
      </c>
      <c r="AJ38" s="165" t="str">
        <f t="shared" si="16"/>
        <v/>
      </c>
      <c r="AK38" s="180" t="str">
        <f t="shared" si="17"/>
        <v/>
      </c>
      <c r="AM38" s="179"/>
      <c r="AN38" s="179"/>
      <c r="AP38" s="166" t="str">
        <f t="shared" si="18"/>
        <v/>
      </c>
      <c r="AQ38" s="166" t="str">
        <f t="shared" si="19"/>
        <v/>
      </c>
      <c r="AR38" s="166" t="str">
        <f t="shared" si="20"/>
        <v/>
      </c>
      <c r="AS38" s="162" t="str">
        <f>IFERROR(VLOOKUP(B38,Increment!$B$5:$D$39,2,)*2,"")</f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IF($J$1="Active",IF(Salary_Master_1!B39="","",_xlfn.IFS(Salary_Master_1!M39="Working",IF(Salary_Master_1!H39&lt;=DATE(2025,6,30),Salary_Master_1!B39,""),Salary_Master_1!M39="Left",IF(Salary_Master_1!N39&gt;DATE(2025,5,31),Salary_Master_1!B39,""))),"")</f>
        <v/>
      </c>
      <c r="C39" s="309">
        <v>31</v>
      </c>
      <c r="D39" s="310" t="str">
        <f t="shared" si="21"/>
        <v/>
      </c>
      <c r="E39" s="311"/>
      <c r="F39" s="311"/>
      <c r="G39" s="311"/>
      <c r="H39" s="310" t="str">
        <f t="shared" si="22"/>
        <v/>
      </c>
      <c r="I39" s="311"/>
      <c r="J39" s="311"/>
      <c r="K39" s="158" t="str">
        <f t="shared" si="1"/>
        <v/>
      </c>
      <c r="L39" s="158" t="str">
        <f t="shared" si="2"/>
        <v/>
      </c>
      <c r="M39" s="313"/>
      <c r="N39" s="169" t="str">
        <f t="shared" si="3"/>
        <v/>
      </c>
      <c r="O39" s="170" t="str">
        <f t="shared" si="4"/>
        <v/>
      </c>
      <c r="P39" s="170" t="str">
        <f t="shared" si="5"/>
        <v/>
      </c>
      <c r="Q39" s="170" t="str">
        <f t="shared" si="6"/>
        <v/>
      </c>
      <c r="R39" s="170" t="str">
        <f t="shared" si="7"/>
        <v/>
      </c>
      <c r="S39" s="170" t="str">
        <f t="shared" si="8"/>
        <v/>
      </c>
      <c r="T39" s="170" t="str">
        <f t="shared" si="9"/>
        <v/>
      </c>
      <c r="U39" s="170" t="str">
        <f t="shared" si="10"/>
        <v/>
      </c>
      <c r="V39" s="316">
        <f t="shared" si="23"/>
        <v>0</v>
      </c>
      <c r="W39" s="297">
        <f t="shared" si="24"/>
        <v>0</v>
      </c>
      <c r="X39" s="297">
        <f t="shared" si="25"/>
        <v>0</v>
      </c>
      <c r="Y39" s="297">
        <f t="shared" si="26"/>
        <v>0</v>
      </c>
      <c r="Z39" s="297">
        <f t="shared" si="27"/>
        <v>0</v>
      </c>
      <c r="AA39" s="297">
        <f t="shared" si="28"/>
        <v>0</v>
      </c>
      <c r="AB39" s="297">
        <f t="shared" si="29"/>
        <v>0</v>
      </c>
      <c r="AC39" s="297">
        <f t="shared" si="30"/>
        <v>0</v>
      </c>
      <c r="AD39" s="317">
        <f t="shared" si="31"/>
        <v>0</v>
      </c>
      <c r="AE39" s="318" t="str">
        <f t="shared" si="32"/>
        <v/>
      </c>
      <c r="AF39" s="163" t="str">
        <f t="shared" si="13"/>
        <v/>
      </c>
      <c r="AG39" s="163" t="str">
        <f t="shared" si="14"/>
        <v/>
      </c>
      <c r="AH39" s="163" t="str">
        <f t="shared" si="15"/>
        <v/>
      </c>
      <c r="AJ39" s="165" t="str">
        <f t="shared" si="16"/>
        <v/>
      </c>
      <c r="AK39" s="180" t="str">
        <f t="shared" si="17"/>
        <v/>
      </c>
      <c r="AM39" s="179"/>
      <c r="AN39" s="179"/>
      <c r="AP39" s="166" t="str">
        <f t="shared" si="18"/>
        <v/>
      </c>
      <c r="AQ39" s="166" t="str">
        <f t="shared" si="19"/>
        <v/>
      </c>
      <c r="AR39" s="166" t="str">
        <f t="shared" si="20"/>
        <v/>
      </c>
      <c r="AS39" s="162" t="str">
        <f>IFERROR(VLOOKUP(B39,Increment!$B$5:$D$39,2,)*2,"")</f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1250300</v>
      </c>
      <c r="W40" s="183">
        <f t="shared" ref="W40:AD40" si="33">SUM(W5:W39)</f>
        <v>25200</v>
      </c>
      <c r="X40" s="183">
        <f t="shared" si="33"/>
        <v>21600</v>
      </c>
      <c r="Y40" s="183">
        <f t="shared" si="33"/>
        <v>442</v>
      </c>
      <c r="Z40" s="183">
        <f t="shared" si="33"/>
        <v>650</v>
      </c>
      <c r="AA40" s="183">
        <f t="shared" si="33"/>
        <v>5400</v>
      </c>
      <c r="AB40" s="183">
        <f t="shared" si="33"/>
        <v>32000</v>
      </c>
      <c r="AC40" s="183">
        <f t="shared" si="33"/>
        <v>0</v>
      </c>
      <c r="AD40" s="183">
        <f t="shared" si="33"/>
        <v>1165008</v>
      </c>
      <c r="AE40" s="208">
        <v>811864</v>
      </c>
      <c r="AF40" s="200"/>
      <c r="AG40" s="201" t="s">
        <v>89</v>
      </c>
      <c r="AH40" s="201" t="s">
        <v>89</v>
      </c>
      <c r="AI40" s="185" t="s">
        <v>89</v>
      </c>
      <c r="AJ40" s="198"/>
      <c r="AK40" s="186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sheetProtection algorithmName="SHA-512" hashValue="wic3jQ6DehNKgp1qBa9eydSBNMGew65nlUweYAx7dmldq6cT54xjWrhc0ka9JYO6AAWSstIgWoFAiZxca1TWQg==" saltValue="7q+8N1KxOrh3wN0bc1tf1A==" spinCount="100000" sheet="1" objects="1" scenarios="1"/>
  <mergeCells count="3">
    <mergeCell ref="J1:K1"/>
    <mergeCell ref="AP2:AR2"/>
    <mergeCell ref="A40:U40"/>
  </mergeCells>
  <conditionalFormatting sqref="H5:H39">
    <cfRule type="cellIs" dxfId="29" priority="2" operator="greaterThan">
      <formula>32</formula>
    </cfRule>
    <cfRule type="cellIs" dxfId="28" priority="3" operator="greaterThan">
      <formula>31</formula>
    </cfRule>
  </conditionalFormatting>
  <conditionalFormatting sqref="H5:H39">
    <cfRule type="cellIs" dxfId="27" priority="1" operator="greaterThan">
      <formula>32</formula>
    </cfRule>
  </conditionalFormatting>
  <dataValidations count="6">
    <dataValidation type="list" allowBlank="1" showInputMessage="1" showErrorMessage="1" sqref="J1:K1" xr:uid="{10C54AD3-64F2-430B-8362-E9CBF618E60C}">
      <formula1>"Active,Non-Active"</formula1>
    </dataValidation>
    <dataValidation type="list" allowBlank="1" showInputMessage="1" showErrorMessage="1" sqref="AK5:AK39 AL40 M5:M39" xr:uid="{2431F517-F98E-4EC8-9D4A-205B06D6DB67}">
      <formula1>"Yes,No"</formula1>
    </dataValidation>
    <dataValidation type="list" allowBlank="1" sqref="K5:L39" xr:uid="{97D857DC-BB2A-4EAD-88DB-5B5A243241C7}">
      <formula1>"Yes,No"</formula1>
    </dataValidation>
    <dataValidation type="custom" allowBlank="1" showInputMessage="1" showErrorMessage="1" errorTitle="Below Limit !!!" error="Total leaves are going negative if this value is entered. Try to enter less value." sqref="G5:G39" xr:uid="{37977F98-7FFC-4EF6-983A-104404B5B68F}">
      <formula1>$AP5&lt;=7</formula1>
    </dataValidation>
    <dataValidation type="custom" allowBlank="1" showInputMessage="1" showErrorMessage="1" errorTitle="Below Limit !!!" error="Total leaves are going negative if this value is entered. Try to enter less value." sqref="F5:F39" xr:uid="{7DA02226-CD47-4565-B68F-0D6E77BC524F}">
      <formula1>$AO5&lt;=7</formula1>
    </dataValidation>
    <dataValidation type="custom" allowBlank="1" showInputMessage="1" showErrorMessage="1" errorTitle="Below Limit !!!" error="Total leaves are going negative if this value is entered. Try to enter less value." sqref="E5:E39" xr:uid="{B643433A-8F85-435C-A725-08CA6966E464}">
      <formula1>$AN5&lt;=7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CDD45-A644-42CE-A10D-E5BE29811025}">
  <sheetPr codeName="Sheet38">
    <tabColor rgb="FF92D050"/>
  </sheetPr>
  <dimension ref="A1:AT40"/>
  <sheetViews>
    <sheetView workbookViewId="0">
      <pane xSplit="13" ySplit="4" topLeftCell="AB5" activePane="bottomRight" state="frozen"/>
      <selection activeCell="J1" sqref="J1:K1"/>
      <selection pane="topRight" activeCell="J1" sqref="J1:K1"/>
      <selection pane="bottomLeft" activeCell="J1" sqref="J1:K1"/>
      <selection pane="bottomRight" activeCell="AO12" sqref="AO12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3320312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.109375" style="133" bestFit="1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9.77734375" style="135" bestFit="1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99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197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IF($J$1="Active",IF(Salary_Master_2!B5="","",_xlfn.IFS(Salary_Master_2!M5="Working",IF(Salary_Master_2!H5&lt;=DATE(2025,7,31),Salary_Master_2!B5,""),Salary_Master_2!M5="Left",IF(Salary_Master_2!N5&gt;DATE(2025,6,30),Salary_Master_2!B5,""))),"")</f>
        <v>Munna Prasad Vishwakarma</v>
      </c>
      <c r="C5" s="156">
        <v>31</v>
      </c>
      <c r="D5" s="157">
        <f>IF($J$1="Active",IF(B5="","",C5-SUM(E5:G5)-I5),"")</f>
        <v>31</v>
      </c>
      <c r="E5" s="175"/>
      <c r="F5" s="175"/>
      <c r="G5" s="175"/>
      <c r="H5" s="157">
        <f t="shared" ref="H5" si="0">IF(SUM(D5:G5)=0,"",SUM(D5:G5))</f>
        <v>31</v>
      </c>
      <c r="I5" s="176"/>
      <c r="J5" s="176"/>
      <c r="K5" s="158" t="str">
        <f t="shared" ref="K5:K39" si="1">IF($J$1="Active",IF(B5="","",VLOOKUP(B5,Salary_Master_2,14,FALSE)),"")</f>
        <v>No</v>
      </c>
      <c r="L5" s="158" t="str">
        <f t="shared" ref="L5:L39" si="2">IF($J$1="Active",IF(B5="","",VLOOKUP(B5,Salary_Master_2,15,FALSE)),"")</f>
        <v>No</v>
      </c>
      <c r="M5" s="159"/>
      <c r="N5" s="169">
        <f t="shared" ref="N5:N39" si="3">IFERROR(ROUND(IF($B5="","",SUM(VLOOKUP($B5,Salary_Master_2,17,FALSE)/31*$H5)),0),"")</f>
        <v>20000</v>
      </c>
      <c r="O5" s="170">
        <f t="shared" ref="O5:O39" si="4">IFERROR(ROUND(IF($B5="","",SUM(VLOOKUP($B5,Salary_Master_2,18,FALSE)/31*$H5)),0),"")</f>
        <v>10000</v>
      </c>
      <c r="P5" s="170">
        <f t="shared" ref="P5:P39" si="5">IFERROR(ROUND(IF($B5="","",SUM(VLOOKUP($B5,Salary_Master_2,19,FALSE)/31*$H5)),0),"")</f>
        <v>1600</v>
      </c>
      <c r="Q5" s="170">
        <f t="shared" ref="Q5:Q39" si="6">IFERROR(ROUND(IF($B5="","",SUM(VLOOKUP($B5,Salary_Master_2,20,FALSE)/31*$H5)),0),"")</f>
        <v>1667</v>
      </c>
      <c r="R5" s="170">
        <f t="shared" ref="R5:R39" si="7">IFERROR(ROUND(IF($B5="","",SUM(VLOOKUP($B5,Salary_Master_2,21,FALSE)/31*$H5)),0),"")</f>
        <v>44733</v>
      </c>
      <c r="S5" s="170">
        <f>IF(B5="","",IF(B5="Sagar Kadam",0,IF(B5="Rahul Jadhav",0,IF(B5="Waman Bandekar",(1800/31*D5),ROUND(IF(K5="Yes",IF((SUM(N5:R5)-O5)*12%&gt;1800,1800,(SUM(N5:R5)-O5)*12%),0),0)))))</f>
        <v>0</v>
      </c>
      <c r="T5" s="170">
        <f>S5</f>
        <v>0</v>
      </c>
      <c r="U5" s="170">
        <f>IF(B5="","",IF(B5="Sagar Kadam",0,IF(B5="Rahul Jadhav",0,IF(B5="Waman Bandekar",(650/31*D5),ROUND(IF(L5="Yes",SUM(N5:R5)*3.25%,0),0)))))</f>
        <v>0</v>
      </c>
      <c r="V5" s="261">
        <f>ROUND(SUM(N5:U5),0)</f>
        <v>78000</v>
      </c>
      <c r="W5" s="161">
        <f t="shared" ref="W5:W32" si="8">IF(B5="Sagar Kadam",1800,IF(B5="Rahul Jadhav",1800,S5))</f>
        <v>0</v>
      </c>
      <c r="X5" s="160">
        <f>T5</f>
        <v>0</v>
      </c>
      <c r="Y5" s="161">
        <f>IF(B5="","",ROUND(IF(L5="Yes",V5*0.75%,0),0))</f>
        <v>0</v>
      </c>
      <c r="Z5" s="160">
        <f>U5</f>
        <v>0</v>
      </c>
      <c r="AA5" s="161">
        <f t="shared" ref="AA5" si="9">IF(AE5="Female",IF(V5&gt;24999,200,0),IF(V5&gt;7500,200,0))</f>
        <v>200</v>
      </c>
      <c r="AB5" s="161">
        <f>AM5</f>
        <v>0</v>
      </c>
      <c r="AC5" s="161">
        <f>AN5</f>
        <v>0</v>
      </c>
      <c r="AD5" s="264">
        <f>ROUND(V5-SUM(W5:AC5),0)</f>
        <v>77800</v>
      </c>
      <c r="AE5" s="303" t="str">
        <f t="shared" ref="AE5:AE39" si="10">IF(B5="","",VLOOKUP(B5,Salary_Master_2,8,FALSE))</f>
        <v>Male</v>
      </c>
      <c r="AF5" s="164">
        <f t="shared" ref="AF5:AF39" si="11">IFERROR(IF($J$1="Non-Active","",IF(VLOOKUP($B5,Junn25,36,FALSE)="No",IF($AK5="Yes",MROUND($AJ5/3,0.5)-$E5,""),IF(VLOOKUP($B5,Junn25,36,FALSE)="Yes",(VLOOKUP($B5,Junn25,31,FALSE)-$E5),""))),"")</f>
        <v>0</v>
      </c>
      <c r="AG5" s="164">
        <f t="shared" ref="AG5:AG39" si="12">IFERROR(IF($J$1="Non-Active","",IF(VLOOKUP($B5,Junn25,36,FALSE)="No",IF($AK5="Yes",MROUND($AJ5/3,0.5)-$F5,""),IF(VLOOKUP($B5,Junn25,36,FALSE)="Yes",(VLOOKUP($B5,Junn25,32,FALSE)-$F5),""))),"")</f>
        <v>0</v>
      </c>
      <c r="AH5" s="164">
        <f t="shared" ref="AH5:AH39" si="13">IFERROR(IF($J$1="Non-Active","",IF(VLOOKUP($B5,Junn25,36,FALSE)="No",IF($AK5="Yes",($AJ5-(AF5+AG5)-(E5+F5))-$G5,""),IF(VLOOKUP($B5,Junn25,36,FALSE)="Yes",(VLOOKUP($B5,Junn25,33,FALSE)-$G5),""))),"")</f>
        <v>5</v>
      </c>
      <c r="AJ5" s="165" t="str">
        <f t="shared" ref="AJ5:AJ39" si="14">IF(AK5="Yes",IF(VLOOKUP($B5,Junn25,36,FALSE)="No",MROUND(SUM(21/12*9),0.5),""),"")</f>
        <v/>
      </c>
      <c r="AK5" s="287" t="str">
        <f t="shared" ref="AK5:AK39" si="15">IF($J$1="Non-Active","",IF($B5="","",VLOOKUP($B5,Junn25,36,FALSE)))</f>
        <v>Yes</v>
      </c>
      <c r="AM5" s="179"/>
      <c r="AN5" s="179"/>
      <c r="AP5" s="166">
        <f t="shared" ref="AP5:AP39" si="16">IFERROR(IF($B5="","",(VLOOKUP($B5,Aprr25,4,FALSE)+VLOOKUP($B5,Mayy25,4,FALSE)+VLOOKUP($B5,Junn25,4,FALSE)+VLOOKUP($B5,Jull25,4,FALSE))),0)</f>
        <v>7</v>
      </c>
      <c r="AQ5" s="166">
        <f t="shared" ref="AQ5:AQ39" si="17">IFERROR(IF($B5="","",(VLOOKUP($B5,Aprr25,5,FALSE)+VLOOKUP($B5,Mayy25,5,FALSE)+VLOOKUP($B5,Junn25,5,FALSE)+VLOOKUP($B5,Jull25,5,FALSE))),0)</f>
        <v>7</v>
      </c>
      <c r="AR5" s="166">
        <f t="shared" ref="AR5:AR39" si="18">IFERROR(IF($B5="","",(VLOOKUP($B5,Aprr25,6,FALSE)+VLOOKUP($B5,Mayy25,6,FALSE)+VLOOKUP($B5,Junn25,6,FALSE)+VLOOKUP($B5,Jull25,6,FALSE))),0)</f>
        <v>2</v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IF($J$1="Active",IF(Salary_Master_2!B6="","",_xlfn.IFS(Salary_Master_2!M6="Working",IF(Salary_Master_2!H6&lt;=DATE(2025,7,31),Salary_Master_2!B6,""),Salary_Master_2!M6="Left",IF(Salary_Master_2!N6&gt;DATE(2025,6,30),Salary_Master_2!B6,""))),"")</f>
        <v>Ramesh Poojari</v>
      </c>
      <c r="C6" s="304">
        <v>31</v>
      </c>
      <c r="D6" s="305">
        <f t="shared" ref="D6:D39" si="19">IF($J$1="Active",IF(B6="","",C6-SUM(E6:G6)-I6),"")</f>
        <v>31</v>
      </c>
      <c r="E6" s="177"/>
      <c r="F6" s="177"/>
      <c r="G6" s="177"/>
      <c r="H6" s="305">
        <f t="shared" ref="H6:H39" si="20">IF(SUM(D6:G6)=0,"",SUM(D6:G6))</f>
        <v>31</v>
      </c>
      <c r="I6" s="177"/>
      <c r="J6" s="177"/>
      <c r="K6" s="158" t="str">
        <f t="shared" si="1"/>
        <v>No</v>
      </c>
      <c r="L6" s="158" t="str">
        <f t="shared" si="2"/>
        <v>No</v>
      </c>
      <c r="M6" s="168"/>
      <c r="N6" s="169">
        <f t="shared" si="3"/>
        <v>11500</v>
      </c>
      <c r="O6" s="170">
        <f t="shared" si="4"/>
        <v>4600</v>
      </c>
      <c r="P6" s="170">
        <f t="shared" si="5"/>
        <v>1600</v>
      </c>
      <c r="Q6" s="170">
        <f t="shared" si="6"/>
        <v>958</v>
      </c>
      <c r="R6" s="170">
        <f t="shared" si="7"/>
        <v>18842</v>
      </c>
      <c r="S6" s="170">
        <f t="shared" ref="S6:S39" si="21">IF(B6="","",IF(B6="Sagar Kadam",0,IF(B6="Rahul Jadhav",0,IF(B6="Waman Bandekar",(1800/31*D6),ROUND(IF(K6="Yes",IF((SUM(N6:R6)-O6)*12%&gt;1800,1800,(SUM(N6:R6)-O6)*12%),0),0)))))</f>
        <v>0</v>
      </c>
      <c r="T6" s="170">
        <f t="shared" ref="T6:T39" si="22">S6</f>
        <v>0</v>
      </c>
      <c r="U6" s="170">
        <f t="shared" ref="U6:U39" si="23">IF(B6="","",IF(B6="Sagar Kadam",0,IF(B6="Rahul Jadhav",0,IF(B6="Waman Bandekar",(650/31*D6),ROUND(IF(L6="Yes",SUM(N6:R6)*3.25%,0),0)))))</f>
        <v>0</v>
      </c>
      <c r="V6" s="262">
        <f t="shared" ref="V6:V39" si="24">ROUND(SUM(N6:U6),0)</f>
        <v>37500</v>
      </c>
      <c r="W6" s="160">
        <f t="shared" si="8"/>
        <v>0</v>
      </c>
      <c r="X6" s="160">
        <f t="shared" ref="X6:X39" si="25">T6</f>
        <v>0</v>
      </c>
      <c r="Y6" s="160">
        <f t="shared" ref="Y6:Y39" si="26">IF(B6="","",ROUND(IF(L6="Yes",V6*0.75%,0),0))</f>
        <v>0</v>
      </c>
      <c r="Z6" s="160">
        <f t="shared" ref="Z6:Z39" si="27">U6</f>
        <v>0</v>
      </c>
      <c r="AA6" s="160">
        <f t="shared" ref="AA6:AA39" si="28">IF(AE6="Female",IF(V6&gt;24999,200,0),IF(V6&gt;7500,200,0))</f>
        <v>200</v>
      </c>
      <c r="AB6" s="160">
        <f t="shared" ref="AB6:AB39" si="29">AM6</f>
        <v>0</v>
      </c>
      <c r="AC6" s="160">
        <f t="shared" ref="AC6:AC39" si="30">AN6</f>
        <v>0</v>
      </c>
      <c r="AD6" s="307">
        <f t="shared" ref="AD6:AD39" si="31">ROUND(V6-SUM(W6:AC6),0)</f>
        <v>37300</v>
      </c>
      <c r="AE6" s="303" t="str">
        <f t="shared" si="10"/>
        <v>Male</v>
      </c>
      <c r="AF6" s="163">
        <f t="shared" si="11"/>
        <v>1</v>
      </c>
      <c r="AG6" s="163">
        <f t="shared" si="12"/>
        <v>7</v>
      </c>
      <c r="AH6" s="163">
        <f t="shared" si="13"/>
        <v>7</v>
      </c>
      <c r="AJ6" s="165" t="str">
        <f t="shared" si="14"/>
        <v/>
      </c>
      <c r="AK6" s="180" t="str">
        <f t="shared" si="15"/>
        <v>Yes</v>
      </c>
      <c r="AM6" s="179"/>
      <c r="AN6" s="179"/>
      <c r="AP6" s="166">
        <f t="shared" si="16"/>
        <v>6</v>
      </c>
      <c r="AQ6" s="166">
        <f t="shared" si="17"/>
        <v>0</v>
      </c>
      <c r="AR6" s="166">
        <f t="shared" si="18"/>
        <v>0</v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IF($J$1="Active",IF(Salary_Master_2!B7="","",_xlfn.IFS(Salary_Master_2!M7="Working",IF(Salary_Master_2!H7&lt;=DATE(2025,7,31),Salary_Master_2!B7,""),Salary_Master_2!M7="Left",IF(Salary_Master_2!N7&gt;DATE(2025,6,30),Salary_Master_2!B7,""))),"")</f>
        <v>Rajan Fernandes</v>
      </c>
      <c r="C7" s="304">
        <v>31</v>
      </c>
      <c r="D7" s="305">
        <f t="shared" si="19"/>
        <v>31</v>
      </c>
      <c r="E7" s="177"/>
      <c r="F7" s="177"/>
      <c r="G7" s="177"/>
      <c r="H7" s="305">
        <f t="shared" si="20"/>
        <v>31</v>
      </c>
      <c r="I7" s="177"/>
      <c r="J7" s="177"/>
      <c r="K7" s="158" t="str">
        <f t="shared" si="1"/>
        <v>No</v>
      </c>
      <c r="L7" s="158" t="str">
        <f t="shared" si="2"/>
        <v>No</v>
      </c>
      <c r="M7" s="168"/>
      <c r="N7" s="169">
        <f t="shared" si="3"/>
        <v>20000</v>
      </c>
      <c r="O7" s="170">
        <f t="shared" si="4"/>
        <v>10000</v>
      </c>
      <c r="P7" s="170">
        <f t="shared" si="5"/>
        <v>1600</v>
      </c>
      <c r="Q7" s="170">
        <f t="shared" si="6"/>
        <v>1667</v>
      </c>
      <c r="R7" s="170">
        <f t="shared" si="7"/>
        <v>27233</v>
      </c>
      <c r="S7" s="170">
        <f t="shared" si="21"/>
        <v>0</v>
      </c>
      <c r="T7" s="170">
        <f t="shared" si="22"/>
        <v>0</v>
      </c>
      <c r="U7" s="170">
        <f t="shared" si="23"/>
        <v>0</v>
      </c>
      <c r="V7" s="262">
        <f t="shared" si="24"/>
        <v>60500</v>
      </c>
      <c r="W7" s="160">
        <f t="shared" si="8"/>
        <v>0</v>
      </c>
      <c r="X7" s="160">
        <f t="shared" si="25"/>
        <v>0</v>
      </c>
      <c r="Y7" s="160">
        <f t="shared" si="26"/>
        <v>0</v>
      </c>
      <c r="Z7" s="160">
        <f t="shared" si="27"/>
        <v>0</v>
      </c>
      <c r="AA7" s="160">
        <f t="shared" si="28"/>
        <v>200</v>
      </c>
      <c r="AB7" s="160">
        <f t="shared" si="29"/>
        <v>0</v>
      </c>
      <c r="AC7" s="160">
        <f t="shared" si="30"/>
        <v>0</v>
      </c>
      <c r="AD7" s="307">
        <f t="shared" si="31"/>
        <v>60300</v>
      </c>
      <c r="AE7" s="303" t="str">
        <f t="shared" si="10"/>
        <v>Male</v>
      </c>
      <c r="AF7" s="163">
        <f t="shared" si="11"/>
        <v>-3</v>
      </c>
      <c r="AG7" s="163">
        <f t="shared" si="12"/>
        <v>7</v>
      </c>
      <c r="AH7" s="163">
        <f t="shared" si="13"/>
        <v>7</v>
      </c>
      <c r="AJ7" s="165" t="str">
        <f t="shared" si="14"/>
        <v/>
      </c>
      <c r="AK7" s="180" t="str">
        <f t="shared" si="15"/>
        <v>Yes</v>
      </c>
      <c r="AM7" s="179"/>
      <c r="AN7" s="179"/>
      <c r="AP7" s="166">
        <f t="shared" si="16"/>
        <v>10</v>
      </c>
      <c r="AQ7" s="166">
        <f t="shared" si="17"/>
        <v>0</v>
      </c>
      <c r="AR7" s="166">
        <f t="shared" si="18"/>
        <v>0</v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IF($J$1="Active",IF(Salary_Master_2!B8="","",_xlfn.IFS(Salary_Master_2!M8="Working",IF(Salary_Master_2!H8&lt;=DATE(2025,7,31),Salary_Master_2!B8,""),Salary_Master_2!M8="Left",IF(Salary_Master_2!N8&gt;DATE(2025,6,30),Salary_Master_2!B8,""))),"")</f>
        <v>Sanjay Jadhav</v>
      </c>
      <c r="C8" s="304">
        <v>31</v>
      </c>
      <c r="D8" s="305">
        <f t="shared" si="19"/>
        <v>31</v>
      </c>
      <c r="E8" s="177"/>
      <c r="F8" s="177"/>
      <c r="G8" s="177"/>
      <c r="H8" s="305">
        <f t="shared" si="20"/>
        <v>31</v>
      </c>
      <c r="I8" s="177"/>
      <c r="J8" s="177"/>
      <c r="K8" s="158" t="str">
        <f t="shared" si="1"/>
        <v>Yes</v>
      </c>
      <c r="L8" s="158" t="str">
        <f t="shared" si="2"/>
        <v>No</v>
      </c>
      <c r="M8" s="168"/>
      <c r="N8" s="169">
        <f t="shared" si="3"/>
        <v>11500</v>
      </c>
      <c r="O8" s="170">
        <f t="shared" si="4"/>
        <v>4600</v>
      </c>
      <c r="P8" s="170">
        <f t="shared" si="5"/>
        <v>1600</v>
      </c>
      <c r="Q8" s="170">
        <f t="shared" si="6"/>
        <v>958</v>
      </c>
      <c r="R8" s="170">
        <f t="shared" si="7"/>
        <v>5742</v>
      </c>
      <c r="S8" s="170">
        <f t="shared" si="21"/>
        <v>1800</v>
      </c>
      <c r="T8" s="170">
        <f t="shared" si="22"/>
        <v>1800</v>
      </c>
      <c r="U8" s="170">
        <f t="shared" si="23"/>
        <v>0</v>
      </c>
      <c r="V8" s="262">
        <f t="shared" si="24"/>
        <v>28000</v>
      </c>
      <c r="W8" s="160">
        <f t="shared" si="8"/>
        <v>1800</v>
      </c>
      <c r="X8" s="160">
        <f t="shared" si="25"/>
        <v>1800</v>
      </c>
      <c r="Y8" s="160">
        <f t="shared" si="26"/>
        <v>0</v>
      </c>
      <c r="Z8" s="160">
        <f t="shared" si="27"/>
        <v>0</v>
      </c>
      <c r="AA8" s="160">
        <f t="shared" si="28"/>
        <v>200</v>
      </c>
      <c r="AB8" s="160">
        <f t="shared" si="29"/>
        <v>0</v>
      </c>
      <c r="AC8" s="160">
        <f t="shared" si="30"/>
        <v>0</v>
      </c>
      <c r="AD8" s="307">
        <f t="shared" si="31"/>
        <v>24200</v>
      </c>
      <c r="AE8" s="303" t="str">
        <f t="shared" si="10"/>
        <v>Male</v>
      </c>
      <c r="AF8" s="163">
        <f t="shared" si="11"/>
        <v>0</v>
      </c>
      <c r="AG8" s="163">
        <f t="shared" si="12"/>
        <v>0</v>
      </c>
      <c r="AH8" s="163">
        <f t="shared" si="13"/>
        <v>3.5</v>
      </c>
      <c r="AJ8" s="165" t="str">
        <f t="shared" si="14"/>
        <v/>
      </c>
      <c r="AK8" s="180" t="str">
        <f t="shared" si="15"/>
        <v>Yes</v>
      </c>
      <c r="AM8" s="179"/>
      <c r="AN8" s="179"/>
      <c r="AP8" s="166">
        <f t="shared" si="16"/>
        <v>7</v>
      </c>
      <c r="AQ8" s="166">
        <f t="shared" si="17"/>
        <v>7</v>
      </c>
      <c r="AR8" s="166">
        <f t="shared" si="18"/>
        <v>3.5</v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IF($J$1="Active",IF(Salary_Master_2!B9="","",_xlfn.IFS(Salary_Master_2!M9="Working",IF(Salary_Master_2!H9&lt;=DATE(2025,7,31),Salary_Master_2!B9,""),Salary_Master_2!M9="Left",IF(Salary_Master_2!N9&gt;DATE(2025,6,30),Salary_Master_2!B9,""))),"")</f>
        <v>Darshana Bhagat</v>
      </c>
      <c r="C9" s="304">
        <v>31</v>
      </c>
      <c r="D9" s="305">
        <f t="shared" si="19"/>
        <v>31</v>
      </c>
      <c r="E9" s="177"/>
      <c r="F9" s="177"/>
      <c r="G9" s="177"/>
      <c r="H9" s="305">
        <f t="shared" si="20"/>
        <v>31</v>
      </c>
      <c r="I9" s="177"/>
      <c r="J9" s="177"/>
      <c r="K9" s="158" t="str">
        <f t="shared" si="1"/>
        <v>No</v>
      </c>
      <c r="L9" s="158" t="str">
        <f t="shared" si="2"/>
        <v>No</v>
      </c>
      <c r="M9" s="168"/>
      <c r="N9" s="169">
        <f t="shared" si="3"/>
        <v>11500</v>
      </c>
      <c r="O9" s="170">
        <f t="shared" si="4"/>
        <v>4600</v>
      </c>
      <c r="P9" s="170">
        <f t="shared" si="5"/>
        <v>1600</v>
      </c>
      <c r="Q9" s="170">
        <f t="shared" si="6"/>
        <v>958</v>
      </c>
      <c r="R9" s="170">
        <f t="shared" si="7"/>
        <v>18842</v>
      </c>
      <c r="S9" s="170">
        <f t="shared" si="21"/>
        <v>0</v>
      </c>
      <c r="T9" s="170">
        <f t="shared" si="22"/>
        <v>0</v>
      </c>
      <c r="U9" s="170">
        <f t="shared" si="23"/>
        <v>0</v>
      </c>
      <c r="V9" s="262">
        <f t="shared" si="24"/>
        <v>37500</v>
      </c>
      <c r="W9" s="160">
        <f t="shared" si="8"/>
        <v>0</v>
      </c>
      <c r="X9" s="160">
        <f t="shared" si="25"/>
        <v>0</v>
      </c>
      <c r="Y9" s="160">
        <f t="shared" si="26"/>
        <v>0</v>
      </c>
      <c r="Z9" s="160">
        <f t="shared" si="27"/>
        <v>0</v>
      </c>
      <c r="AA9" s="160">
        <f t="shared" si="28"/>
        <v>200</v>
      </c>
      <c r="AB9" s="160">
        <f t="shared" si="29"/>
        <v>0</v>
      </c>
      <c r="AC9" s="160">
        <f t="shared" si="30"/>
        <v>0</v>
      </c>
      <c r="AD9" s="307">
        <f t="shared" si="31"/>
        <v>37300</v>
      </c>
      <c r="AE9" s="303" t="str">
        <f t="shared" si="10"/>
        <v>Female</v>
      </c>
      <c r="AF9" s="163">
        <f t="shared" si="11"/>
        <v>1.5</v>
      </c>
      <c r="AG9" s="163">
        <f t="shared" si="12"/>
        <v>7</v>
      </c>
      <c r="AH9" s="163">
        <f t="shared" si="13"/>
        <v>7</v>
      </c>
      <c r="AJ9" s="165" t="str">
        <f t="shared" si="14"/>
        <v/>
      </c>
      <c r="AK9" s="180" t="str">
        <f t="shared" si="15"/>
        <v>Yes</v>
      </c>
      <c r="AM9" s="179"/>
      <c r="AN9" s="179"/>
      <c r="AP9" s="166">
        <f t="shared" si="16"/>
        <v>5.5</v>
      </c>
      <c r="AQ9" s="166">
        <f t="shared" si="17"/>
        <v>0</v>
      </c>
      <c r="AR9" s="166">
        <f t="shared" si="18"/>
        <v>0</v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IF($J$1="Active",IF(Salary_Master_2!B10="","",_xlfn.IFS(Salary_Master_2!M10="Working",IF(Salary_Master_2!H10&lt;=DATE(2025,7,31),Salary_Master_2!B10,""),Salary_Master_2!M10="Left",IF(Salary_Master_2!N10&gt;DATE(2025,6,30),Salary_Master_2!B10,""))),"")</f>
        <v>Kavita Sawant</v>
      </c>
      <c r="C10" s="304">
        <v>31</v>
      </c>
      <c r="D10" s="305">
        <f t="shared" si="19"/>
        <v>31</v>
      </c>
      <c r="E10" s="177"/>
      <c r="F10" s="177"/>
      <c r="G10" s="177"/>
      <c r="H10" s="305">
        <f t="shared" si="20"/>
        <v>31</v>
      </c>
      <c r="I10" s="177"/>
      <c r="J10" s="177"/>
      <c r="K10" s="158" t="str">
        <f t="shared" si="1"/>
        <v>No</v>
      </c>
      <c r="L10" s="158" t="str">
        <f t="shared" si="2"/>
        <v>No</v>
      </c>
      <c r="M10" s="168"/>
      <c r="N10" s="169">
        <f t="shared" si="3"/>
        <v>20000</v>
      </c>
      <c r="O10" s="170">
        <f t="shared" si="4"/>
        <v>10000</v>
      </c>
      <c r="P10" s="170">
        <f t="shared" si="5"/>
        <v>1600</v>
      </c>
      <c r="Q10" s="170">
        <f t="shared" si="6"/>
        <v>1667</v>
      </c>
      <c r="R10" s="170">
        <f t="shared" si="7"/>
        <v>40733</v>
      </c>
      <c r="S10" s="170">
        <f t="shared" si="21"/>
        <v>0</v>
      </c>
      <c r="T10" s="170">
        <f t="shared" si="22"/>
        <v>0</v>
      </c>
      <c r="U10" s="170">
        <f t="shared" si="23"/>
        <v>0</v>
      </c>
      <c r="V10" s="262">
        <f t="shared" si="24"/>
        <v>74000</v>
      </c>
      <c r="W10" s="160">
        <f t="shared" si="8"/>
        <v>0</v>
      </c>
      <c r="X10" s="160">
        <f t="shared" si="25"/>
        <v>0</v>
      </c>
      <c r="Y10" s="160">
        <f t="shared" si="26"/>
        <v>0</v>
      </c>
      <c r="Z10" s="160">
        <f t="shared" si="27"/>
        <v>0</v>
      </c>
      <c r="AA10" s="160">
        <f t="shared" si="28"/>
        <v>200</v>
      </c>
      <c r="AB10" s="160">
        <f t="shared" si="29"/>
        <v>0</v>
      </c>
      <c r="AC10" s="160">
        <f t="shared" si="30"/>
        <v>0</v>
      </c>
      <c r="AD10" s="307">
        <f t="shared" si="31"/>
        <v>73800</v>
      </c>
      <c r="AE10" s="303" t="str">
        <f t="shared" si="10"/>
        <v>Female</v>
      </c>
      <c r="AF10" s="163">
        <f t="shared" si="11"/>
        <v>5</v>
      </c>
      <c r="AG10" s="163">
        <f t="shared" si="12"/>
        <v>7</v>
      </c>
      <c r="AH10" s="163">
        <f t="shared" si="13"/>
        <v>7</v>
      </c>
      <c r="AJ10" s="165" t="str">
        <f t="shared" si="14"/>
        <v/>
      </c>
      <c r="AK10" s="180" t="str">
        <f t="shared" si="15"/>
        <v>Yes</v>
      </c>
      <c r="AM10" s="179"/>
      <c r="AN10" s="179"/>
      <c r="AP10" s="166">
        <f t="shared" si="16"/>
        <v>2</v>
      </c>
      <c r="AQ10" s="166">
        <f t="shared" si="17"/>
        <v>0</v>
      </c>
      <c r="AR10" s="166">
        <f t="shared" si="18"/>
        <v>0</v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IF($J$1="Active",IF(Salary_Master_2!B11="","",_xlfn.IFS(Salary_Master_2!M11="Working",IF(Salary_Master_2!H11&lt;=DATE(2025,7,31),Salary_Master_2!B11,""),Salary_Master_2!M11="Left",IF(Salary_Master_2!N11&gt;DATE(2025,6,30),Salary_Master_2!B11,""))),"")</f>
        <v>Pankajkumar Chodhary</v>
      </c>
      <c r="C11" s="304">
        <v>31</v>
      </c>
      <c r="D11" s="305">
        <f t="shared" si="19"/>
        <v>31</v>
      </c>
      <c r="E11" s="177"/>
      <c r="F11" s="177"/>
      <c r="G11" s="177"/>
      <c r="H11" s="305">
        <f t="shared" si="20"/>
        <v>31</v>
      </c>
      <c r="I11" s="177"/>
      <c r="J11" s="177"/>
      <c r="K11" s="158" t="str">
        <f t="shared" si="1"/>
        <v>No</v>
      </c>
      <c r="L11" s="158" t="str">
        <f t="shared" si="2"/>
        <v>No</v>
      </c>
      <c r="M11" s="168"/>
      <c r="N11" s="169">
        <f t="shared" si="3"/>
        <v>16500</v>
      </c>
      <c r="O11" s="170">
        <f t="shared" si="4"/>
        <v>6600</v>
      </c>
      <c r="P11" s="170">
        <f t="shared" si="5"/>
        <v>1600</v>
      </c>
      <c r="Q11" s="170">
        <f t="shared" si="6"/>
        <v>1375</v>
      </c>
      <c r="R11" s="170">
        <f t="shared" si="7"/>
        <v>19925</v>
      </c>
      <c r="S11" s="170">
        <f t="shared" si="21"/>
        <v>0</v>
      </c>
      <c r="T11" s="170">
        <f t="shared" si="22"/>
        <v>0</v>
      </c>
      <c r="U11" s="170">
        <f t="shared" si="23"/>
        <v>0</v>
      </c>
      <c r="V11" s="262">
        <f t="shared" si="24"/>
        <v>46000</v>
      </c>
      <c r="W11" s="160">
        <f t="shared" si="8"/>
        <v>0</v>
      </c>
      <c r="X11" s="160">
        <f t="shared" si="25"/>
        <v>0</v>
      </c>
      <c r="Y11" s="160">
        <f t="shared" si="26"/>
        <v>0</v>
      </c>
      <c r="Z11" s="160">
        <f t="shared" si="27"/>
        <v>0</v>
      </c>
      <c r="AA11" s="160">
        <f t="shared" si="28"/>
        <v>200</v>
      </c>
      <c r="AB11" s="160">
        <f t="shared" si="29"/>
        <v>0</v>
      </c>
      <c r="AC11" s="160">
        <f t="shared" si="30"/>
        <v>0</v>
      </c>
      <c r="AD11" s="307">
        <f t="shared" si="31"/>
        <v>45800</v>
      </c>
      <c r="AE11" s="303" t="str">
        <f t="shared" si="10"/>
        <v>Male</v>
      </c>
      <c r="AF11" s="163">
        <f t="shared" si="11"/>
        <v>7</v>
      </c>
      <c r="AG11" s="163">
        <f t="shared" si="12"/>
        <v>7</v>
      </c>
      <c r="AH11" s="163">
        <f t="shared" si="13"/>
        <v>7</v>
      </c>
      <c r="AJ11" s="165" t="str">
        <f t="shared" si="14"/>
        <v/>
      </c>
      <c r="AK11" s="180" t="str">
        <f t="shared" si="15"/>
        <v>Yes</v>
      </c>
      <c r="AM11" s="179"/>
      <c r="AN11" s="179"/>
      <c r="AP11" s="166">
        <f t="shared" si="16"/>
        <v>0</v>
      </c>
      <c r="AQ11" s="166">
        <f t="shared" si="17"/>
        <v>0</v>
      </c>
      <c r="AR11" s="166">
        <f t="shared" si="18"/>
        <v>0</v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IF($J$1="Active",IF(Salary_Master_2!B12="","",_xlfn.IFS(Salary_Master_2!M12="Working",IF(Salary_Master_2!H12&lt;=DATE(2025,7,31),Salary_Master_2!B12,""),Salary_Master_2!M12="Left",IF(Salary_Master_2!N12&gt;DATE(2025,6,30),Salary_Master_2!B12,""))),"")</f>
        <v>Komal Patil</v>
      </c>
      <c r="C12" s="304">
        <v>31</v>
      </c>
      <c r="D12" s="305">
        <f t="shared" si="19"/>
        <v>29</v>
      </c>
      <c r="E12" s="177"/>
      <c r="F12" s="177"/>
      <c r="G12" s="177"/>
      <c r="H12" s="305">
        <f t="shared" si="20"/>
        <v>29</v>
      </c>
      <c r="I12" s="177">
        <v>2</v>
      </c>
      <c r="J12" s="177"/>
      <c r="K12" s="158" t="str">
        <f t="shared" si="1"/>
        <v>No</v>
      </c>
      <c r="L12" s="158" t="str">
        <f t="shared" si="2"/>
        <v>No</v>
      </c>
      <c r="M12" s="168"/>
      <c r="N12" s="169">
        <f t="shared" si="3"/>
        <v>18710</v>
      </c>
      <c r="O12" s="170">
        <f t="shared" si="4"/>
        <v>9355</v>
      </c>
      <c r="P12" s="170">
        <f t="shared" si="5"/>
        <v>1497</v>
      </c>
      <c r="Q12" s="170">
        <f t="shared" si="6"/>
        <v>1559</v>
      </c>
      <c r="R12" s="170">
        <f t="shared" si="7"/>
        <v>43718</v>
      </c>
      <c r="S12" s="170">
        <f t="shared" si="21"/>
        <v>0</v>
      </c>
      <c r="T12" s="170">
        <f t="shared" si="22"/>
        <v>0</v>
      </c>
      <c r="U12" s="170">
        <f t="shared" si="23"/>
        <v>0</v>
      </c>
      <c r="V12" s="262">
        <f t="shared" si="24"/>
        <v>74839</v>
      </c>
      <c r="W12" s="160">
        <f t="shared" si="8"/>
        <v>0</v>
      </c>
      <c r="X12" s="160">
        <f t="shared" si="25"/>
        <v>0</v>
      </c>
      <c r="Y12" s="160">
        <f t="shared" si="26"/>
        <v>0</v>
      </c>
      <c r="Z12" s="160">
        <f t="shared" si="27"/>
        <v>0</v>
      </c>
      <c r="AA12" s="160">
        <f t="shared" si="28"/>
        <v>200</v>
      </c>
      <c r="AB12" s="160">
        <f t="shared" si="29"/>
        <v>0</v>
      </c>
      <c r="AC12" s="160">
        <f t="shared" si="30"/>
        <v>0</v>
      </c>
      <c r="AD12" s="307">
        <f t="shared" si="31"/>
        <v>74639</v>
      </c>
      <c r="AE12" s="303" t="str">
        <f t="shared" si="10"/>
        <v>Female</v>
      </c>
      <c r="AF12" s="163">
        <f t="shared" si="11"/>
        <v>0</v>
      </c>
      <c r="AG12" s="163">
        <f t="shared" si="12"/>
        <v>0</v>
      </c>
      <c r="AH12" s="163">
        <f t="shared" si="13"/>
        <v>1</v>
      </c>
      <c r="AJ12" s="165" t="str">
        <f t="shared" si="14"/>
        <v/>
      </c>
      <c r="AK12" s="180" t="str">
        <f t="shared" si="15"/>
        <v>Yes</v>
      </c>
      <c r="AM12" s="179"/>
      <c r="AN12" s="179"/>
      <c r="AP12" s="166">
        <f t="shared" si="16"/>
        <v>7</v>
      </c>
      <c r="AQ12" s="166">
        <f t="shared" si="17"/>
        <v>7</v>
      </c>
      <c r="AR12" s="166">
        <f t="shared" si="18"/>
        <v>6</v>
      </c>
      <c r="AS12" s="162"/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IF($J$1="Active",IF(Salary_Master_2!B13="","",_xlfn.IFS(Salary_Master_2!M13="Working",IF(Salary_Master_2!H13&lt;=DATE(2025,7,31),Salary_Master_2!B13,""),Salary_Master_2!M13="Left",IF(Salary_Master_2!N13&gt;DATE(2025,6,30),Salary_Master_2!B13,""))),"")</f>
        <v>Ankit Parmar</v>
      </c>
      <c r="C13" s="304">
        <v>31</v>
      </c>
      <c r="D13" s="305">
        <f t="shared" si="19"/>
        <v>31</v>
      </c>
      <c r="E13" s="177"/>
      <c r="F13" s="177"/>
      <c r="G13" s="177"/>
      <c r="H13" s="305">
        <f t="shared" si="20"/>
        <v>31</v>
      </c>
      <c r="I13" s="177"/>
      <c r="J13" s="177"/>
      <c r="K13" s="158" t="str">
        <f t="shared" si="1"/>
        <v>No</v>
      </c>
      <c r="L13" s="158" t="str">
        <f t="shared" si="2"/>
        <v>No</v>
      </c>
      <c r="M13" s="168"/>
      <c r="N13" s="169">
        <f t="shared" si="3"/>
        <v>16500</v>
      </c>
      <c r="O13" s="170">
        <f t="shared" si="4"/>
        <v>6600</v>
      </c>
      <c r="P13" s="170">
        <f t="shared" si="5"/>
        <v>1600</v>
      </c>
      <c r="Q13" s="170">
        <f t="shared" si="6"/>
        <v>1375</v>
      </c>
      <c r="R13" s="170">
        <f t="shared" si="7"/>
        <v>21425</v>
      </c>
      <c r="S13" s="170">
        <f t="shared" si="21"/>
        <v>0</v>
      </c>
      <c r="T13" s="170">
        <f t="shared" si="22"/>
        <v>0</v>
      </c>
      <c r="U13" s="170">
        <f t="shared" si="23"/>
        <v>0</v>
      </c>
      <c r="V13" s="262">
        <f t="shared" si="24"/>
        <v>47500</v>
      </c>
      <c r="W13" s="160">
        <f t="shared" si="8"/>
        <v>0</v>
      </c>
      <c r="X13" s="160">
        <f t="shared" si="25"/>
        <v>0</v>
      </c>
      <c r="Y13" s="160">
        <f t="shared" si="26"/>
        <v>0</v>
      </c>
      <c r="Z13" s="160">
        <f t="shared" si="27"/>
        <v>0</v>
      </c>
      <c r="AA13" s="160">
        <f t="shared" si="28"/>
        <v>200</v>
      </c>
      <c r="AB13" s="160">
        <f t="shared" si="29"/>
        <v>0</v>
      </c>
      <c r="AC13" s="160">
        <f t="shared" si="30"/>
        <v>0</v>
      </c>
      <c r="AD13" s="307">
        <f t="shared" si="31"/>
        <v>47300</v>
      </c>
      <c r="AE13" s="303" t="str">
        <f t="shared" si="10"/>
        <v>Male</v>
      </c>
      <c r="AF13" s="163">
        <f t="shared" si="11"/>
        <v>2.5</v>
      </c>
      <c r="AG13" s="163">
        <f t="shared" si="12"/>
        <v>7</v>
      </c>
      <c r="AH13" s="163">
        <f t="shared" si="13"/>
        <v>7</v>
      </c>
      <c r="AJ13" s="165" t="str">
        <f t="shared" si="14"/>
        <v/>
      </c>
      <c r="AK13" s="180" t="str">
        <f t="shared" si="15"/>
        <v>Yes</v>
      </c>
      <c r="AM13" s="179"/>
      <c r="AN13" s="179"/>
      <c r="AP13" s="166">
        <f t="shared" si="16"/>
        <v>4.5</v>
      </c>
      <c r="AQ13" s="166">
        <f t="shared" si="17"/>
        <v>0</v>
      </c>
      <c r="AR13" s="166">
        <f t="shared" si="18"/>
        <v>0</v>
      </c>
      <c r="AS13" s="162"/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IF($J$1="Active",IF(Salary_Master_2!B14="","",_xlfn.IFS(Salary_Master_2!M14="Working",IF(Salary_Master_2!H14&lt;=DATE(2025,7,31),Salary_Master_2!B14,""),Salary_Master_2!M14="Left",IF(Salary_Master_2!N14&gt;DATE(2025,6,30),Salary_Master_2!B14,""))),"")</f>
        <v>Jayesh Chogle</v>
      </c>
      <c r="C14" s="304">
        <v>31</v>
      </c>
      <c r="D14" s="305">
        <f t="shared" si="19"/>
        <v>31</v>
      </c>
      <c r="E14" s="177"/>
      <c r="F14" s="177"/>
      <c r="G14" s="177"/>
      <c r="H14" s="305">
        <f t="shared" si="20"/>
        <v>31</v>
      </c>
      <c r="I14" s="177"/>
      <c r="J14" s="177"/>
      <c r="K14" s="158" t="str">
        <f t="shared" si="1"/>
        <v>No</v>
      </c>
      <c r="L14" s="158" t="str">
        <f t="shared" si="2"/>
        <v>No</v>
      </c>
      <c r="M14" s="168"/>
      <c r="N14" s="169">
        <f t="shared" si="3"/>
        <v>16500</v>
      </c>
      <c r="O14" s="170">
        <f t="shared" si="4"/>
        <v>6600</v>
      </c>
      <c r="P14" s="170">
        <f t="shared" si="5"/>
        <v>1600</v>
      </c>
      <c r="Q14" s="170">
        <f t="shared" si="6"/>
        <v>1375</v>
      </c>
      <c r="R14" s="170">
        <f t="shared" si="7"/>
        <v>18925</v>
      </c>
      <c r="S14" s="170">
        <f t="shared" si="21"/>
        <v>0</v>
      </c>
      <c r="T14" s="170">
        <f t="shared" si="22"/>
        <v>0</v>
      </c>
      <c r="U14" s="170">
        <f t="shared" si="23"/>
        <v>0</v>
      </c>
      <c r="V14" s="262">
        <f t="shared" si="24"/>
        <v>45000</v>
      </c>
      <c r="W14" s="160">
        <f t="shared" si="8"/>
        <v>0</v>
      </c>
      <c r="X14" s="160">
        <f t="shared" si="25"/>
        <v>0</v>
      </c>
      <c r="Y14" s="160">
        <f t="shared" si="26"/>
        <v>0</v>
      </c>
      <c r="Z14" s="160">
        <f t="shared" si="27"/>
        <v>0</v>
      </c>
      <c r="AA14" s="160">
        <f t="shared" si="28"/>
        <v>200</v>
      </c>
      <c r="AB14" s="160">
        <f t="shared" si="29"/>
        <v>0</v>
      </c>
      <c r="AC14" s="160">
        <f t="shared" si="30"/>
        <v>0</v>
      </c>
      <c r="AD14" s="307">
        <f t="shared" si="31"/>
        <v>44800</v>
      </c>
      <c r="AE14" s="303" t="str">
        <f t="shared" si="10"/>
        <v>Male</v>
      </c>
      <c r="AF14" s="163">
        <f t="shared" si="11"/>
        <v>0</v>
      </c>
      <c r="AG14" s="163">
        <f t="shared" si="12"/>
        <v>6</v>
      </c>
      <c r="AH14" s="163">
        <f t="shared" si="13"/>
        <v>7</v>
      </c>
      <c r="AJ14" s="165" t="str">
        <f t="shared" si="14"/>
        <v/>
      </c>
      <c r="AK14" s="180" t="str">
        <f t="shared" si="15"/>
        <v>Yes</v>
      </c>
      <c r="AM14" s="179"/>
      <c r="AN14" s="179"/>
      <c r="AP14" s="166">
        <f t="shared" si="16"/>
        <v>7</v>
      </c>
      <c r="AQ14" s="166">
        <f t="shared" si="17"/>
        <v>1</v>
      </c>
      <c r="AR14" s="166">
        <f t="shared" si="18"/>
        <v>0</v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IF($J$1="Active",IF(Salary_Master_2!B15="","",_xlfn.IFS(Salary_Master_2!M15="Working",IF(Salary_Master_2!H15&lt;=DATE(2025,7,31),Salary_Master_2!B15,""),Salary_Master_2!M15="Left",IF(Salary_Master_2!N15&gt;DATE(2025,6,30),Salary_Master_2!B15,""))),"")</f>
        <v>Aparna Raithatha</v>
      </c>
      <c r="C15" s="304">
        <v>31</v>
      </c>
      <c r="D15" s="305">
        <f t="shared" si="19"/>
        <v>31</v>
      </c>
      <c r="E15" s="177"/>
      <c r="F15" s="177"/>
      <c r="G15" s="177"/>
      <c r="H15" s="305">
        <f t="shared" si="20"/>
        <v>31</v>
      </c>
      <c r="I15" s="177"/>
      <c r="J15" s="177"/>
      <c r="K15" s="158" t="str">
        <f t="shared" si="1"/>
        <v>No</v>
      </c>
      <c r="L15" s="158" t="str">
        <f t="shared" si="2"/>
        <v>No</v>
      </c>
      <c r="M15" s="168"/>
      <c r="N15" s="169">
        <f t="shared" si="3"/>
        <v>16500</v>
      </c>
      <c r="O15" s="170">
        <f t="shared" si="4"/>
        <v>6600</v>
      </c>
      <c r="P15" s="170">
        <f t="shared" si="5"/>
        <v>1600</v>
      </c>
      <c r="Q15" s="170">
        <f t="shared" si="6"/>
        <v>1375</v>
      </c>
      <c r="R15" s="170">
        <f t="shared" si="7"/>
        <v>29425</v>
      </c>
      <c r="S15" s="170">
        <f t="shared" si="21"/>
        <v>0</v>
      </c>
      <c r="T15" s="170">
        <f t="shared" si="22"/>
        <v>0</v>
      </c>
      <c r="U15" s="170">
        <f t="shared" si="23"/>
        <v>0</v>
      </c>
      <c r="V15" s="262">
        <f t="shared" si="24"/>
        <v>55500</v>
      </c>
      <c r="W15" s="160">
        <f t="shared" si="8"/>
        <v>0</v>
      </c>
      <c r="X15" s="160">
        <f t="shared" si="25"/>
        <v>0</v>
      </c>
      <c r="Y15" s="160">
        <f t="shared" si="26"/>
        <v>0</v>
      </c>
      <c r="Z15" s="160">
        <f t="shared" si="27"/>
        <v>0</v>
      </c>
      <c r="AA15" s="160">
        <f t="shared" si="28"/>
        <v>200</v>
      </c>
      <c r="AB15" s="160">
        <f t="shared" si="29"/>
        <v>0</v>
      </c>
      <c r="AC15" s="160">
        <f t="shared" si="30"/>
        <v>0</v>
      </c>
      <c r="AD15" s="307">
        <f t="shared" si="31"/>
        <v>55300</v>
      </c>
      <c r="AE15" s="303" t="str">
        <f t="shared" si="10"/>
        <v>Female</v>
      </c>
      <c r="AF15" s="163">
        <f t="shared" si="11"/>
        <v>1.5</v>
      </c>
      <c r="AG15" s="163">
        <f t="shared" si="12"/>
        <v>7</v>
      </c>
      <c r="AH15" s="163">
        <f t="shared" si="13"/>
        <v>7</v>
      </c>
      <c r="AJ15" s="165" t="str">
        <f t="shared" si="14"/>
        <v/>
      </c>
      <c r="AK15" s="180" t="str">
        <f t="shared" si="15"/>
        <v>Yes</v>
      </c>
      <c r="AM15" s="179"/>
      <c r="AN15" s="179"/>
      <c r="AP15" s="166">
        <f t="shared" si="16"/>
        <v>5.5</v>
      </c>
      <c r="AQ15" s="166">
        <f t="shared" si="17"/>
        <v>0</v>
      </c>
      <c r="AR15" s="166">
        <f t="shared" si="18"/>
        <v>0</v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IF($J$1="Active",IF(Salary_Master_2!B16="","",_xlfn.IFS(Salary_Master_2!M16="Working",IF(Salary_Master_2!H16&lt;=DATE(2025,7,31),Salary_Master_2!B16,""),Salary_Master_2!M16="Left",IF(Salary_Master_2!N16&gt;DATE(2025,6,30),Salary_Master_2!B16,""))),"")</f>
        <v>Ravin Gaikwad</v>
      </c>
      <c r="C16" s="304">
        <v>31</v>
      </c>
      <c r="D16" s="305">
        <f t="shared" si="19"/>
        <v>31</v>
      </c>
      <c r="E16" s="177"/>
      <c r="F16" s="177"/>
      <c r="G16" s="177"/>
      <c r="H16" s="305">
        <f t="shared" si="20"/>
        <v>31</v>
      </c>
      <c r="I16" s="177"/>
      <c r="J16" s="177"/>
      <c r="K16" s="158" t="str">
        <f t="shared" si="1"/>
        <v>Yes</v>
      </c>
      <c r="L16" s="158" t="str">
        <f t="shared" si="2"/>
        <v>No</v>
      </c>
      <c r="M16" s="168"/>
      <c r="N16" s="169">
        <f t="shared" si="3"/>
        <v>11500</v>
      </c>
      <c r="O16" s="170">
        <f t="shared" si="4"/>
        <v>4600</v>
      </c>
      <c r="P16" s="170">
        <f t="shared" si="5"/>
        <v>1600</v>
      </c>
      <c r="Q16" s="170">
        <f t="shared" si="6"/>
        <v>958</v>
      </c>
      <c r="R16" s="170">
        <f t="shared" si="7"/>
        <v>37742</v>
      </c>
      <c r="S16" s="170">
        <f t="shared" si="21"/>
        <v>1800</v>
      </c>
      <c r="T16" s="170">
        <f t="shared" si="22"/>
        <v>1800</v>
      </c>
      <c r="U16" s="170">
        <f t="shared" si="23"/>
        <v>0</v>
      </c>
      <c r="V16" s="262">
        <f t="shared" si="24"/>
        <v>60000</v>
      </c>
      <c r="W16" s="160">
        <f t="shared" si="8"/>
        <v>1800</v>
      </c>
      <c r="X16" s="160">
        <f t="shared" si="25"/>
        <v>1800</v>
      </c>
      <c r="Y16" s="160">
        <f t="shared" si="26"/>
        <v>0</v>
      </c>
      <c r="Z16" s="160">
        <f t="shared" si="27"/>
        <v>0</v>
      </c>
      <c r="AA16" s="160">
        <f t="shared" si="28"/>
        <v>200</v>
      </c>
      <c r="AB16" s="160">
        <f t="shared" si="29"/>
        <v>0</v>
      </c>
      <c r="AC16" s="160">
        <f t="shared" si="30"/>
        <v>0</v>
      </c>
      <c r="AD16" s="307">
        <f t="shared" si="31"/>
        <v>56200</v>
      </c>
      <c r="AE16" s="303" t="str">
        <f t="shared" si="10"/>
        <v>Male</v>
      </c>
      <c r="AF16" s="163">
        <f t="shared" si="11"/>
        <v>7</v>
      </c>
      <c r="AG16" s="163">
        <f t="shared" si="12"/>
        <v>7</v>
      </c>
      <c r="AH16" s="163">
        <f t="shared" si="13"/>
        <v>7</v>
      </c>
      <c r="AJ16" s="165" t="str">
        <f t="shared" si="14"/>
        <v/>
      </c>
      <c r="AK16" s="180" t="str">
        <f t="shared" si="15"/>
        <v>Yes</v>
      </c>
      <c r="AM16" s="179"/>
      <c r="AN16" s="179"/>
      <c r="AP16" s="166">
        <f t="shared" si="16"/>
        <v>0</v>
      </c>
      <c r="AQ16" s="166">
        <f t="shared" si="17"/>
        <v>0</v>
      </c>
      <c r="AR16" s="166">
        <f t="shared" si="18"/>
        <v>0</v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IF($J$1="Active",IF(Salary_Master_2!B17="","",_xlfn.IFS(Salary_Master_2!M17="Working",IF(Salary_Master_2!H17&lt;=DATE(2025,7,31),Salary_Master_2!B17,""),Salary_Master_2!M17="Left",IF(Salary_Master_2!N17&gt;DATE(2025,6,30),Salary_Master_2!B17,""))),"")</f>
        <v>Gaurav Sune</v>
      </c>
      <c r="C17" s="304">
        <v>31</v>
      </c>
      <c r="D17" s="305">
        <f t="shared" si="19"/>
        <v>31</v>
      </c>
      <c r="E17" s="177"/>
      <c r="F17" s="177"/>
      <c r="G17" s="177"/>
      <c r="H17" s="305">
        <f t="shared" si="20"/>
        <v>31</v>
      </c>
      <c r="I17" s="177"/>
      <c r="J17" s="177"/>
      <c r="K17" s="158" t="str">
        <f t="shared" si="1"/>
        <v>No</v>
      </c>
      <c r="L17" s="158" t="str">
        <f t="shared" si="2"/>
        <v>No</v>
      </c>
      <c r="M17" s="168"/>
      <c r="N17" s="169">
        <f t="shared" si="3"/>
        <v>16500</v>
      </c>
      <c r="O17" s="170">
        <f t="shared" si="4"/>
        <v>6600</v>
      </c>
      <c r="P17" s="170">
        <f t="shared" si="5"/>
        <v>1600</v>
      </c>
      <c r="Q17" s="170">
        <f t="shared" si="6"/>
        <v>1375</v>
      </c>
      <c r="R17" s="170">
        <f t="shared" si="7"/>
        <v>9925</v>
      </c>
      <c r="S17" s="170">
        <f t="shared" si="21"/>
        <v>0</v>
      </c>
      <c r="T17" s="170">
        <f t="shared" si="22"/>
        <v>0</v>
      </c>
      <c r="U17" s="170">
        <f t="shared" si="23"/>
        <v>0</v>
      </c>
      <c r="V17" s="262">
        <f t="shared" si="24"/>
        <v>36000</v>
      </c>
      <c r="W17" s="160">
        <f t="shared" si="8"/>
        <v>0</v>
      </c>
      <c r="X17" s="160">
        <f t="shared" si="25"/>
        <v>0</v>
      </c>
      <c r="Y17" s="160">
        <f t="shared" si="26"/>
        <v>0</v>
      </c>
      <c r="Z17" s="160">
        <f t="shared" si="27"/>
        <v>0</v>
      </c>
      <c r="AA17" s="160">
        <f t="shared" si="28"/>
        <v>200</v>
      </c>
      <c r="AB17" s="160">
        <f t="shared" si="29"/>
        <v>0</v>
      </c>
      <c r="AC17" s="160">
        <f t="shared" si="30"/>
        <v>0</v>
      </c>
      <c r="AD17" s="307">
        <f t="shared" si="31"/>
        <v>35800</v>
      </c>
      <c r="AE17" s="303" t="str">
        <f t="shared" si="10"/>
        <v>Male</v>
      </c>
      <c r="AF17" s="163">
        <f t="shared" si="11"/>
        <v>1.5</v>
      </c>
      <c r="AG17" s="163">
        <f t="shared" si="12"/>
        <v>7</v>
      </c>
      <c r="AH17" s="163">
        <f t="shared" si="13"/>
        <v>7</v>
      </c>
      <c r="AJ17" s="165" t="str">
        <f t="shared" si="14"/>
        <v/>
      </c>
      <c r="AK17" s="180" t="str">
        <f t="shared" si="15"/>
        <v>Yes</v>
      </c>
      <c r="AM17" s="179"/>
      <c r="AN17" s="179"/>
      <c r="AP17" s="166">
        <f t="shared" si="16"/>
        <v>5.5</v>
      </c>
      <c r="AQ17" s="166">
        <f t="shared" si="17"/>
        <v>0</v>
      </c>
      <c r="AR17" s="166">
        <f t="shared" si="18"/>
        <v>0</v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IF($J$1="Active",IF(Salary_Master_2!B18="","",_xlfn.IFS(Salary_Master_2!M18="Working",IF(Salary_Master_2!H18&lt;=DATE(2025,7,31),Salary_Master_2!B18,""),Salary_Master_2!M18="Left",IF(Salary_Master_2!N18&gt;DATE(2025,6,30),Salary_Master_2!B18,""))),"")</f>
        <v>Hasanulbana Siddiqui</v>
      </c>
      <c r="C18" s="304">
        <v>31</v>
      </c>
      <c r="D18" s="305">
        <f t="shared" si="19"/>
        <v>31</v>
      </c>
      <c r="E18" s="177"/>
      <c r="F18" s="177"/>
      <c r="G18" s="177"/>
      <c r="H18" s="305">
        <f t="shared" si="20"/>
        <v>31</v>
      </c>
      <c r="I18" s="177"/>
      <c r="J18" s="177"/>
      <c r="K18" s="158" t="str">
        <f t="shared" si="1"/>
        <v>No</v>
      </c>
      <c r="L18" s="158" t="str">
        <f t="shared" si="2"/>
        <v>No</v>
      </c>
      <c r="M18" s="168"/>
      <c r="N18" s="169">
        <f t="shared" si="3"/>
        <v>16500</v>
      </c>
      <c r="O18" s="170">
        <f t="shared" si="4"/>
        <v>6600</v>
      </c>
      <c r="P18" s="170">
        <f t="shared" si="5"/>
        <v>1600</v>
      </c>
      <c r="Q18" s="170">
        <f t="shared" si="6"/>
        <v>1375</v>
      </c>
      <c r="R18" s="170">
        <f t="shared" si="7"/>
        <v>8925</v>
      </c>
      <c r="S18" s="170">
        <f t="shared" si="21"/>
        <v>0</v>
      </c>
      <c r="T18" s="170">
        <f t="shared" si="22"/>
        <v>0</v>
      </c>
      <c r="U18" s="170">
        <f t="shared" si="23"/>
        <v>0</v>
      </c>
      <c r="V18" s="262">
        <f t="shared" si="24"/>
        <v>35000</v>
      </c>
      <c r="W18" s="160">
        <f t="shared" si="8"/>
        <v>0</v>
      </c>
      <c r="X18" s="160">
        <f t="shared" si="25"/>
        <v>0</v>
      </c>
      <c r="Y18" s="160">
        <f t="shared" si="26"/>
        <v>0</v>
      </c>
      <c r="Z18" s="160">
        <f t="shared" si="27"/>
        <v>0</v>
      </c>
      <c r="AA18" s="160">
        <f t="shared" si="28"/>
        <v>200</v>
      </c>
      <c r="AB18" s="160">
        <f t="shared" si="29"/>
        <v>0</v>
      </c>
      <c r="AC18" s="160">
        <f t="shared" si="30"/>
        <v>0</v>
      </c>
      <c r="AD18" s="307">
        <f t="shared" si="31"/>
        <v>34800</v>
      </c>
      <c r="AE18" s="303" t="str">
        <f t="shared" si="10"/>
        <v>Male</v>
      </c>
      <c r="AF18" s="163">
        <f t="shared" si="11"/>
        <v>2.5</v>
      </c>
      <c r="AG18" s="163">
        <f t="shared" si="12"/>
        <v>7</v>
      </c>
      <c r="AH18" s="163">
        <f t="shared" si="13"/>
        <v>7</v>
      </c>
      <c r="AJ18" s="165" t="str">
        <f t="shared" si="14"/>
        <v/>
      </c>
      <c r="AK18" s="180" t="str">
        <f t="shared" si="15"/>
        <v>Yes</v>
      </c>
      <c r="AM18" s="179"/>
      <c r="AN18" s="179"/>
      <c r="AP18" s="166">
        <f t="shared" si="16"/>
        <v>4.5</v>
      </c>
      <c r="AQ18" s="166">
        <f t="shared" si="17"/>
        <v>0</v>
      </c>
      <c r="AR18" s="166">
        <f t="shared" si="18"/>
        <v>0</v>
      </c>
      <c r="AS18" s="162"/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IF($J$1="Active",IF(Salary_Master_2!B19="","",_xlfn.IFS(Salary_Master_2!M19="Working",IF(Salary_Master_2!H19&lt;=DATE(2025,7,31),Salary_Master_2!B19,""),Salary_Master_2!M19="Left",IF(Salary_Master_2!N19&gt;DATE(2025,6,30),Salary_Master_2!B19,""))),"")</f>
        <v>Aniket Sawant</v>
      </c>
      <c r="C19" s="304">
        <v>31</v>
      </c>
      <c r="D19" s="305">
        <f t="shared" si="19"/>
        <v>31</v>
      </c>
      <c r="E19" s="177"/>
      <c r="F19" s="177"/>
      <c r="G19" s="177"/>
      <c r="H19" s="305">
        <f t="shared" si="20"/>
        <v>31</v>
      </c>
      <c r="I19" s="177"/>
      <c r="J19" s="177"/>
      <c r="K19" s="158" t="str">
        <f t="shared" si="1"/>
        <v>No</v>
      </c>
      <c r="L19" s="158" t="str">
        <f t="shared" si="2"/>
        <v>No</v>
      </c>
      <c r="M19" s="168"/>
      <c r="N19" s="169">
        <f t="shared" si="3"/>
        <v>16500</v>
      </c>
      <c r="O19" s="170">
        <f t="shared" si="4"/>
        <v>6600</v>
      </c>
      <c r="P19" s="170">
        <f t="shared" si="5"/>
        <v>1600</v>
      </c>
      <c r="Q19" s="170">
        <f t="shared" si="6"/>
        <v>1375</v>
      </c>
      <c r="R19" s="170">
        <f t="shared" si="7"/>
        <v>34925</v>
      </c>
      <c r="S19" s="170">
        <f t="shared" si="21"/>
        <v>0</v>
      </c>
      <c r="T19" s="170">
        <f t="shared" si="22"/>
        <v>0</v>
      </c>
      <c r="U19" s="170">
        <f t="shared" si="23"/>
        <v>0</v>
      </c>
      <c r="V19" s="262">
        <f t="shared" si="24"/>
        <v>61000</v>
      </c>
      <c r="W19" s="160">
        <f t="shared" si="8"/>
        <v>0</v>
      </c>
      <c r="X19" s="160">
        <f t="shared" si="25"/>
        <v>0</v>
      </c>
      <c r="Y19" s="160">
        <f t="shared" si="26"/>
        <v>0</v>
      </c>
      <c r="Z19" s="160">
        <f t="shared" si="27"/>
        <v>0</v>
      </c>
      <c r="AA19" s="160">
        <f t="shared" si="28"/>
        <v>200</v>
      </c>
      <c r="AB19" s="160">
        <f t="shared" si="29"/>
        <v>30000</v>
      </c>
      <c r="AC19" s="160">
        <f t="shared" si="30"/>
        <v>0</v>
      </c>
      <c r="AD19" s="307">
        <f t="shared" si="31"/>
        <v>30800</v>
      </c>
      <c r="AE19" s="303" t="str">
        <f t="shared" si="10"/>
        <v>Male</v>
      </c>
      <c r="AF19" s="163">
        <f t="shared" si="11"/>
        <v>1.5</v>
      </c>
      <c r="AG19" s="163">
        <f t="shared" si="12"/>
        <v>7</v>
      </c>
      <c r="AH19" s="163">
        <f t="shared" si="13"/>
        <v>7</v>
      </c>
      <c r="AJ19" s="165" t="str">
        <f t="shared" si="14"/>
        <v/>
      </c>
      <c r="AK19" s="180" t="str">
        <f t="shared" si="15"/>
        <v>Yes</v>
      </c>
      <c r="AM19" s="179">
        <f>30000</f>
        <v>30000</v>
      </c>
      <c r="AN19" s="179"/>
      <c r="AP19" s="166">
        <f t="shared" si="16"/>
        <v>5.5</v>
      </c>
      <c r="AQ19" s="166">
        <f t="shared" si="17"/>
        <v>0</v>
      </c>
      <c r="AR19" s="166">
        <f t="shared" si="18"/>
        <v>0</v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IF($J$1="Active",IF(Salary_Master_2!B20="","",_xlfn.IFS(Salary_Master_2!M20="Working",IF(Salary_Master_2!H20&lt;=DATE(2025,7,31),Salary_Master_2!B20,""),Salary_Master_2!M20="Left",IF(Salary_Master_2!N20&gt;DATE(2025,6,30),Salary_Master_2!B20,""))),"")</f>
        <v>Mayur Bhoir</v>
      </c>
      <c r="C20" s="304">
        <v>31</v>
      </c>
      <c r="D20" s="305">
        <f t="shared" si="19"/>
        <v>31</v>
      </c>
      <c r="E20" s="177"/>
      <c r="F20" s="177"/>
      <c r="G20" s="177"/>
      <c r="H20" s="305">
        <f t="shared" si="20"/>
        <v>31</v>
      </c>
      <c r="I20" s="177"/>
      <c r="J20" s="177"/>
      <c r="K20" s="158" t="str">
        <f t="shared" si="1"/>
        <v>Yes</v>
      </c>
      <c r="L20" s="158" t="str">
        <f t="shared" si="2"/>
        <v>No</v>
      </c>
      <c r="M20" s="168"/>
      <c r="N20" s="169">
        <f t="shared" si="3"/>
        <v>10000</v>
      </c>
      <c r="O20" s="170">
        <f t="shared" si="4"/>
        <v>2000</v>
      </c>
      <c r="P20" s="170">
        <f t="shared" si="5"/>
        <v>1600</v>
      </c>
      <c r="Q20" s="170">
        <f t="shared" si="6"/>
        <v>833</v>
      </c>
      <c r="R20" s="170">
        <f t="shared" si="7"/>
        <v>9767</v>
      </c>
      <c r="S20" s="170">
        <f t="shared" si="21"/>
        <v>1800</v>
      </c>
      <c r="T20" s="170">
        <f t="shared" si="22"/>
        <v>1800</v>
      </c>
      <c r="U20" s="170">
        <f t="shared" si="23"/>
        <v>0</v>
      </c>
      <c r="V20" s="262">
        <f t="shared" si="24"/>
        <v>27800</v>
      </c>
      <c r="W20" s="160">
        <f t="shared" si="8"/>
        <v>1800</v>
      </c>
      <c r="X20" s="160">
        <f t="shared" si="25"/>
        <v>1800</v>
      </c>
      <c r="Y20" s="160">
        <f t="shared" si="26"/>
        <v>0</v>
      </c>
      <c r="Z20" s="160">
        <f t="shared" si="27"/>
        <v>0</v>
      </c>
      <c r="AA20" s="160">
        <f t="shared" si="28"/>
        <v>200</v>
      </c>
      <c r="AB20" s="160">
        <f t="shared" si="29"/>
        <v>0</v>
      </c>
      <c r="AC20" s="160">
        <f t="shared" si="30"/>
        <v>0</v>
      </c>
      <c r="AD20" s="307">
        <f t="shared" si="31"/>
        <v>24000</v>
      </c>
      <c r="AE20" s="303" t="str">
        <f t="shared" si="10"/>
        <v>Male</v>
      </c>
      <c r="AF20" s="163">
        <f t="shared" si="11"/>
        <v>3</v>
      </c>
      <c r="AG20" s="163">
        <f t="shared" si="12"/>
        <v>7</v>
      </c>
      <c r="AH20" s="163">
        <f t="shared" si="13"/>
        <v>7</v>
      </c>
      <c r="AJ20" s="165" t="str">
        <f t="shared" si="14"/>
        <v/>
      </c>
      <c r="AK20" s="180" t="str">
        <f t="shared" si="15"/>
        <v>Yes</v>
      </c>
      <c r="AM20" s="179"/>
      <c r="AN20" s="179"/>
      <c r="AP20" s="166">
        <f t="shared" si="16"/>
        <v>4</v>
      </c>
      <c r="AQ20" s="166">
        <f t="shared" si="17"/>
        <v>0</v>
      </c>
      <c r="AR20" s="166">
        <f t="shared" si="18"/>
        <v>0</v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IF($J$1="Active",IF(Salary_Master_2!B21="","",_xlfn.IFS(Salary_Master_2!M21="Working",IF(Salary_Master_2!H21&lt;=DATE(2025,7,31),Salary_Master_2!B21,""),Salary_Master_2!M21="Left",IF(Salary_Master_2!N21&gt;DATE(2025,6,30),Salary_Master_2!B21,""))),"")</f>
        <v>Supriya Padel</v>
      </c>
      <c r="C21" s="304">
        <v>31</v>
      </c>
      <c r="D21" s="305">
        <f t="shared" si="19"/>
        <v>31</v>
      </c>
      <c r="E21" s="177"/>
      <c r="F21" s="177"/>
      <c r="G21" s="177"/>
      <c r="H21" s="305">
        <f t="shared" si="20"/>
        <v>31</v>
      </c>
      <c r="I21" s="177"/>
      <c r="J21" s="177"/>
      <c r="K21" s="158" t="str">
        <f t="shared" si="1"/>
        <v>Yes</v>
      </c>
      <c r="L21" s="158" t="str">
        <f t="shared" si="2"/>
        <v>No</v>
      </c>
      <c r="M21" s="168"/>
      <c r="N21" s="169">
        <f t="shared" si="3"/>
        <v>10000</v>
      </c>
      <c r="O21" s="170">
        <f t="shared" si="4"/>
        <v>2000</v>
      </c>
      <c r="P21" s="170">
        <f t="shared" si="5"/>
        <v>1600</v>
      </c>
      <c r="Q21" s="170">
        <f t="shared" si="6"/>
        <v>833</v>
      </c>
      <c r="R21" s="170">
        <f t="shared" si="7"/>
        <v>6667</v>
      </c>
      <c r="S21" s="170">
        <f t="shared" si="21"/>
        <v>1800</v>
      </c>
      <c r="T21" s="170">
        <f t="shared" si="22"/>
        <v>1800</v>
      </c>
      <c r="U21" s="170">
        <f t="shared" si="23"/>
        <v>0</v>
      </c>
      <c r="V21" s="262">
        <f t="shared" si="24"/>
        <v>24700</v>
      </c>
      <c r="W21" s="160">
        <f t="shared" si="8"/>
        <v>1800</v>
      </c>
      <c r="X21" s="160">
        <f t="shared" si="25"/>
        <v>1800</v>
      </c>
      <c r="Y21" s="160">
        <f t="shared" si="26"/>
        <v>0</v>
      </c>
      <c r="Z21" s="160">
        <f t="shared" si="27"/>
        <v>0</v>
      </c>
      <c r="AA21" s="160">
        <f t="shared" si="28"/>
        <v>0</v>
      </c>
      <c r="AB21" s="160">
        <f t="shared" si="29"/>
        <v>0</v>
      </c>
      <c r="AC21" s="160">
        <f t="shared" si="30"/>
        <v>0</v>
      </c>
      <c r="AD21" s="307">
        <f t="shared" si="31"/>
        <v>21100</v>
      </c>
      <c r="AE21" s="303" t="str">
        <f t="shared" si="10"/>
        <v>Female</v>
      </c>
      <c r="AF21" s="163" t="str">
        <f t="shared" si="11"/>
        <v/>
      </c>
      <c r="AG21" s="163" t="str">
        <f t="shared" si="12"/>
        <v/>
      </c>
      <c r="AH21" s="163" t="str">
        <f t="shared" si="13"/>
        <v/>
      </c>
      <c r="AJ21" s="165" t="str">
        <f t="shared" si="14"/>
        <v/>
      </c>
      <c r="AK21" s="180" t="str">
        <f t="shared" si="15"/>
        <v>No</v>
      </c>
      <c r="AM21" s="179"/>
      <c r="AN21" s="179"/>
      <c r="AP21" s="166">
        <f t="shared" si="16"/>
        <v>7</v>
      </c>
      <c r="AQ21" s="166">
        <f t="shared" si="17"/>
        <v>2</v>
      </c>
      <c r="AR21" s="166">
        <f t="shared" si="18"/>
        <v>0</v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IF($J$1="Active",IF(Salary_Master_2!B22="","",_xlfn.IFS(Salary_Master_2!M22="Working",IF(Salary_Master_2!H22&lt;=DATE(2025,7,31),Salary_Master_2!B22,""),Salary_Master_2!M22="Left",IF(Salary_Master_2!N22&gt;DATE(2025,6,30),Salary_Master_2!B22,""))),"")</f>
        <v>Sagar Kadam</v>
      </c>
      <c r="C22" s="304">
        <v>31</v>
      </c>
      <c r="D22" s="305">
        <f t="shared" si="19"/>
        <v>31</v>
      </c>
      <c r="E22" s="177"/>
      <c r="F22" s="177"/>
      <c r="G22" s="177"/>
      <c r="H22" s="305">
        <f t="shared" si="20"/>
        <v>31</v>
      </c>
      <c r="I22" s="177"/>
      <c r="J22" s="177"/>
      <c r="K22" s="158" t="str">
        <f t="shared" si="1"/>
        <v>Yes</v>
      </c>
      <c r="L22" s="158" t="str">
        <f t="shared" si="2"/>
        <v>Yes</v>
      </c>
      <c r="M22" s="168"/>
      <c r="N22" s="169">
        <f t="shared" si="3"/>
        <v>10000</v>
      </c>
      <c r="O22" s="170">
        <f t="shared" si="4"/>
        <v>2000</v>
      </c>
      <c r="P22" s="170">
        <f t="shared" si="5"/>
        <v>1600</v>
      </c>
      <c r="Q22" s="170">
        <f t="shared" si="6"/>
        <v>833</v>
      </c>
      <c r="R22" s="170">
        <f t="shared" si="7"/>
        <v>4817</v>
      </c>
      <c r="S22" s="170">
        <f t="shared" si="21"/>
        <v>0</v>
      </c>
      <c r="T22" s="170">
        <f t="shared" si="22"/>
        <v>0</v>
      </c>
      <c r="U22" s="170">
        <f t="shared" si="23"/>
        <v>0</v>
      </c>
      <c r="V22" s="262">
        <f t="shared" si="24"/>
        <v>19250</v>
      </c>
      <c r="W22" s="160">
        <f t="shared" si="8"/>
        <v>1800</v>
      </c>
      <c r="X22" s="160">
        <f t="shared" si="25"/>
        <v>0</v>
      </c>
      <c r="Y22" s="160">
        <f t="shared" si="26"/>
        <v>144</v>
      </c>
      <c r="Z22" s="160">
        <f t="shared" si="27"/>
        <v>0</v>
      </c>
      <c r="AA22" s="160">
        <f t="shared" si="28"/>
        <v>200</v>
      </c>
      <c r="AB22" s="160">
        <f t="shared" si="29"/>
        <v>0</v>
      </c>
      <c r="AC22" s="160">
        <f t="shared" si="30"/>
        <v>0</v>
      </c>
      <c r="AD22" s="307">
        <f t="shared" si="31"/>
        <v>17106</v>
      </c>
      <c r="AE22" s="303" t="str">
        <f t="shared" si="10"/>
        <v>Male</v>
      </c>
      <c r="AF22" s="163">
        <f t="shared" si="11"/>
        <v>0</v>
      </c>
      <c r="AG22" s="163">
        <f t="shared" si="12"/>
        <v>6</v>
      </c>
      <c r="AH22" s="163">
        <f t="shared" si="13"/>
        <v>7</v>
      </c>
      <c r="AJ22" s="165" t="str">
        <f t="shared" si="14"/>
        <v/>
      </c>
      <c r="AK22" s="180" t="str">
        <f t="shared" si="15"/>
        <v>Yes</v>
      </c>
      <c r="AM22" s="179"/>
      <c r="AN22" s="179"/>
      <c r="AP22" s="166">
        <f t="shared" si="16"/>
        <v>7</v>
      </c>
      <c r="AQ22" s="166">
        <f t="shared" si="17"/>
        <v>1</v>
      </c>
      <c r="AR22" s="166">
        <f t="shared" si="18"/>
        <v>0</v>
      </c>
      <c r="AS22" s="162"/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IF($J$1="Active",IF(Salary_Master_2!B23="","",_xlfn.IFS(Salary_Master_2!M23="Working",IF(Salary_Master_2!H23&lt;=DATE(2025,7,31),Salary_Master_2!B23,""),Salary_Master_2!M23="Left",IF(Salary_Master_2!N23&gt;DATE(2025,6,30),Salary_Master_2!B23,""))),"")</f>
        <v>Rahul Jadhav</v>
      </c>
      <c r="C23" s="304">
        <v>31</v>
      </c>
      <c r="D23" s="305">
        <f t="shared" si="19"/>
        <v>31</v>
      </c>
      <c r="E23" s="177"/>
      <c r="F23" s="177"/>
      <c r="G23" s="177"/>
      <c r="H23" s="305">
        <f t="shared" si="20"/>
        <v>31</v>
      </c>
      <c r="I23" s="177"/>
      <c r="J23" s="177"/>
      <c r="K23" s="158" t="str">
        <f t="shared" si="1"/>
        <v>Yes</v>
      </c>
      <c r="L23" s="158" t="str">
        <f t="shared" si="2"/>
        <v>Yes</v>
      </c>
      <c r="M23" s="168"/>
      <c r="N23" s="169">
        <f t="shared" si="3"/>
        <v>10000</v>
      </c>
      <c r="O23" s="170">
        <f t="shared" si="4"/>
        <v>2000</v>
      </c>
      <c r="P23" s="170">
        <f t="shared" si="5"/>
        <v>1600</v>
      </c>
      <c r="Q23" s="170">
        <f t="shared" si="6"/>
        <v>833</v>
      </c>
      <c r="R23" s="170">
        <f t="shared" si="7"/>
        <v>5317</v>
      </c>
      <c r="S23" s="170">
        <f t="shared" si="21"/>
        <v>0</v>
      </c>
      <c r="T23" s="170">
        <f t="shared" si="22"/>
        <v>0</v>
      </c>
      <c r="U23" s="170">
        <f t="shared" si="23"/>
        <v>0</v>
      </c>
      <c r="V23" s="262">
        <f t="shared" si="24"/>
        <v>19750</v>
      </c>
      <c r="W23" s="160">
        <f t="shared" si="8"/>
        <v>1800</v>
      </c>
      <c r="X23" s="160">
        <f t="shared" si="25"/>
        <v>0</v>
      </c>
      <c r="Y23" s="160">
        <f t="shared" si="26"/>
        <v>148</v>
      </c>
      <c r="Z23" s="160">
        <f t="shared" si="27"/>
        <v>0</v>
      </c>
      <c r="AA23" s="160">
        <f t="shared" si="28"/>
        <v>200</v>
      </c>
      <c r="AB23" s="160">
        <f t="shared" si="29"/>
        <v>2000</v>
      </c>
      <c r="AC23" s="160">
        <f t="shared" si="30"/>
        <v>0</v>
      </c>
      <c r="AD23" s="307">
        <f t="shared" si="31"/>
        <v>15602</v>
      </c>
      <c r="AE23" s="303" t="str">
        <f t="shared" si="10"/>
        <v>Male</v>
      </c>
      <c r="AF23" s="163">
        <f t="shared" si="11"/>
        <v>4.5</v>
      </c>
      <c r="AG23" s="163">
        <f t="shared" si="12"/>
        <v>7</v>
      </c>
      <c r="AH23" s="163">
        <f t="shared" si="13"/>
        <v>7</v>
      </c>
      <c r="AJ23" s="165" t="str">
        <f t="shared" si="14"/>
        <v/>
      </c>
      <c r="AK23" s="180" t="str">
        <f t="shared" si="15"/>
        <v>Yes</v>
      </c>
      <c r="AM23" s="179">
        <f>2000</f>
        <v>2000</v>
      </c>
      <c r="AN23" s="179"/>
      <c r="AP23" s="166">
        <f t="shared" si="16"/>
        <v>2.5</v>
      </c>
      <c r="AQ23" s="166">
        <f t="shared" si="17"/>
        <v>0</v>
      </c>
      <c r="AR23" s="166">
        <f t="shared" si="18"/>
        <v>0</v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IF($J$1="Active",IF(Salary_Master_2!B24="","",_xlfn.IFS(Salary_Master_2!M24="Working",IF(Salary_Master_2!H24&lt;=DATE(2025,7,31),Salary_Master_2!B24,""),Salary_Master_2!M24="Left",IF(Salary_Master_2!N24&gt;DATE(2025,6,30),Salary_Master_2!B24,""))),"")</f>
        <v>Yash Ghumre</v>
      </c>
      <c r="C24" s="304">
        <v>31</v>
      </c>
      <c r="D24" s="305">
        <f t="shared" si="19"/>
        <v>31</v>
      </c>
      <c r="E24" s="177"/>
      <c r="F24" s="177"/>
      <c r="G24" s="177"/>
      <c r="H24" s="305">
        <f t="shared" si="20"/>
        <v>31</v>
      </c>
      <c r="I24" s="177"/>
      <c r="J24" s="177"/>
      <c r="K24" s="158" t="str">
        <f t="shared" si="1"/>
        <v>Yes</v>
      </c>
      <c r="L24" s="158" t="str">
        <f t="shared" si="2"/>
        <v>No</v>
      </c>
      <c r="M24" s="168"/>
      <c r="N24" s="169">
        <f t="shared" si="3"/>
        <v>10000</v>
      </c>
      <c r="O24" s="170">
        <f t="shared" si="4"/>
        <v>2000</v>
      </c>
      <c r="P24" s="170">
        <f t="shared" si="5"/>
        <v>1600</v>
      </c>
      <c r="Q24" s="170">
        <f t="shared" si="6"/>
        <v>833</v>
      </c>
      <c r="R24" s="170">
        <f t="shared" si="7"/>
        <v>11967</v>
      </c>
      <c r="S24" s="170">
        <f t="shared" si="21"/>
        <v>1800</v>
      </c>
      <c r="T24" s="170">
        <f t="shared" si="22"/>
        <v>1800</v>
      </c>
      <c r="U24" s="170">
        <f t="shared" si="23"/>
        <v>0</v>
      </c>
      <c r="V24" s="262">
        <f t="shared" si="24"/>
        <v>30000</v>
      </c>
      <c r="W24" s="160">
        <f t="shared" si="8"/>
        <v>1800</v>
      </c>
      <c r="X24" s="160">
        <f t="shared" si="25"/>
        <v>1800</v>
      </c>
      <c r="Y24" s="160">
        <f t="shared" si="26"/>
        <v>0</v>
      </c>
      <c r="Z24" s="160">
        <f t="shared" si="27"/>
        <v>0</v>
      </c>
      <c r="AA24" s="160">
        <f t="shared" si="28"/>
        <v>200</v>
      </c>
      <c r="AB24" s="160">
        <f t="shared" si="29"/>
        <v>0</v>
      </c>
      <c r="AC24" s="160">
        <f t="shared" si="30"/>
        <v>0</v>
      </c>
      <c r="AD24" s="307">
        <f t="shared" si="31"/>
        <v>26200</v>
      </c>
      <c r="AE24" s="303" t="str">
        <f t="shared" si="10"/>
        <v>Male</v>
      </c>
      <c r="AF24" s="163">
        <f t="shared" si="11"/>
        <v>0</v>
      </c>
      <c r="AG24" s="163">
        <f t="shared" si="12"/>
        <v>4.5</v>
      </c>
      <c r="AH24" s="163">
        <f t="shared" si="13"/>
        <v>7</v>
      </c>
      <c r="AJ24" s="165" t="str">
        <f t="shared" si="14"/>
        <v/>
      </c>
      <c r="AK24" s="180" t="str">
        <f t="shared" si="15"/>
        <v>Yes</v>
      </c>
      <c r="AM24" s="179"/>
      <c r="AN24" s="179"/>
      <c r="AP24" s="166">
        <f t="shared" si="16"/>
        <v>7</v>
      </c>
      <c r="AQ24" s="166">
        <f t="shared" si="17"/>
        <v>2.5</v>
      </c>
      <c r="AR24" s="166">
        <f t="shared" si="18"/>
        <v>0</v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IF($J$1="Active",IF(Salary_Master_2!B25="","",_xlfn.IFS(Salary_Master_2!M25="Working",IF(Salary_Master_2!H25&lt;=DATE(2025,7,31),Salary_Master_2!B25,""),Salary_Master_2!M25="Left",IF(Salary_Master_2!N25&gt;DATE(2025,6,30),Salary_Master_2!B25,""))),"")</f>
        <v>Shivraj Mahajan</v>
      </c>
      <c r="C25" s="304">
        <v>31</v>
      </c>
      <c r="D25" s="305">
        <f t="shared" si="19"/>
        <v>31</v>
      </c>
      <c r="E25" s="177"/>
      <c r="F25" s="177"/>
      <c r="G25" s="177"/>
      <c r="H25" s="305">
        <f t="shared" si="20"/>
        <v>31</v>
      </c>
      <c r="I25" s="177"/>
      <c r="J25" s="177"/>
      <c r="K25" s="158" t="str">
        <f t="shared" si="1"/>
        <v>Yes</v>
      </c>
      <c r="L25" s="158" t="str">
        <f t="shared" si="2"/>
        <v>No</v>
      </c>
      <c r="M25" s="168"/>
      <c r="N25" s="169">
        <f t="shared" si="3"/>
        <v>11500</v>
      </c>
      <c r="O25" s="170">
        <f t="shared" si="4"/>
        <v>4600</v>
      </c>
      <c r="P25" s="170">
        <f t="shared" si="5"/>
        <v>1600</v>
      </c>
      <c r="Q25" s="170">
        <f t="shared" si="6"/>
        <v>958</v>
      </c>
      <c r="R25" s="170">
        <f t="shared" si="7"/>
        <v>15242</v>
      </c>
      <c r="S25" s="170">
        <f t="shared" si="21"/>
        <v>1800</v>
      </c>
      <c r="T25" s="170">
        <f t="shared" si="22"/>
        <v>1800</v>
      </c>
      <c r="U25" s="170">
        <f t="shared" si="23"/>
        <v>0</v>
      </c>
      <c r="V25" s="262">
        <f t="shared" si="24"/>
        <v>37500</v>
      </c>
      <c r="W25" s="160">
        <f t="shared" si="8"/>
        <v>1800</v>
      </c>
      <c r="X25" s="160">
        <f t="shared" si="25"/>
        <v>1800</v>
      </c>
      <c r="Y25" s="160">
        <f t="shared" si="26"/>
        <v>0</v>
      </c>
      <c r="Z25" s="160">
        <f t="shared" si="27"/>
        <v>0</v>
      </c>
      <c r="AA25" s="160">
        <f t="shared" si="28"/>
        <v>200</v>
      </c>
      <c r="AB25" s="160">
        <f t="shared" si="29"/>
        <v>0</v>
      </c>
      <c r="AC25" s="160">
        <f t="shared" si="30"/>
        <v>0</v>
      </c>
      <c r="AD25" s="307">
        <f t="shared" si="31"/>
        <v>33700</v>
      </c>
      <c r="AE25" s="303" t="str">
        <f t="shared" si="10"/>
        <v>Male</v>
      </c>
      <c r="AF25" s="163">
        <f t="shared" si="11"/>
        <v>1</v>
      </c>
      <c r="AG25" s="163">
        <f t="shared" si="12"/>
        <v>7</v>
      </c>
      <c r="AH25" s="163">
        <f t="shared" si="13"/>
        <v>7</v>
      </c>
      <c r="AJ25" s="165" t="str">
        <f t="shared" si="14"/>
        <v/>
      </c>
      <c r="AK25" s="180" t="str">
        <f t="shared" si="15"/>
        <v>Yes</v>
      </c>
      <c r="AM25" s="179"/>
      <c r="AN25" s="179"/>
      <c r="AP25" s="166">
        <f t="shared" si="16"/>
        <v>6</v>
      </c>
      <c r="AQ25" s="166">
        <f t="shared" si="17"/>
        <v>0</v>
      </c>
      <c r="AR25" s="166">
        <f t="shared" si="18"/>
        <v>0</v>
      </c>
      <c r="AS25" s="162"/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IF($J$1="Active",IF(Salary_Master_2!B26="","",_xlfn.IFS(Salary_Master_2!M26="Working",IF(Salary_Master_2!H26&lt;=DATE(2025,7,31),Salary_Master_2!B26,""),Salary_Master_2!M26="Left",IF(Salary_Master_2!N26&gt;DATE(2025,6,30),Salary_Master_2!B26,""))),"")</f>
        <v>Akash Gholap</v>
      </c>
      <c r="C26" s="304">
        <v>31</v>
      </c>
      <c r="D26" s="305">
        <f t="shared" si="19"/>
        <v>21</v>
      </c>
      <c r="E26" s="177"/>
      <c r="F26" s="177"/>
      <c r="G26" s="177"/>
      <c r="H26" s="305">
        <f t="shared" si="20"/>
        <v>21</v>
      </c>
      <c r="I26" s="177">
        <v>10</v>
      </c>
      <c r="J26" s="177"/>
      <c r="K26" s="158" t="str">
        <f t="shared" si="1"/>
        <v>Yes</v>
      </c>
      <c r="L26" s="158" t="str">
        <f t="shared" si="2"/>
        <v>No</v>
      </c>
      <c r="M26" s="168"/>
      <c r="N26" s="169">
        <f t="shared" si="3"/>
        <v>7790</v>
      </c>
      <c r="O26" s="170">
        <f t="shared" si="4"/>
        <v>3116</v>
      </c>
      <c r="P26" s="170">
        <f t="shared" si="5"/>
        <v>1084</v>
      </c>
      <c r="Q26" s="170">
        <f t="shared" si="6"/>
        <v>649</v>
      </c>
      <c r="R26" s="170">
        <f t="shared" si="7"/>
        <v>9174</v>
      </c>
      <c r="S26" s="170">
        <f t="shared" si="21"/>
        <v>1800</v>
      </c>
      <c r="T26" s="170">
        <f t="shared" si="22"/>
        <v>1800</v>
      </c>
      <c r="U26" s="170">
        <f t="shared" si="23"/>
        <v>0</v>
      </c>
      <c r="V26" s="262">
        <f t="shared" si="24"/>
        <v>25413</v>
      </c>
      <c r="W26" s="160">
        <f t="shared" si="8"/>
        <v>1800</v>
      </c>
      <c r="X26" s="160">
        <f t="shared" si="25"/>
        <v>1800</v>
      </c>
      <c r="Y26" s="160">
        <f t="shared" si="26"/>
        <v>0</v>
      </c>
      <c r="Z26" s="160">
        <f t="shared" si="27"/>
        <v>0</v>
      </c>
      <c r="AA26" s="160">
        <f t="shared" si="28"/>
        <v>200</v>
      </c>
      <c r="AB26" s="160">
        <f t="shared" si="29"/>
        <v>0</v>
      </c>
      <c r="AC26" s="160">
        <f t="shared" si="30"/>
        <v>0</v>
      </c>
      <c r="AD26" s="307">
        <f t="shared" si="31"/>
        <v>21613</v>
      </c>
      <c r="AE26" s="303" t="str">
        <f t="shared" si="10"/>
        <v>Male</v>
      </c>
      <c r="AF26" s="163">
        <f t="shared" si="11"/>
        <v>0</v>
      </c>
      <c r="AG26" s="163">
        <f t="shared" si="12"/>
        <v>4</v>
      </c>
      <c r="AH26" s="163">
        <f t="shared" si="13"/>
        <v>7</v>
      </c>
      <c r="AJ26" s="165" t="str">
        <f t="shared" si="14"/>
        <v/>
      </c>
      <c r="AK26" s="180" t="str">
        <f t="shared" si="15"/>
        <v>Yes</v>
      </c>
      <c r="AM26" s="179"/>
      <c r="AN26" s="179"/>
      <c r="AP26" s="166">
        <f t="shared" si="16"/>
        <v>7</v>
      </c>
      <c r="AQ26" s="166">
        <f t="shared" si="17"/>
        <v>3</v>
      </c>
      <c r="AR26" s="166">
        <f t="shared" si="18"/>
        <v>0</v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IF($J$1="Active",IF(Salary_Master_2!B27="","",_xlfn.IFS(Salary_Master_2!M27="Working",IF(Salary_Master_2!H27&lt;=DATE(2025,7,31),Salary_Master_2!B27,""),Salary_Master_2!M27="Left",IF(Salary_Master_2!N27&gt;DATE(2025,6,30),Salary_Master_2!B27,""))),"")</f>
        <v>Jatin Bhosale</v>
      </c>
      <c r="C27" s="304">
        <v>31</v>
      </c>
      <c r="D27" s="305">
        <f t="shared" si="19"/>
        <v>31</v>
      </c>
      <c r="E27" s="177"/>
      <c r="F27" s="177"/>
      <c r="G27" s="177"/>
      <c r="H27" s="305">
        <f t="shared" si="20"/>
        <v>31</v>
      </c>
      <c r="I27" s="177"/>
      <c r="J27" s="177"/>
      <c r="K27" s="158" t="str">
        <f t="shared" si="1"/>
        <v>Yes</v>
      </c>
      <c r="L27" s="158" t="str">
        <f t="shared" si="2"/>
        <v>No</v>
      </c>
      <c r="M27" s="168"/>
      <c r="N27" s="169">
        <f t="shared" si="3"/>
        <v>15000</v>
      </c>
      <c r="O27" s="170">
        <f t="shared" si="4"/>
        <v>6000</v>
      </c>
      <c r="P27" s="170">
        <f t="shared" si="5"/>
        <v>1600</v>
      </c>
      <c r="Q27" s="170">
        <f t="shared" si="6"/>
        <v>1250</v>
      </c>
      <c r="R27" s="170">
        <f t="shared" si="7"/>
        <v>55050</v>
      </c>
      <c r="S27" s="170">
        <f t="shared" si="21"/>
        <v>1800</v>
      </c>
      <c r="T27" s="170">
        <f t="shared" si="22"/>
        <v>1800</v>
      </c>
      <c r="U27" s="170">
        <f t="shared" si="23"/>
        <v>0</v>
      </c>
      <c r="V27" s="262">
        <f t="shared" si="24"/>
        <v>82500</v>
      </c>
      <c r="W27" s="160">
        <f t="shared" si="8"/>
        <v>1800</v>
      </c>
      <c r="X27" s="160">
        <f t="shared" si="25"/>
        <v>1800</v>
      </c>
      <c r="Y27" s="160">
        <f t="shared" si="26"/>
        <v>0</v>
      </c>
      <c r="Z27" s="160">
        <f t="shared" si="27"/>
        <v>0</v>
      </c>
      <c r="AA27" s="160">
        <f t="shared" si="28"/>
        <v>200</v>
      </c>
      <c r="AB27" s="160">
        <f t="shared" si="29"/>
        <v>0</v>
      </c>
      <c r="AC27" s="160">
        <f t="shared" si="30"/>
        <v>0</v>
      </c>
      <c r="AD27" s="307">
        <f t="shared" si="31"/>
        <v>78700</v>
      </c>
      <c r="AE27" s="303" t="str">
        <f t="shared" si="10"/>
        <v>Male</v>
      </c>
      <c r="AF27" s="163">
        <f t="shared" si="11"/>
        <v>0</v>
      </c>
      <c r="AG27" s="163">
        <f t="shared" si="12"/>
        <v>5</v>
      </c>
      <c r="AH27" s="163">
        <f t="shared" si="13"/>
        <v>7</v>
      </c>
      <c r="AJ27" s="165" t="str">
        <f t="shared" si="14"/>
        <v/>
      </c>
      <c r="AK27" s="180" t="s">
        <v>49</v>
      </c>
      <c r="AM27" s="179"/>
      <c r="AN27" s="179"/>
      <c r="AP27" s="166">
        <f t="shared" si="16"/>
        <v>7</v>
      </c>
      <c r="AQ27" s="166">
        <f t="shared" si="17"/>
        <v>2</v>
      </c>
      <c r="AR27" s="166">
        <f t="shared" si="18"/>
        <v>0</v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IF($J$1="Active",IF(Salary_Master_2!B28="","",_xlfn.IFS(Salary_Master_2!M28="Working",IF(Salary_Master_2!H28&lt;=DATE(2025,7,31),Salary_Master_2!B28,""),Salary_Master_2!M28="Left",IF(Salary_Master_2!N28&gt;DATE(2025,6,30),Salary_Master_2!B28,""))),"")</f>
        <v>Pratik Lotankar</v>
      </c>
      <c r="C28" s="304">
        <v>31</v>
      </c>
      <c r="D28" s="305">
        <f t="shared" si="19"/>
        <v>31</v>
      </c>
      <c r="E28" s="177"/>
      <c r="F28" s="177"/>
      <c r="G28" s="177"/>
      <c r="H28" s="305">
        <f t="shared" si="20"/>
        <v>31</v>
      </c>
      <c r="I28" s="177"/>
      <c r="J28" s="177"/>
      <c r="K28" s="158" t="str">
        <f t="shared" si="1"/>
        <v>Yes</v>
      </c>
      <c r="L28" s="158" t="str">
        <f t="shared" si="2"/>
        <v>No</v>
      </c>
      <c r="M28" s="168"/>
      <c r="N28" s="169">
        <f t="shared" si="3"/>
        <v>15000</v>
      </c>
      <c r="O28" s="170">
        <f t="shared" si="4"/>
        <v>6000</v>
      </c>
      <c r="P28" s="170">
        <f t="shared" si="5"/>
        <v>1600</v>
      </c>
      <c r="Q28" s="170">
        <f t="shared" si="6"/>
        <v>1250</v>
      </c>
      <c r="R28" s="170">
        <f t="shared" si="7"/>
        <v>51050</v>
      </c>
      <c r="S28" s="170">
        <f t="shared" si="21"/>
        <v>1800</v>
      </c>
      <c r="T28" s="170">
        <f t="shared" si="22"/>
        <v>1800</v>
      </c>
      <c r="U28" s="170">
        <f t="shared" si="23"/>
        <v>0</v>
      </c>
      <c r="V28" s="262">
        <f t="shared" si="24"/>
        <v>78500</v>
      </c>
      <c r="W28" s="160">
        <f t="shared" si="8"/>
        <v>1800</v>
      </c>
      <c r="X28" s="160">
        <f t="shared" si="25"/>
        <v>1800</v>
      </c>
      <c r="Y28" s="160">
        <f t="shared" si="26"/>
        <v>0</v>
      </c>
      <c r="Z28" s="160">
        <f t="shared" si="27"/>
        <v>0</v>
      </c>
      <c r="AA28" s="160">
        <f t="shared" si="28"/>
        <v>200</v>
      </c>
      <c r="AB28" s="160">
        <f t="shared" si="29"/>
        <v>0</v>
      </c>
      <c r="AC28" s="160">
        <f t="shared" si="30"/>
        <v>0</v>
      </c>
      <c r="AD28" s="307">
        <f t="shared" si="31"/>
        <v>74700</v>
      </c>
      <c r="AE28" s="303" t="str">
        <f t="shared" si="10"/>
        <v>Male</v>
      </c>
      <c r="AF28" s="163">
        <f t="shared" si="11"/>
        <v>1.5</v>
      </c>
      <c r="AG28" s="163">
        <f t="shared" si="12"/>
        <v>5</v>
      </c>
      <c r="AH28" s="163">
        <f t="shared" si="13"/>
        <v>7</v>
      </c>
      <c r="AJ28" s="165" t="str">
        <f t="shared" si="14"/>
        <v/>
      </c>
      <c r="AK28" s="180" t="s">
        <v>49</v>
      </c>
      <c r="AM28" s="179"/>
      <c r="AN28" s="179"/>
      <c r="AP28" s="166">
        <f t="shared" si="16"/>
        <v>5.5</v>
      </c>
      <c r="AQ28" s="166">
        <f t="shared" si="17"/>
        <v>2</v>
      </c>
      <c r="AR28" s="166">
        <f t="shared" si="18"/>
        <v>0</v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IF($J$1="Active",IF(Salary_Master_2!B29="","",_xlfn.IFS(Salary_Master_2!M29="Working",IF(Salary_Master_2!H29&lt;=DATE(2025,7,31),Salary_Master_2!B29,""),Salary_Master_2!M29="Left",IF(Salary_Master_2!N29&gt;DATE(2025,6,30),Salary_Master_2!B29,""))),"")</f>
        <v>Jyoti Sawant</v>
      </c>
      <c r="C29" s="304">
        <v>31</v>
      </c>
      <c r="D29" s="305">
        <f t="shared" si="19"/>
        <v>31</v>
      </c>
      <c r="E29" s="177"/>
      <c r="F29" s="177"/>
      <c r="G29" s="177"/>
      <c r="H29" s="305">
        <f t="shared" si="20"/>
        <v>31</v>
      </c>
      <c r="I29" s="177"/>
      <c r="J29" s="177"/>
      <c r="K29" s="158" t="str">
        <f t="shared" si="1"/>
        <v>Yes</v>
      </c>
      <c r="L29" s="158" t="str">
        <f t="shared" si="2"/>
        <v>No</v>
      </c>
      <c r="M29" s="168"/>
      <c r="N29" s="169">
        <f t="shared" si="3"/>
        <v>10000</v>
      </c>
      <c r="O29" s="170">
        <f t="shared" si="4"/>
        <v>2000</v>
      </c>
      <c r="P29" s="170">
        <f t="shared" si="5"/>
        <v>1600</v>
      </c>
      <c r="Q29" s="170">
        <f t="shared" si="6"/>
        <v>833</v>
      </c>
      <c r="R29" s="170">
        <f t="shared" si="7"/>
        <v>14467</v>
      </c>
      <c r="S29" s="170">
        <f t="shared" si="21"/>
        <v>1800</v>
      </c>
      <c r="T29" s="170">
        <f t="shared" si="22"/>
        <v>1800</v>
      </c>
      <c r="U29" s="170">
        <f t="shared" si="23"/>
        <v>0</v>
      </c>
      <c r="V29" s="262">
        <f t="shared" si="24"/>
        <v>32500</v>
      </c>
      <c r="W29" s="160">
        <f t="shared" si="8"/>
        <v>1800</v>
      </c>
      <c r="X29" s="160">
        <f t="shared" si="25"/>
        <v>1800</v>
      </c>
      <c r="Y29" s="160">
        <f t="shared" si="26"/>
        <v>0</v>
      </c>
      <c r="Z29" s="160">
        <f t="shared" si="27"/>
        <v>0</v>
      </c>
      <c r="AA29" s="160">
        <f t="shared" si="28"/>
        <v>200</v>
      </c>
      <c r="AB29" s="160">
        <f t="shared" si="29"/>
        <v>0</v>
      </c>
      <c r="AC29" s="160">
        <f t="shared" si="30"/>
        <v>0</v>
      </c>
      <c r="AD29" s="307">
        <f t="shared" si="31"/>
        <v>28700</v>
      </c>
      <c r="AE29" s="303" t="str">
        <f t="shared" si="10"/>
        <v>Female</v>
      </c>
      <c r="AF29" s="163">
        <f t="shared" si="11"/>
        <v>0</v>
      </c>
      <c r="AG29" s="163">
        <f t="shared" si="12"/>
        <v>5.5</v>
      </c>
      <c r="AH29" s="163">
        <f t="shared" si="13"/>
        <v>7</v>
      </c>
      <c r="AJ29" s="165" t="str">
        <f t="shared" si="14"/>
        <v/>
      </c>
      <c r="AK29" s="180" t="str">
        <f t="shared" si="15"/>
        <v>Yes</v>
      </c>
      <c r="AM29" s="179"/>
      <c r="AN29" s="179"/>
      <c r="AP29" s="166">
        <f t="shared" si="16"/>
        <v>7</v>
      </c>
      <c r="AQ29" s="166">
        <f t="shared" si="17"/>
        <v>1.5</v>
      </c>
      <c r="AR29" s="166">
        <f t="shared" si="18"/>
        <v>0</v>
      </c>
      <c r="AS29" s="162"/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IF($J$1="Active",IF(Salary_Master_2!B30="","",_xlfn.IFS(Salary_Master_2!M30="Working",IF(Salary_Master_2!H30&lt;=DATE(2025,7,31),Salary_Master_2!B30,""),Salary_Master_2!M30="Left",IF(Salary_Master_2!N30&gt;DATE(2025,6,30),Salary_Master_2!B30,""))),"")</f>
        <v>Deepu Raj</v>
      </c>
      <c r="C30" s="304">
        <v>31</v>
      </c>
      <c r="D30" s="305">
        <f t="shared" si="19"/>
        <v>31</v>
      </c>
      <c r="E30" s="177"/>
      <c r="F30" s="177"/>
      <c r="G30" s="177"/>
      <c r="H30" s="305">
        <f t="shared" si="20"/>
        <v>31</v>
      </c>
      <c r="I30" s="177"/>
      <c r="J30" s="177"/>
      <c r="K30" s="158" t="str">
        <f t="shared" si="1"/>
        <v>No</v>
      </c>
      <c r="L30" s="158" t="str">
        <f t="shared" si="2"/>
        <v>No</v>
      </c>
      <c r="M30" s="168"/>
      <c r="N30" s="169">
        <f t="shared" si="3"/>
        <v>15000</v>
      </c>
      <c r="O30" s="170">
        <f t="shared" si="4"/>
        <v>6000</v>
      </c>
      <c r="P30" s="170">
        <f t="shared" si="5"/>
        <v>1600</v>
      </c>
      <c r="Q30" s="170">
        <f t="shared" si="6"/>
        <v>1250</v>
      </c>
      <c r="R30" s="170">
        <f t="shared" si="7"/>
        <v>13150</v>
      </c>
      <c r="S30" s="170">
        <f t="shared" si="21"/>
        <v>0</v>
      </c>
      <c r="T30" s="170">
        <f t="shared" si="22"/>
        <v>0</v>
      </c>
      <c r="U30" s="170">
        <f t="shared" si="23"/>
        <v>0</v>
      </c>
      <c r="V30" s="262">
        <f t="shared" si="24"/>
        <v>37000</v>
      </c>
      <c r="W30" s="160">
        <f t="shared" si="8"/>
        <v>0</v>
      </c>
      <c r="X30" s="160">
        <f t="shared" si="25"/>
        <v>0</v>
      </c>
      <c r="Y30" s="160">
        <f t="shared" si="26"/>
        <v>0</v>
      </c>
      <c r="Z30" s="160">
        <f t="shared" si="27"/>
        <v>0</v>
      </c>
      <c r="AA30" s="160">
        <f t="shared" si="28"/>
        <v>200</v>
      </c>
      <c r="AB30" s="160">
        <f t="shared" si="29"/>
        <v>0</v>
      </c>
      <c r="AC30" s="160">
        <f t="shared" si="30"/>
        <v>0</v>
      </c>
      <c r="AD30" s="307">
        <f t="shared" si="31"/>
        <v>36800</v>
      </c>
      <c r="AE30" s="303" t="str">
        <f t="shared" si="10"/>
        <v>Male</v>
      </c>
      <c r="AF30" s="163">
        <f t="shared" si="11"/>
        <v>7</v>
      </c>
      <c r="AG30" s="163">
        <f t="shared" si="12"/>
        <v>7</v>
      </c>
      <c r="AH30" s="163">
        <f t="shared" si="13"/>
        <v>7</v>
      </c>
      <c r="AJ30" s="165" t="str">
        <f t="shared" si="14"/>
        <v/>
      </c>
      <c r="AK30" s="180" t="str">
        <f t="shared" si="15"/>
        <v>Yes</v>
      </c>
      <c r="AM30" s="179"/>
      <c r="AN30" s="179"/>
      <c r="AP30" s="166">
        <f t="shared" si="16"/>
        <v>0</v>
      </c>
      <c r="AQ30" s="166">
        <f t="shared" si="17"/>
        <v>0</v>
      </c>
      <c r="AR30" s="166">
        <f t="shared" si="18"/>
        <v>0</v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IF($J$1="Active",IF(Salary_Master_2!B31="","",_xlfn.IFS(Salary_Master_2!M31="Working",IF(Salary_Master_2!H31&lt;=DATE(2025,7,31),Salary_Master_2!B31,""),Salary_Master_2!M31="Left",IF(Salary_Master_2!N31&gt;DATE(2025,6,30),Salary_Master_2!B31,""))),"")</f>
        <v xml:space="preserve">Vicky Kumar </v>
      </c>
      <c r="C31" s="304">
        <v>31</v>
      </c>
      <c r="D31" s="305">
        <f t="shared" si="19"/>
        <v>31</v>
      </c>
      <c r="E31" s="177"/>
      <c r="F31" s="177"/>
      <c r="G31" s="177"/>
      <c r="H31" s="305">
        <f t="shared" si="20"/>
        <v>31</v>
      </c>
      <c r="I31" s="177"/>
      <c r="J31" s="177"/>
      <c r="K31" s="158" t="str">
        <f t="shared" si="1"/>
        <v>Yes</v>
      </c>
      <c r="L31" s="158" t="str">
        <f t="shared" si="2"/>
        <v>No</v>
      </c>
      <c r="M31" s="168"/>
      <c r="N31" s="169">
        <f t="shared" si="3"/>
        <v>10000</v>
      </c>
      <c r="O31" s="170">
        <f t="shared" si="4"/>
        <v>2000</v>
      </c>
      <c r="P31" s="170">
        <f t="shared" si="5"/>
        <v>1600</v>
      </c>
      <c r="Q31" s="170">
        <f t="shared" si="6"/>
        <v>833</v>
      </c>
      <c r="R31" s="170">
        <f t="shared" si="7"/>
        <v>6967</v>
      </c>
      <c r="S31" s="170">
        <f t="shared" si="21"/>
        <v>1800</v>
      </c>
      <c r="T31" s="170">
        <f t="shared" si="22"/>
        <v>1800</v>
      </c>
      <c r="U31" s="170">
        <f t="shared" si="23"/>
        <v>0</v>
      </c>
      <c r="V31" s="262">
        <f t="shared" si="24"/>
        <v>25000</v>
      </c>
      <c r="W31" s="160">
        <f t="shared" si="8"/>
        <v>1800</v>
      </c>
      <c r="X31" s="160">
        <f t="shared" si="25"/>
        <v>1800</v>
      </c>
      <c r="Y31" s="160">
        <f t="shared" si="26"/>
        <v>0</v>
      </c>
      <c r="Z31" s="160">
        <f t="shared" si="27"/>
        <v>0</v>
      </c>
      <c r="AA31" s="160">
        <f t="shared" si="28"/>
        <v>200</v>
      </c>
      <c r="AB31" s="160">
        <f t="shared" si="29"/>
        <v>0</v>
      </c>
      <c r="AC31" s="160">
        <f t="shared" si="30"/>
        <v>0</v>
      </c>
      <c r="AD31" s="307">
        <f t="shared" si="31"/>
        <v>21200</v>
      </c>
      <c r="AE31" s="303" t="str">
        <f t="shared" si="10"/>
        <v>Male</v>
      </c>
      <c r="AF31" s="163">
        <f t="shared" si="11"/>
        <v>5</v>
      </c>
      <c r="AG31" s="163">
        <f t="shared" si="12"/>
        <v>7</v>
      </c>
      <c r="AH31" s="163">
        <f t="shared" si="13"/>
        <v>7</v>
      </c>
      <c r="AJ31" s="165" t="str">
        <f t="shared" si="14"/>
        <v/>
      </c>
      <c r="AK31" s="180" t="str">
        <f t="shared" si="15"/>
        <v>Yes</v>
      </c>
      <c r="AM31" s="179"/>
      <c r="AN31" s="179"/>
      <c r="AP31" s="166">
        <f t="shared" si="16"/>
        <v>2</v>
      </c>
      <c r="AQ31" s="166">
        <f t="shared" si="17"/>
        <v>0</v>
      </c>
      <c r="AR31" s="166">
        <f t="shared" si="18"/>
        <v>0</v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IF($J$1="Active",IF(Salary_Master_2!B32="","",_xlfn.IFS(Salary_Master_2!M32="Working",IF(Salary_Master_2!H32&lt;=DATE(2025,7,31),Salary_Master_2!B32,""),Salary_Master_2!M32="Left",IF(Salary_Master_2!N32&gt;DATE(2025,6,30),Salary_Master_2!B32,""))),"")</f>
        <v>Waman Bandekar</v>
      </c>
      <c r="C32" s="304">
        <v>31</v>
      </c>
      <c r="D32" s="305">
        <f t="shared" si="19"/>
        <v>31</v>
      </c>
      <c r="E32" s="177"/>
      <c r="F32" s="177"/>
      <c r="G32" s="177"/>
      <c r="H32" s="305">
        <f t="shared" si="20"/>
        <v>31</v>
      </c>
      <c r="I32" s="177"/>
      <c r="J32" s="177"/>
      <c r="K32" s="158" t="str">
        <f t="shared" si="1"/>
        <v>Yes</v>
      </c>
      <c r="L32" s="158" t="str">
        <f t="shared" si="2"/>
        <v>Yes</v>
      </c>
      <c r="M32" s="168"/>
      <c r="N32" s="169">
        <f t="shared" si="3"/>
        <v>10000</v>
      </c>
      <c r="O32" s="170">
        <f t="shared" si="4"/>
        <v>2000</v>
      </c>
      <c r="P32" s="170">
        <f t="shared" si="5"/>
        <v>1600</v>
      </c>
      <c r="Q32" s="170">
        <f t="shared" si="6"/>
        <v>833</v>
      </c>
      <c r="R32" s="170">
        <f t="shared" si="7"/>
        <v>1317</v>
      </c>
      <c r="S32" s="170">
        <f t="shared" si="21"/>
        <v>1800</v>
      </c>
      <c r="T32" s="170">
        <f t="shared" si="22"/>
        <v>1800</v>
      </c>
      <c r="U32" s="170">
        <f t="shared" si="23"/>
        <v>650</v>
      </c>
      <c r="V32" s="262">
        <f t="shared" si="24"/>
        <v>20000</v>
      </c>
      <c r="W32" s="160">
        <f t="shared" si="8"/>
        <v>1800</v>
      </c>
      <c r="X32" s="160">
        <f t="shared" si="25"/>
        <v>1800</v>
      </c>
      <c r="Y32" s="160">
        <f t="shared" si="26"/>
        <v>150</v>
      </c>
      <c r="Z32" s="160">
        <f t="shared" si="27"/>
        <v>650</v>
      </c>
      <c r="AA32" s="160">
        <f t="shared" si="28"/>
        <v>200</v>
      </c>
      <c r="AB32" s="160">
        <f t="shared" si="29"/>
        <v>0</v>
      </c>
      <c r="AC32" s="160">
        <f t="shared" si="30"/>
        <v>0</v>
      </c>
      <c r="AD32" s="307">
        <f t="shared" si="31"/>
        <v>15400</v>
      </c>
      <c r="AE32" s="303" t="str">
        <f t="shared" si="10"/>
        <v>Male</v>
      </c>
      <c r="AF32" s="163">
        <f t="shared" si="11"/>
        <v>0</v>
      </c>
      <c r="AG32" s="163">
        <f t="shared" si="12"/>
        <v>5.5</v>
      </c>
      <c r="AH32" s="163">
        <f t="shared" si="13"/>
        <v>7</v>
      </c>
      <c r="AJ32" s="165" t="str">
        <f t="shared" si="14"/>
        <v/>
      </c>
      <c r="AK32" s="180" t="str">
        <f t="shared" si="15"/>
        <v>Yes</v>
      </c>
      <c r="AM32" s="179"/>
      <c r="AN32" s="179"/>
      <c r="AP32" s="166">
        <f t="shared" si="16"/>
        <v>7</v>
      </c>
      <c r="AQ32" s="166">
        <f t="shared" si="17"/>
        <v>1.5</v>
      </c>
      <c r="AR32" s="166">
        <f t="shared" si="18"/>
        <v>0</v>
      </c>
      <c r="AS32" s="162"/>
      <c r="AT32" s="162"/>
    </row>
    <row r="33" spans="1:46" s="162" customFormat="1" ht="25.2" customHeight="1" x14ac:dyDescent="0.3">
      <c r="A33" s="167">
        <v>29</v>
      </c>
      <c r="B33" s="156" t="str" cm="1">
        <f t="array" ref="B33">IF($J$1="Active",IF(Salary_Master_2!B33="","",_xlfn.IFS(Salary_Master_2!M33="Working",IF(Salary_Master_2!H33&lt;=DATE(2025,7,31),Salary_Master_2!B33,""),Salary_Master_2!M33="Left",IF(Salary_Master_2!N33&gt;DATE(2025,6,30),Salary_Master_2!B33,""))),"")</f>
        <v/>
      </c>
      <c r="C33" s="304">
        <v>31</v>
      </c>
      <c r="D33" s="305" t="str">
        <f t="shared" si="19"/>
        <v/>
      </c>
      <c r="E33" s="177"/>
      <c r="F33" s="177"/>
      <c r="G33" s="177"/>
      <c r="H33" s="305" t="str">
        <f t="shared" si="20"/>
        <v/>
      </c>
      <c r="I33" s="177"/>
      <c r="J33" s="177"/>
      <c r="K33" s="158" t="str">
        <f t="shared" si="1"/>
        <v/>
      </c>
      <c r="L33" s="158" t="str">
        <f t="shared" si="2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21"/>
        <v/>
      </c>
      <c r="T33" s="170" t="str">
        <f t="shared" si="22"/>
        <v/>
      </c>
      <c r="U33" s="170" t="str">
        <f t="shared" si="23"/>
        <v/>
      </c>
      <c r="V33" s="262">
        <f t="shared" si="24"/>
        <v>0</v>
      </c>
      <c r="W33" s="160" t="str">
        <f t="shared" ref="W33:W39" si="32">IF(B33="Sagar Kadam",1800,IF(B33="Rahul Jadhav",1800,S33))</f>
        <v/>
      </c>
      <c r="X33" s="160" t="str">
        <f t="shared" si="25"/>
        <v/>
      </c>
      <c r="Y33" s="160" t="str">
        <f t="shared" si="26"/>
        <v/>
      </c>
      <c r="Z33" s="160" t="str">
        <f t="shared" si="27"/>
        <v/>
      </c>
      <c r="AA33" s="160">
        <f t="shared" si="28"/>
        <v>0</v>
      </c>
      <c r="AB33" s="160">
        <f t="shared" si="29"/>
        <v>0</v>
      </c>
      <c r="AC33" s="160">
        <f t="shared" si="30"/>
        <v>0</v>
      </c>
      <c r="AD33" s="307">
        <f t="shared" si="31"/>
        <v>0</v>
      </c>
      <c r="AE33" s="303" t="str">
        <f t="shared" si="10"/>
        <v/>
      </c>
      <c r="AF33" s="163" t="str">
        <f t="shared" si="11"/>
        <v/>
      </c>
      <c r="AG33" s="163" t="str">
        <f t="shared" si="12"/>
        <v/>
      </c>
      <c r="AH33" s="163" t="str">
        <f t="shared" si="13"/>
        <v/>
      </c>
      <c r="AJ33" s="165" t="str">
        <f>IF(AK33="Yes",IF(VLOOKUP($B33,Junn25,36,FALSE)="No",MROUND(SUM(21/12*9),0.5),""),"")</f>
        <v/>
      </c>
      <c r="AK33" s="180"/>
      <c r="AM33" s="179"/>
      <c r="AN33" s="179"/>
      <c r="AP33" s="166" t="str">
        <f t="shared" si="16"/>
        <v/>
      </c>
      <c r="AQ33" s="166" t="str">
        <f t="shared" si="17"/>
        <v/>
      </c>
      <c r="AR33" s="166" t="str">
        <f t="shared" si="18"/>
        <v/>
      </c>
    </row>
    <row r="34" spans="1:46" s="162" customFormat="1" ht="25.2" customHeight="1" x14ac:dyDescent="0.3">
      <c r="A34" s="223">
        <v>30</v>
      </c>
      <c r="B34" s="156" t="str" cm="1">
        <f t="array" ref="B34">IF($J$1="Active",IF(Salary_Master_2!B34="","",_xlfn.IFS(Salary_Master_2!M34="Working",IF(Salary_Master_2!H34&lt;=DATE(2025,7,31),Salary_Master_2!B34,""),Salary_Master_2!M34="Left",IF(Salary_Master_2!N34&gt;DATE(2025,6,30),Salary_Master_2!B34,""))),"")</f>
        <v/>
      </c>
      <c r="C34" s="304">
        <v>31</v>
      </c>
      <c r="D34" s="305" t="str">
        <f t="shared" si="19"/>
        <v/>
      </c>
      <c r="E34" s="177"/>
      <c r="F34" s="177"/>
      <c r="G34" s="177"/>
      <c r="H34" s="305" t="str">
        <f t="shared" si="20"/>
        <v/>
      </c>
      <c r="I34" s="177"/>
      <c r="J34" s="177"/>
      <c r="K34" s="158" t="str">
        <f t="shared" si="1"/>
        <v/>
      </c>
      <c r="L34" s="158" t="str">
        <f t="shared" si="2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21"/>
        <v/>
      </c>
      <c r="T34" s="170" t="str">
        <f t="shared" si="22"/>
        <v/>
      </c>
      <c r="U34" s="170" t="str">
        <f t="shared" si="23"/>
        <v/>
      </c>
      <c r="V34" s="262">
        <f t="shared" si="24"/>
        <v>0</v>
      </c>
      <c r="W34" s="160" t="str">
        <f t="shared" si="32"/>
        <v/>
      </c>
      <c r="X34" s="160" t="str">
        <f t="shared" si="25"/>
        <v/>
      </c>
      <c r="Y34" s="160" t="str">
        <f t="shared" si="26"/>
        <v/>
      </c>
      <c r="Z34" s="160" t="str">
        <f t="shared" si="27"/>
        <v/>
      </c>
      <c r="AA34" s="160">
        <f t="shared" si="28"/>
        <v>0</v>
      </c>
      <c r="AB34" s="160">
        <f t="shared" si="29"/>
        <v>0</v>
      </c>
      <c r="AC34" s="160">
        <f t="shared" si="30"/>
        <v>0</v>
      </c>
      <c r="AD34" s="307">
        <f t="shared" si="31"/>
        <v>0</v>
      </c>
      <c r="AE34" s="303" t="str">
        <f t="shared" si="10"/>
        <v/>
      </c>
      <c r="AF34" s="163" t="str">
        <f t="shared" si="11"/>
        <v/>
      </c>
      <c r="AG34" s="163" t="str">
        <f t="shared" si="12"/>
        <v/>
      </c>
      <c r="AH34" s="163" t="str">
        <f t="shared" si="13"/>
        <v/>
      </c>
      <c r="AJ34" s="165" t="str">
        <f t="shared" si="14"/>
        <v/>
      </c>
      <c r="AK34" s="180" t="str">
        <f t="shared" si="15"/>
        <v/>
      </c>
      <c r="AM34" s="179"/>
      <c r="AN34" s="179"/>
      <c r="AP34" s="166" t="str">
        <f t="shared" si="16"/>
        <v/>
      </c>
      <c r="AQ34" s="166" t="str">
        <f t="shared" si="17"/>
        <v/>
      </c>
      <c r="AR34" s="166" t="str">
        <f t="shared" si="18"/>
        <v/>
      </c>
    </row>
    <row r="35" spans="1:46" s="162" customFormat="1" ht="25.2" customHeight="1" x14ac:dyDescent="0.3">
      <c r="A35" s="223">
        <v>31</v>
      </c>
      <c r="B35" s="156" t="str" cm="1">
        <f t="array" ref="B35">IF($J$1="Active",IF(Salary_Master_2!B35="","",_xlfn.IFS(Salary_Master_2!M35="Working",IF(Salary_Master_2!H35&lt;=DATE(2025,7,31),Salary_Master_2!B35,""),Salary_Master_2!M35="Left",IF(Salary_Master_2!N35&gt;DATE(2025,6,30),Salary_Master_2!B35,""))),"")</f>
        <v/>
      </c>
      <c r="C35" s="304">
        <v>31</v>
      </c>
      <c r="D35" s="305" t="str">
        <f t="shared" si="19"/>
        <v/>
      </c>
      <c r="E35" s="177"/>
      <c r="F35" s="177"/>
      <c r="G35" s="177"/>
      <c r="H35" s="305" t="str">
        <f t="shared" si="20"/>
        <v/>
      </c>
      <c r="I35" s="177"/>
      <c r="J35" s="177"/>
      <c r="K35" s="158" t="str">
        <f t="shared" si="1"/>
        <v/>
      </c>
      <c r="L35" s="158" t="str">
        <f t="shared" si="2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21"/>
        <v/>
      </c>
      <c r="T35" s="170" t="str">
        <f t="shared" si="22"/>
        <v/>
      </c>
      <c r="U35" s="170" t="str">
        <f t="shared" si="23"/>
        <v/>
      </c>
      <c r="V35" s="262">
        <f t="shared" si="24"/>
        <v>0</v>
      </c>
      <c r="W35" s="160" t="str">
        <f t="shared" si="32"/>
        <v/>
      </c>
      <c r="X35" s="160" t="str">
        <f t="shared" si="25"/>
        <v/>
      </c>
      <c r="Y35" s="160" t="str">
        <f t="shared" si="26"/>
        <v/>
      </c>
      <c r="Z35" s="160" t="str">
        <f t="shared" si="27"/>
        <v/>
      </c>
      <c r="AA35" s="160">
        <f t="shared" si="28"/>
        <v>0</v>
      </c>
      <c r="AB35" s="160">
        <f t="shared" si="29"/>
        <v>0</v>
      </c>
      <c r="AC35" s="160">
        <f t="shared" si="30"/>
        <v>0</v>
      </c>
      <c r="AD35" s="307">
        <f t="shared" si="31"/>
        <v>0</v>
      </c>
      <c r="AE35" s="303" t="str">
        <f t="shared" si="10"/>
        <v/>
      </c>
      <c r="AF35" s="163" t="str">
        <f t="shared" si="11"/>
        <v/>
      </c>
      <c r="AG35" s="163" t="str">
        <f t="shared" si="12"/>
        <v/>
      </c>
      <c r="AH35" s="163" t="str">
        <f t="shared" si="13"/>
        <v/>
      </c>
      <c r="AJ35" s="165" t="str">
        <f t="shared" si="14"/>
        <v/>
      </c>
      <c r="AK35" s="180" t="str">
        <f t="shared" si="15"/>
        <v/>
      </c>
      <c r="AM35" s="179"/>
      <c r="AN35" s="179"/>
      <c r="AP35" s="166" t="str">
        <f t="shared" si="16"/>
        <v/>
      </c>
      <c r="AQ35" s="166" t="str">
        <f t="shared" si="17"/>
        <v/>
      </c>
      <c r="AR35" s="166" t="str">
        <f t="shared" si="18"/>
        <v/>
      </c>
    </row>
    <row r="36" spans="1:46" s="162" customFormat="1" ht="25.2" customHeight="1" x14ac:dyDescent="0.3">
      <c r="A36" s="223">
        <v>32</v>
      </c>
      <c r="B36" s="156" t="str" cm="1">
        <f t="array" ref="B36">IF($J$1="Active",IF(Salary_Master_2!B36="","",_xlfn.IFS(Salary_Master_2!M36="Working",IF(Salary_Master_2!H36&lt;=DATE(2025,7,31),Salary_Master_2!B36,""),Salary_Master_2!M36="Left",IF(Salary_Master_2!N36&gt;DATE(2025,6,30),Salary_Master_2!B36,""))),"")</f>
        <v/>
      </c>
      <c r="C36" s="304">
        <v>31</v>
      </c>
      <c r="D36" s="305" t="str">
        <f t="shared" si="19"/>
        <v/>
      </c>
      <c r="E36" s="177"/>
      <c r="F36" s="177"/>
      <c r="G36" s="177"/>
      <c r="H36" s="305" t="str">
        <f t="shared" si="20"/>
        <v/>
      </c>
      <c r="I36" s="177"/>
      <c r="J36" s="177"/>
      <c r="K36" s="158" t="str">
        <f t="shared" si="1"/>
        <v/>
      </c>
      <c r="L36" s="158" t="str">
        <f t="shared" si="2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21"/>
        <v/>
      </c>
      <c r="T36" s="170" t="str">
        <f t="shared" si="22"/>
        <v/>
      </c>
      <c r="U36" s="170" t="str">
        <f t="shared" si="23"/>
        <v/>
      </c>
      <c r="V36" s="262">
        <f t="shared" si="24"/>
        <v>0</v>
      </c>
      <c r="W36" s="160" t="str">
        <f t="shared" si="32"/>
        <v/>
      </c>
      <c r="X36" s="160" t="str">
        <f t="shared" si="25"/>
        <v/>
      </c>
      <c r="Y36" s="160" t="str">
        <f t="shared" si="26"/>
        <v/>
      </c>
      <c r="Z36" s="160" t="str">
        <f t="shared" si="27"/>
        <v/>
      </c>
      <c r="AA36" s="160">
        <f t="shared" si="28"/>
        <v>0</v>
      </c>
      <c r="AB36" s="160">
        <f t="shared" si="29"/>
        <v>0</v>
      </c>
      <c r="AC36" s="160">
        <f t="shared" si="30"/>
        <v>0</v>
      </c>
      <c r="AD36" s="307">
        <f t="shared" si="31"/>
        <v>0</v>
      </c>
      <c r="AE36" s="303" t="str">
        <f t="shared" si="10"/>
        <v/>
      </c>
      <c r="AF36" s="163" t="str">
        <f t="shared" si="11"/>
        <v/>
      </c>
      <c r="AG36" s="163" t="str">
        <f t="shared" si="12"/>
        <v/>
      </c>
      <c r="AH36" s="163" t="str">
        <f t="shared" si="13"/>
        <v/>
      </c>
      <c r="AJ36" s="165" t="str">
        <f t="shared" si="14"/>
        <v/>
      </c>
      <c r="AK36" s="180" t="str">
        <f t="shared" si="15"/>
        <v/>
      </c>
      <c r="AM36" s="179"/>
      <c r="AN36" s="179"/>
      <c r="AP36" s="166" t="str">
        <f t="shared" si="16"/>
        <v/>
      </c>
      <c r="AQ36" s="166" t="str">
        <f t="shared" si="17"/>
        <v/>
      </c>
      <c r="AR36" s="166" t="str">
        <f t="shared" si="18"/>
        <v/>
      </c>
    </row>
    <row r="37" spans="1:46" s="162" customFormat="1" ht="25.2" customHeight="1" x14ac:dyDescent="0.3">
      <c r="A37" s="223">
        <v>33</v>
      </c>
      <c r="B37" s="156" t="str" cm="1">
        <f t="array" ref="B37">IF($J$1="Active",IF(Salary_Master_2!B37="","",_xlfn.IFS(Salary_Master_2!M37="Working",IF(Salary_Master_2!H37&lt;=DATE(2025,7,31),Salary_Master_2!B37,""),Salary_Master_2!M37="Left",IF(Salary_Master_2!N37&gt;DATE(2025,6,30),Salary_Master_2!B37,""))),"")</f>
        <v/>
      </c>
      <c r="C37" s="304">
        <v>31</v>
      </c>
      <c r="D37" s="305" t="str">
        <f t="shared" si="19"/>
        <v/>
      </c>
      <c r="E37" s="177"/>
      <c r="F37" s="177"/>
      <c r="G37" s="177"/>
      <c r="H37" s="305" t="str">
        <f t="shared" si="20"/>
        <v/>
      </c>
      <c r="I37" s="177"/>
      <c r="J37" s="177"/>
      <c r="K37" s="158" t="str">
        <f t="shared" si="1"/>
        <v/>
      </c>
      <c r="L37" s="158" t="str">
        <f t="shared" si="2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21"/>
        <v/>
      </c>
      <c r="T37" s="170" t="str">
        <f t="shared" si="22"/>
        <v/>
      </c>
      <c r="U37" s="170" t="str">
        <f t="shared" si="23"/>
        <v/>
      </c>
      <c r="V37" s="262">
        <f t="shared" si="24"/>
        <v>0</v>
      </c>
      <c r="W37" s="160" t="str">
        <f t="shared" si="32"/>
        <v/>
      </c>
      <c r="X37" s="160" t="str">
        <f t="shared" si="25"/>
        <v/>
      </c>
      <c r="Y37" s="160" t="str">
        <f t="shared" si="26"/>
        <v/>
      </c>
      <c r="Z37" s="160" t="str">
        <f t="shared" si="27"/>
        <v/>
      </c>
      <c r="AA37" s="160">
        <f t="shared" si="28"/>
        <v>0</v>
      </c>
      <c r="AB37" s="160">
        <f t="shared" si="29"/>
        <v>0</v>
      </c>
      <c r="AC37" s="160">
        <f t="shared" si="30"/>
        <v>0</v>
      </c>
      <c r="AD37" s="307">
        <f t="shared" si="31"/>
        <v>0</v>
      </c>
      <c r="AE37" s="303" t="str">
        <f t="shared" si="10"/>
        <v/>
      </c>
      <c r="AF37" s="163" t="str">
        <f t="shared" si="11"/>
        <v/>
      </c>
      <c r="AG37" s="163" t="str">
        <f t="shared" si="12"/>
        <v/>
      </c>
      <c r="AH37" s="163" t="str">
        <f t="shared" si="13"/>
        <v/>
      </c>
      <c r="AJ37" s="165" t="str">
        <f t="shared" si="14"/>
        <v/>
      </c>
      <c r="AK37" s="180" t="str">
        <f t="shared" si="15"/>
        <v/>
      </c>
      <c r="AM37" s="179"/>
      <c r="AN37" s="179"/>
      <c r="AP37" s="166" t="str">
        <f t="shared" si="16"/>
        <v/>
      </c>
      <c r="AQ37" s="166" t="str">
        <f t="shared" si="17"/>
        <v/>
      </c>
      <c r="AR37" s="166" t="str">
        <f t="shared" si="18"/>
        <v/>
      </c>
    </row>
    <row r="38" spans="1:46" s="162" customFormat="1" ht="25.2" customHeight="1" x14ac:dyDescent="0.3">
      <c r="A38" s="223">
        <v>34</v>
      </c>
      <c r="B38" s="156" t="str" cm="1">
        <f t="array" ref="B38">IF($J$1="Active",IF(Salary_Master_2!B38="","",_xlfn.IFS(Salary_Master_2!M38="Working",IF(Salary_Master_2!H38&lt;=DATE(2025,7,31),Salary_Master_2!B38,""),Salary_Master_2!M38="Left",IF(Salary_Master_2!N38&gt;DATE(2025,6,30),Salary_Master_2!B38,""))),"")</f>
        <v/>
      </c>
      <c r="C38" s="304">
        <v>31</v>
      </c>
      <c r="D38" s="305" t="str">
        <f t="shared" si="19"/>
        <v/>
      </c>
      <c r="E38" s="177"/>
      <c r="F38" s="177"/>
      <c r="G38" s="177"/>
      <c r="H38" s="305" t="str">
        <f t="shared" si="20"/>
        <v/>
      </c>
      <c r="I38" s="177"/>
      <c r="J38" s="177"/>
      <c r="K38" s="158" t="str">
        <f t="shared" si="1"/>
        <v/>
      </c>
      <c r="L38" s="158" t="str">
        <f t="shared" si="2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21"/>
        <v/>
      </c>
      <c r="T38" s="170" t="str">
        <f t="shared" si="22"/>
        <v/>
      </c>
      <c r="U38" s="170" t="str">
        <f t="shared" si="23"/>
        <v/>
      </c>
      <c r="V38" s="262">
        <f t="shared" si="24"/>
        <v>0</v>
      </c>
      <c r="W38" s="160" t="str">
        <f t="shared" si="32"/>
        <v/>
      </c>
      <c r="X38" s="160" t="str">
        <f t="shared" si="25"/>
        <v/>
      </c>
      <c r="Y38" s="160" t="str">
        <f t="shared" si="26"/>
        <v/>
      </c>
      <c r="Z38" s="160" t="str">
        <f t="shared" si="27"/>
        <v/>
      </c>
      <c r="AA38" s="160">
        <f t="shared" si="28"/>
        <v>0</v>
      </c>
      <c r="AB38" s="160">
        <f t="shared" si="29"/>
        <v>0</v>
      </c>
      <c r="AC38" s="160">
        <f t="shared" si="30"/>
        <v>0</v>
      </c>
      <c r="AD38" s="307">
        <f t="shared" si="31"/>
        <v>0</v>
      </c>
      <c r="AE38" s="303" t="str">
        <f t="shared" si="10"/>
        <v/>
      </c>
      <c r="AF38" s="163" t="str">
        <f t="shared" si="11"/>
        <v/>
      </c>
      <c r="AG38" s="163" t="str">
        <f t="shared" si="12"/>
        <v/>
      </c>
      <c r="AH38" s="163" t="str">
        <f t="shared" si="13"/>
        <v/>
      </c>
      <c r="AJ38" s="165" t="str">
        <f t="shared" si="14"/>
        <v/>
      </c>
      <c r="AK38" s="180" t="str">
        <f t="shared" si="15"/>
        <v/>
      </c>
      <c r="AM38" s="179"/>
      <c r="AN38" s="179"/>
      <c r="AP38" s="166" t="str">
        <f t="shared" si="16"/>
        <v/>
      </c>
      <c r="AQ38" s="166" t="str">
        <f t="shared" si="17"/>
        <v/>
      </c>
      <c r="AR38" s="166" t="str">
        <f t="shared" si="18"/>
        <v/>
      </c>
    </row>
    <row r="39" spans="1:46" s="162" customFormat="1" ht="25.2" customHeight="1" thickBot="1" x14ac:dyDescent="0.35">
      <c r="A39" s="174">
        <v>35</v>
      </c>
      <c r="B39" s="156" t="str" cm="1">
        <f t="array" ref="B39">IF($J$1="Active",IF(Salary_Master_2!B39="","",_xlfn.IFS(Salary_Master_2!M39="Working",IF(Salary_Master_2!H39&lt;=DATE(2025,7,31),Salary_Master_2!B39,""),Salary_Master_2!M39="Left",IF(Salary_Master_2!N39&gt;DATE(2025,6,30),Salary_Master_2!B39,""))),"")</f>
        <v/>
      </c>
      <c r="C39" s="309">
        <v>31</v>
      </c>
      <c r="D39" s="310" t="str">
        <f t="shared" si="19"/>
        <v/>
      </c>
      <c r="E39" s="311"/>
      <c r="F39" s="311"/>
      <c r="G39" s="311"/>
      <c r="H39" s="310" t="str">
        <f t="shared" si="20"/>
        <v/>
      </c>
      <c r="I39" s="311"/>
      <c r="J39" s="311"/>
      <c r="K39" s="158" t="str">
        <f t="shared" si="1"/>
        <v/>
      </c>
      <c r="L39" s="158" t="str">
        <f t="shared" si="2"/>
        <v/>
      </c>
      <c r="M39" s="313"/>
      <c r="N39" s="169" t="str">
        <f t="shared" si="3"/>
        <v/>
      </c>
      <c r="O39" s="170" t="str">
        <f t="shared" si="4"/>
        <v/>
      </c>
      <c r="P39" s="170" t="str">
        <f t="shared" si="5"/>
        <v/>
      </c>
      <c r="Q39" s="170" t="str">
        <f t="shared" si="6"/>
        <v/>
      </c>
      <c r="R39" s="170" t="str">
        <f t="shared" si="7"/>
        <v/>
      </c>
      <c r="S39" s="170" t="str">
        <f t="shared" si="21"/>
        <v/>
      </c>
      <c r="T39" s="170" t="str">
        <f t="shared" si="22"/>
        <v/>
      </c>
      <c r="U39" s="170" t="str">
        <f t="shared" si="23"/>
        <v/>
      </c>
      <c r="V39" s="316">
        <f t="shared" si="24"/>
        <v>0</v>
      </c>
      <c r="W39" s="160" t="str">
        <f t="shared" si="32"/>
        <v/>
      </c>
      <c r="X39" s="160" t="str">
        <f t="shared" si="25"/>
        <v/>
      </c>
      <c r="Y39" s="297" t="str">
        <f t="shared" si="26"/>
        <v/>
      </c>
      <c r="Z39" s="160" t="str">
        <f t="shared" si="27"/>
        <v/>
      </c>
      <c r="AA39" s="297">
        <f t="shared" si="28"/>
        <v>0</v>
      </c>
      <c r="AB39" s="297">
        <f t="shared" si="29"/>
        <v>0</v>
      </c>
      <c r="AC39" s="297">
        <f t="shared" si="30"/>
        <v>0</v>
      </c>
      <c r="AD39" s="317">
        <f t="shared" si="31"/>
        <v>0</v>
      </c>
      <c r="AE39" s="303" t="str">
        <f t="shared" si="10"/>
        <v/>
      </c>
      <c r="AF39" s="286" t="str">
        <f t="shared" si="11"/>
        <v/>
      </c>
      <c r="AG39" s="286" t="str">
        <f t="shared" si="12"/>
        <v/>
      </c>
      <c r="AH39" s="286" t="str">
        <f t="shared" si="13"/>
        <v/>
      </c>
      <c r="AJ39" s="165" t="str">
        <f t="shared" si="14"/>
        <v/>
      </c>
      <c r="AK39" s="288" t="str">
        <f t="shared" si="15"/>
        <v/>
      </c>
      <c r="AM39" s="179"/>
      <c r="AN39" s="179"/>
      <c r="AP39" s="166" t="str">
        <f t="shared" si="16"/>
        <v/>
      </c>
      <c r="AQ39" s="166" t="str">
        <f t="shared" si="17"/>
        <v/>
      </c>
      <c r="AR39" s="166" t="str">
        <f t="shared" si="18"/>
        <v/>
      </c>
    </row>
    <row r="40" spans="1:46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1236252</v>
      </c>
      <c r="W40" s="183">
        <f t="shared" ref="W40:AD40" si="33">SUM(W5:W39)</f>
        <v>25200</v>
      </c>
      <c r="X40" s="183">
        <f t="shared" si="33"/>
        <v>21600</v>
      </c>
      <c r="Y40" s="183">
        <f t="shared" si="33"/>
        <v>442</v>
      </c>
      <c r="Z40" s="183">
        <f t="shared" si="33"/>
        <v>650</v>
      </c>
      <c r="AA40" s="183">
        <f t="shared" si="33"/>
        <v>5400</v>
      </c>
      <c r="AB40" s="183">
        <f t="shared" si="33"/>
        <v>32000</v>
      </c>
      <c r="AC40" s="183">
        <f t="shared" si="33"/>
        <v>0</v>
      </c>
      <c r="AD40" s="183">
        <f t="shared" si="33"/>
        <v>1150960</v>
      </c>
      <c r="AE40" s="208">
        <v>811864</v>
      </c>
      <c r="AF40" s="200"/>
      <c r="AG40" s="201" t="s">
        <v>89</v>
      </c>
      <c r="AH40" s="201" t="s">
        <v>89</v>
      </c>
      <c r="AI40" s="185" t="s">
        <v>89</v>
      </c>
      <c r="AJ40" s="198"/>
      <c r="AK40" s="186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  <c r="AT40" s="162"/>
    </row>
  </sheetData>
  <sheetProtection algorithmName="SHA-512" hashValue="lE9/oWlPM/Vwpwq8dfCjSq/1zaGv7G/qfyzcfWNgmoFyKZtyssWCcBN0AakWigEQziqRfp8E4f0K5i++Z5uvfA==" saltValue="zeJWRpAWlGgnTF1G8xrLng==" spinCount="100000" sheet="1" objects="1" scenarios="1"/>
  <mergeCells count="3">
    <mergeCell ref="J1:K1"/>
    <mergeCell ref="AP2:AR2"/>
    <mergeCell ref="A40:U40"/>
  </mergeCells>
  <conditionalFormatting sqref="H5:H39">
    <cfRule type="cellIs" dxfId="26" priority="2" operator="greaterThan">
      <formula>32</formula>
    </cfRule>
    <cfRule type="cellIs" dxfId="25" priority="3" operator="greaterThan">
      <formula>31</formula>
    </cfRule>
  </conditionalFormatting>
  <conditionalFormatting sqref="H5:H39">
    <cfRule type="cellIs" dxfId="24" priority="1" operator="greaterThan">
      <formula>32</formula>
    </cfRule>
  </conditionalFormatting>
  <dataValidations count="6">
    <dataValidation type="custom" allowBlank="1" showInputMessage="1" showErrorMessage="1" errorTitle="Below Limit !!!" error="Total leaves are going negative if this value is entered. Try to enter less value." sqref="G5:G39" xr:uid="{0ACC3942-8D92-49CA-81B0-377FBAD57163}">
      <formula1>$AP5&lt;=7</formula1>
    </dataValidation>
    <dataValidation type="list" allowBlank="1" sqref="K5:L39" xr:uid="{ABFB3683-DDB6-46F3-9DAB-33A69D5C8326}">
      <formula1>"Yes,No"</formula1>
    </dataValidation>
    <dataValidation type="list" allowBlank="1" showInputMessage="1" showErrorMessage="1" sqref="AK5:AK39 AL40 M5:M39" xr:uid="{1C116F7B-C40A-44E6-99AC-2B3B84F6095A}">
      <formula1>"Yes,No"</formula1>
    </dataValidation>
    <dataValidation type="list" allowBlank="1" showInputMessage="1" showErrorMessage="1" sqref="J1:K1" xr:uid="{3811268C-BCD3-4828-B5CD-E57575095453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E5:E39" xr:uid="{DDEBC0A6-CC81-4102-B8A1-9B4AB59FBACB}">
      <formula1>$AN5&lt;=7</formula1>
    </dataValidation>
    <dataValidation type="custom" allowBlank="1" showInputMessage="1" showErrorMessage="1" errorTitle="Below Limit !!!" error="Total leaves are going negative if this value is entered. Try to enter less value." sqref="F5:F39" xr:uid="{C78CB803-5617-428C-9FB4-3162FC051233}">
      <formula1>$AO5&lt;=7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4D14-671D-470A-B2BE-F5C1DF08D2C4}">
  <sheetPr codeName="Sheet39">
    <tabColor rgb="FF92D050"/>
  </sheetPr>
  <dimension ref="A1:AT40"/>
  <sheetViews>
    <sheetView zoomScaleNormal="100" workbookViewId="0">
      <pane xSplit="13" ySplit="4" topLeftCell="P5" activePane="bottomRight" state="frozen"/>
      <selection activeCell="J1" sqref="J1:K1"/>
      <selection pane="topRight" activeCell="J1" sqref="J1:K1"/>
      <selection pane="bottomLeft" activeCell="J1" sqref="J1:K1"/>
      <selection pane="bottomRight" activeCell="J8" sqref="J8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3320312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.5546875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196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IF($J$1="Active",IF(Salary_Master_2!B5="","",_xlfn.IFS(Salary_Master_2!M5="Working",IF(Salary_Master_2!H5&lt;=DATE(2025,8,31),Salary_Master_2!B5,""),Salary_Master_2!M5="Left",IF(Salary_Master_2!N5&gt;DATE(2025,7,31),Salary_Master_2!B5,""))),"")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:K39" si="1">IF($J$1="Active",IF(B5="","",VLOOKUP(B5,Salary_Master_2,14,FALSE)),"")</f>
        <v/>
      </c>
      <c r="L5" s="158" t="str">
        <f t="shared" ref="L5:L39" si="2">IF($J$1="Active",IF(B5="","",VLOOKUP(B5,Salary_Master_2,15,FALSE)),"")</f>
        <v/>
      </c>
      <c r="M5" s="159"/>
      <c r="N5" s="169" t="str">
        <f t="shared" ref="N5:N39" si="3">IFERROR(ROUND(IF($B5="","",SUM(VLOOKUP($B5,Salary_Master_2,17,FALSE)/31*$H5)),0),"")</f>
        <v/>
      </c>
      <c r="O5" s="170" t="str">
        <f t="shared" ref="O5:O39" si="4">IFERROR(ROUND(IF($B5="","",SUM(VLOOKUP($B5,Salary_Master_2,18,FALSE)/31*$H5)),0),"")</f>
        <v/>
      </c>
      <c r="P5" s="170" t="str">
        <f t="shared" ref="P5:P39" si="5">IFERROR(ROUND(IF($B5="","",SUM(VLOOKUP($B5,Salary_Master_2,19,FALSE)/31*$H5)),0),"")</f>
        <v/>
      </c>
      <c r="Q5" s="170" t="str">
        <f t="shared" ref="Q5:Q39" si="6">IFERROR(ROUND(IF($B5="","",SUM(VLOOKUP($B5,Salary_Master_2,20,FALSE)/31*$H5)),0),"")</f>
        <v/>
      </c>
      <c r="R5" s="170" t="str">
        <f t="shared" ref="R5:R39" si="7">IFERROR(ROUND(IF($B5="","",SUM(VLOOKUP($B5,Salary_Master_2,21,FALSE)/31*$H5)),0),"")</f>
        <v/>
      </c>
      <c r="S5" s="170" t="str">
        <f>IF(B5="","",IF(B5="Sagar Kadam",0,IF(B5="Rahul Jadhav",0,IF(B5="Waman Bandekar",(1800/31*D5),IF(K5="Yes",IF((SUM(N5:R5)-O5)*12%&gt;1800,1800,(SUM(N5:R5)-O5)*12%),0)))))</f>
        <v/>
      </c>
      <c r="T5" s="170" t="str">
        <f>S5</f>
        <v/>
      </c>
      <c r="U5" s="170" t="str">
        <f>IF(B5="","",IF(B5="Sagar Kadam",0,IF(B5="Rahul Jadhav",0,IF(B5="Waman Bandekar",(650/31*D5),ROUND(IF(L5="Yes",SUM(N5:R5)*3.25%,0),0)))))</f>
        <v/>
      </c>
      <c r="V5" s="261">
        <f>ROUND(SUM(N5:U5),0)</f>
        <v>0</v>
      </c>
      <c r="W5" s="161" t="str">
        <f>IF(B5="Sagar Kadam",1800,IF(B5="Rahul Jadhav",1800,S5))</f>
        <v/>
      </c>
      <c r="X5" s="161" t="str">
        <f>T5</f>
        <v/>
      </c>
      <c r="Y5" s="161" t="str">
        <f>IF(B5="","",ROUND(IF(L5="Yes",V5*0.75%,0),0))</f>
        <v/>
      </c>
      <c r="Z5" s="161" t="str">
        <f>U5</f>
        <v/>
      </c>
      <c r="AA5" s="161">
        <f t="shared" ref="AA5" si="8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:AE39" si="9">IF(B5="","",VLOOKUP(B5,Salary_Master_2,8,FALSE))</f>
        <v/>
      </c>
      <c r="AF5" s="164" t="str">
        <f t="shared" ref="AF5:AF39" si="10">IFERROR(IF($J$1="Non-Active","",IF(VLOOKUP($B5,Jull25,36,FALSE)="No",IF($AK5="Yes",MROUND($AJ5/3,0.5)-$E5,""),IF(VLOOKUP($B5,Jull25,36,FALSE)="Yes",(VLOOKUP($B5,Jull25,31,FALSE)-$E5),""))),"")</f>
        <v/>
      </c>
      <c r="AG5" s="164" t="str">
        <f t="shared" ref="AG5:AG39" si="11">IFERROR(IF($J$1="Non-Active","",IF(VLOOKUP($B5,Jull25,36,FALSE)="No",IF($AK5="Yes",MROUND($AJ5/3,0.5)-$F5,""),IF(VLOOKUP($B5,Jull25,36,FALSE)="Yes",(VLOOKUP($B5,Jull25,32,FALSE)-$F5),""))),"")</f>
        <v/>
      </c>
      <c r="AH5" s="164" t="str">
        <f t="shared" ref="AH5:AH39" si="12">IFERROR(IF($J$1="Non-Active","",IF(VLOOKUP($B5,Jull25,36,FALSE)="No",IF($AK5="Yes",($AJ5-(AF5+AG5)-(E5+F5))-$G5,""),IF(VLOOKUP($B5,Jull25,36,FALSE)="Yes",(VLOOKUP($B5,Jull25,33,FALSE)-$G5),""))),"")</f>
        <v/>
      </c>
      <c r="AI5" s="289"/>
      <c r="AJ5" s="165" t="str">
        <f t="shared" ref="AJ5:AJ39" si="13">IF(AK5="Yes",IF(VLOOKUP($B5,Jull25,36,FALSE)="No",MROUND(SUM(21/12*8),0.5),""),"")</f>
        <v/>
      </c>
      <c r="AK5" s="287" t="str">
        <f t="shared" ref="AK5:AK39" si="14">IF($J$1="Non-Active","",IF($B5="","",VLOOKUP($B5,Jull25,36,FALSE)))</f>
        <v/>
      </c>
      <c r="AM5" s="179"/>
      <c r="AN5" s="179"/>
      <c r="AP5" s="166" t="str">
        <f t="shared" ref="AP5:AP39" si="15">IFERROR(IF($B5="","",(VLOOKUP($B5,Aprr25,4,FALSE)+VLOOKUP($B5,Mayy25,4,FALSE)+VLOOKUP($B5,Junn25,4,FALSE)+VLOOKUP($B5,Jull25,4,FALSE)+VLOOKUP($B5,Augg25,4,FALSE))),0)</f>
        <v/>
      </c>
      <c r="AQ5" s="166" t="str">
        <f t="shared" ref="AQ5:AQ39" si="16">IFERROR(IF($B5="","",(VLOOKUP($B5,Aprr25,5,FALSE)+VLOOKUP($B5,Mayy25,5,FALSE)+VLOOKUP($B5,Junn25,5,FALSE)+VLOOKUP($B5,Jull25,5,FALSE)+VLOOKUP($B5,Augg25,5,FALSE))),0)</f>
        <v/>
      </c>
      <c r="AR5" s="166" t="str">
        <f t="shared" ref="AR5:AR39" si="17">IFERROR(IF($B5="","",(VLOOKUP($B5,Aprr25,6,FALSE)+VLOOKUP($B5,Mayy25,6,FALSE)+VLOOKUP($B5,Junn25,6,FALSE)+VLOOKUP($B5,Jull25,6,FALSE)+VLOOKUP($B5,Augg25,6,FALSE))),0)</f>
        <v/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IF($J$1="Active",IF(Salary_Master_2!B6="","",_xlfn.IFS(Salary_Master_2!M6="Working",IF(Salary_Master_2!H6&lt;=DATE(2025,8,31),Salary_Master_2!B6,""),Salary_Master_2!M6="Left",IF(Salary_Master_2!N6&gt;DATE(2025,7,31),Salary_Master_2!B6,""))),"")</f>
        <v/>
      </c>
      <c r="C6" s="304">
        <v>31</v>
      </c>
      <c r="D6" s="305" t="str">
        <f t="shared" ref="D6:D39" si="18">IF($J$1="Active",IF(B6="","",C6-SUM(E6:G6)-I6),"")</f>
        <v/>
      </c>
      <c r="E6" s="177"/>
      <c r="F6" s="177"/>
      <c r="G6" s="177"/>
      <c r="H6" s="305" t="str">
        <f t="shared" ref="H6:H39" si="19">IF(SUM(D6:G6)=0,"",SUM(D6:G6))</f>
        <v/>
      </c>
      <c r="I6" s="177"/>
      <c r="J6" s="177"/>
      <c r="K6" s="158" t="str">
        <f t="shared" si="1"/>
        <v/>
      </c>
      <c r="L6" s="158" t="str">
        <f t="shared" si="2"/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ref="S6:S39" si="20">IF(B6="","",IF(B6="Sagar Kadam",0,IF(B6="Rahul Jadhav",0,IF(B6="Waman Bandekar",(1800/31*D6),IF(K6="Yes",IF((SUM(N6:R6)-O6)*12%&gt;1800,1800,(SUM(N6:R6)-O6)*12%),0)))))</f>
        <v/>
      </c>
      <c r="T6" s="170" t="str">
        <f t="shared" ref="T6:T39" si="21">S6</f>
        <v/>
      </c>
      <c r="U6" s="170" t="str">
        <f t="shared" ref="U6:U39" si="22">IF(B6="","",IF(B6="Sagar Kadam",0,IF(B6="Rahul Jadhav",0,IF(B6="Waman Bandekar",(650/31*D6),ROUND(IF(L6="Yes",SUM(N6:R6)*3.25%,0),0)))))</f>
        <v/>
      </c>
      <c r="V6" s="262">
        <f t="shared" ref="V6:V39" si="23">ROUND(SUM(N6:U6),0)</f>
        <v>0</v>
      </c>
      <c r="W6" s="160" t="str">
        <f t="shared" ref="W6:W39" si="24">IF(B6="Sagar Kadam",1800,IF(B6="Rahul Jadhav",1800,S6))</f>
        <v/>
      </c>
      <c r="X6" s="160" t="str">
        <f t="shared" ref="X6:X39" si="25">T6</f>
        <v/>
      </c>
      <c r="Y6" s="160" t="str">
        <f t="shared" ref="Y6:Y39" si="26">IF(B6="","",ROUND(IF(L6="Yes",V6*0.75%,0),0))</f>
        <v/>
      </c>
      <c r="Z6" s="160" t="str">
        <f t="shared" ref="Z6:Z39" si="27">U6</f>
        <v/>
      </c>
      <c r="AA6" s="160">
        <f t="shared" ref="AA6:AA39" si="28">IF(AE6="Female",IF(V6&gt;24999,200,0),IF(V6&gt;7500,200,0))</f>
        <v>0</v>
      </c>
      <c r="AB6" s="160">
        <f t="shared" ref="AB6:AB39" si="29">AM6</f>
        <v>0</v>
      </c>
      <c r="AC6" s="160">
        <f t="shared" ref="AC6:AC39" si="30">AN6</f>
        <v>0</v>
      </c>
      <c r="AD6" s="307">
        <f t="shared" ref="AD6:AD39" si="31">ROUND(V6-SUM(W6:AC6),0)</f>
        <v>0</v>
      </c>
      <c r="AE6" s="303" t="str">
        <f t="shared" si="9"/>
        <v/>
      </c>
      <c r="AF6" s="163" t="str">
        <f t="shared" si="10"/>
        <v/>
      </c>
      <c r="AG6" s="163" t="str">
        <f t="shared" si="11"/>
        <v/>
      </c>
      <c r="AH6" s="163" t="str">
        <f t="shared" si="12"/>
        <v/>
      </c>
      <c r="AI6" s="290"/>
      <c r="AJ6" s="165" t="str">
        <f t="shared" si="13"/>
        <v/>
      </c>
      <c r="AK6" s="180" t="str">
        <f t="shared" si="14"/>
        <v/>
      </c>
      <c r="AM6" s="179"/>
      <c r="AN6" s="179"/>
      <c r="AP6" s="166" t="str">
        <f t="shared" si="15"/>
        <v/>
      </c>
      <c r="AQ6" s="166" t="str">
        <f t="shared" si="16"/>
        <v/>
      </c>
      <c r="AR6" s="166" t="str">
        <f t="shared" si="17"/>
        <v/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IF($J$1="Active",IF(Salary_Master_2!B7="","",_xlfn.IFS(Salary_Master_2!M7="Working",IF(Salary_Master_2!H7&lt;=DATE(2025,8,31),Salary_Master_2!B7,""),Salary_Master_2!M7="Left",IF(Salary_Master_2!N7&gt;DATE(2025,7,31),Salary_Master_2!B7,""))),"")</f>
        <v/>
      </c>
      <c r="C7" s="304">
        <v>31</v>
      </c>
      <c r="D7" s="305" t="str">
        <f t="shared" si="18"/>
        <v/>
      </c>
      <c r="E7" s="177"/>
      <c r="F7" s="177"/>
      <c r="G7" s="177"/>
      <c r="H7" s="305" t="str">
        <f t="shared" si="19"/>
        <v/>
      </c>
      <c r="I7" s="177"/>
      <c r="J7" s="177"/>
      <c r="K7" s="158" t="str">
        <f t="shared" si="1"/>
        <v/>
      </c>
      <c r="L7" s="158" t="str">
        <f t="shared" si="2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20"/>
        <v/>
      </c>
      <c r="T7" s="170" t="str">
        <f t="shared" si="21"/>
        <v/>
      </c>
      <c r="U7" s="170" t="str">
        <f t="shared" si="22"/>
        <v/>
      </c>
      <c r="V7" s="262">
        <f t="shared" si="23"/>
        <v>0</v>
      </c>
      <c r="W7" s="160" t="str">
        <f t="shared" si="24"/>
        <v/>
      </c>
      <c r="X7" s="160" t="str">
        <f t="shared" si="25"/>
        <v/>
      </c>
      <c r="Y7" s="160" t="str">
        <f t="shared" si="26"/>
        <v/>
      </c>
      <c r="Z7" s="160" t="str">
        <f t="shared" si="27"/>
        <v/>
      </c>
      <c r="AA7" s="160">
        <f t="shared" si="28"/>
        <v>0</v>
      </c>
      <c r="AB7" s="160">
        <f t="shared" si="29"/>
        <v>0</v>
      </c>
      <c r="AC7" s="160">
        <f t="shared" si="30"/>
        <v>0</v>
      </c>
      <c r="AD7" s="307">
        <f t="shared" si="31"/>
        <v>0</v>
      </c>
      <c r="AE7" s="303" t="str">
        <f t="shared" si="9"/>
        <v/>
      </c>
      <c r="AF7" s="163" t="str">
        <f t="shared" si="10"/>
        <v/>
      </c>
      <c r="AG7" s="163" t="str">
        <f t="shared" si="11"/>
        <v/>
      </c>
      <c r="AH7" s="163" t="str">
        <f t="shared" si="12"/>
        <v/>
      </c>
      <c r="AI7" s="290"/>
      <c r="AJ7" s="165" t="str">
        <f t="shared" si="13"/>
        <v/>
      </c>
      <c r="AK7" s="180" t="str">
        <f t="shared" si="14"/>
        <v/>
      </c>
      <c r="AM7" s="179"/>
      <c r="AN7" s="179"/>
      <c r="AP7" s="166" t="str">
        <f t="shared" si="15"/>
        <v/>
      </c>
      <c r="AQ7" s="166" t="str">
        <f t="shared" si="16"/>
        <v/>
      </c>
      <c r="AR7" s="166" t="str">
        <f t="shared" si="17"/>
        <v/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IF($J$1="Active",IF(Salary_Master_2!B8="","",_xlfn.IFS(Salary_Master_2!M8="Working",IF(Salary_Master_2!H8&lt;=DATE(2025,8,31),Salary_Master_2!B8,""),Salary_Master_2!M8="Left",IF(Salary_Master_2!N8&gt;DATE(2025,7,31),Salary_Master_2!B8,""))),"")</f>
        <v/>
      </c>
      <c r="C8" s="304">
        <v>31</v>
      </c>
      <c r="D8" s="305" t="str">
        <f t="shared" si="18"/>
        <v/>
      </c>
      <c r="E8" s="177"/>
      <c r="F8" s="177"/>
      <c r="G8" s="177"/>
      <c r="H8" s="305" t="str">
        <f t="shared" si="19"/>
        <v/>
      </c>
      <c r="I8" s="177"/>
      <c r="J8" s="177"/>
      <c r="K8" s="158" t="str">
        <f t="shared" si="1"/>
        <v/>
      </c>
      <c r="L8" s="158" t="str">
        <f t="shared" si="2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20"/>
        <v/>
      </c>
      <c r="T8" s="170" t="str">
        <f t="shared" si="21"/>
        <v/>
      </c>
      <c r="U8" s="170" t="str">
        <f t="shared" si="22"/>
        <v/>
      </c>
      <c r="V8" s="262">
        <f t="shared" si="23"/>
        <v>0</v>
      </c>
      <c r="W8" s="160" t="str">
        <f t="shared" si="24"/>
        <v/>
      </c>
      <c r="X8" s="160" t="str">
        <f t="shared" si="25"/>
        <v/>
      </c>
      <c r="Y8" s="160" t="str">
        <f t="shared" si="26"/>
        <v/>
      </c>
      <c r="Z8" s="160" t="str">
        <f t="shared" si="27"/>
        <v/>
      </c>
      <c r="AA8" s="160">
        <f t="shared" si="28"/>
        <v>0</v>
      </c>
      <c r="AB8" s="160">
        <f t="shared" si="29"/>
        <v>0</v>
      </c>
      <c r="AC8" s="160">
        <f t="shared" si="30"/>
        <v>0</v>
      </c>
      <c r="AD8" s="307">
        <f t="shared" si="31"/>
        <v>0</v>
      </c>
      <c r="AE8" s="303" t="str">
        <f t="shared" si="9"/>
        <v/>
      </c>
      <c r="AF8" s="163" t="str">
        <f t="shared" si="10"/>
        <v/>
      </c>
      <c r="AG8" s="163" t="str">
        <f t="shared" si="11"/>
        <v/>
      </c>
      <c r="AH8" s="163" t="str">
        <f t="shared" si="12"/>
        <v/>
      </c>
      <c r="AI8" s="290"/>
      <c r="AJ8" s="165" t="str">
        <f t="shared" si="13"/>
        <v/>
      </c>
      <c r="AK8" s="180" t="str">
        <f t="shared" si="14"/>
        <v/>
      </c>
      <c r="AM8" s="179"/>
      <c r="AN8" s="179"/>
      <c r="AP8" s="166" t="str">
        <f t="shared" si="15"/>
        <v/>
      </c>
      <c r="AQ8" s="166" t="str">
        <f t="shared" si="16"/>
        <v/>
      </c>
      <c r="AR8" s="166" t="str">
        <f t="shared" si="17"/>
        <v/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IF($J$1="Active",IF(Salary_Master_2!B9="","",_xlfn.IFS(Salary_Master_2!M9="Working",IF(Salary_Master_2!H9&lt;=DATE(2025,8,31),Salary_Master_2!B9,""),Salary_Master_2!M9="Left",IF(Salary_Master_2!N9&gt;DATE(2025,7,31),Salary_Master_2!B9,""))),"")</f>
        <v/>
      </c>
      <c r="C9" s="304">
        <v>31</v>
      </c>
      <c r="D9" s="305" t="str">
        <f t="shared" si="18"/>
        <v/>
      </c>
      <c r="E9" s="177"/>
      <c r="F9" s="177"/>
      <c r="G9" s="177"/>
      <c r="H9" s="305" t="str">
        <f t="shared" si="19"/>
        <v/>
      </c>
      <c r="I9" s="177"/>
      <c r="J9" s="177"/>
      <c r="K9" s="158" t="str">
        <f t="shared" si="1"/>
        <v/>
      </c>
      <c r="L9" s="158" t="str">
        <f t="shared" si="2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20"/>
        <v/>
      </c>
      <c r="T9" s="170" t="str">
        <f t="shared" si="21"/>
        <v/>
      </c>
      <c r="U9" s="170" t="str">
        <f t="shared" si="22"/>
        <v/>
      </c>
      <c r="V9" s="262">
        <f t="shared" si="23"/>
        <v>0</v>
      </c>
      <c r="W9" s="160" t="str">
        <f t="shared" si="24"/>
        <v/>
      </c>
      <c r="X9" s="160" t="str">
        <f t="shared" si="25"/>
        <v/>
      </c>
      <c r="Y9" s="160" t="str">
        <f t="shared" si="26"/>
        <v/>
      </c>
      <c r="Z9" s="160" t="str">
        <f t="shared" si="27"/>
        <v/>
      </c>
      <c r="AA9" s="160">
        <f t="shared" si="28"/>
        <v>0</v>
      </c>
      <c r="AB9" s="160">
        <f t="shared" si="29"/>
        <v>0</v>
      </c>
      <c r="AC9" s="160">
        <f t="shared" si="30"/>
        <v>0</v>
      </c>
      <c r="AD9" s="307">
        <f t="shared" si="31"/>
        <v>0</v>
      </c>
      <c r="AE9" s="303" t="str">
        <f t="shared" si="9"/>
        <v/>
      </c>
      <c r="AF9" s="163" t="str">
        <f t="shared" si="10"/>
        <v/>
      </c>
      <c r="AG9" s="163" t="str">
        <f t="shared" si="11"/>
        <v/>
      </c>
      <c r="AH9" s="163" t="str">
        <f t="shared" si="12"/>
        <v/>
      </c>
      <c r="AI9" s="290"/>
      <c r="AJ9" s="165" t="str">
        <f t="shared" si="13"/>
        <v/>
      </c>
      <c r="AK9" s="180" t="str">
        <f t="shared" si="14"/>
        <v/>
      </c>
      <c r="AM9" s="179"/>
      <c r="AN9" s="179"/>
      <c r="AP9" s="166" t="str">
        <f t="shared" si="15"/>
        <v/>
      </c>
      <c r="AQ9" s="166" t="str">
        <f t="shared" si="16"/>
        <v/>
      </c>
      <c r="AR9" s="166" t="str">
        <f t="shared" si="17"/>
        <v/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IF($J$1="Active",IF(Salary_Master_2!B10="","",_xlfn.IFS(Salary_Master_2!M10="Working",IF(Salary_Master_2!H10&lt;=DATE(2025,8,31),Salary_Master_2!B10,""),Salary_Master_2!M10="Left",IF(Salary_Master_2!N10&gt;DATE(2025,7,31),Salary_Master_2!B10,""))),"")</f>
        <v/>
      </c>
      <c r="C10" s="304">
        <v>31</v>
      </c>
      <c r="D10" s="305" t="str">
        <f t="shared" si="18"/>
        <v/>
      </c>
      <c r="E10" s="177"/>
      <c r="F10" s="177"/>
      <c r="G10" s="177"/>
      <c r="H10" s="305" t="str">
        <f t="shared" si="19"/>
        <v/>
      </c>
      <c r="I10" s="177"/>
      <c r="J10" s="177"/>
      <c r="K10" s="158" t="str">
        <f t="shared" si="1"/>
        <v/>
      </c>
      <c r="L10" s="158" t="str">
        <f t="shared" si="2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20"/>
        <v/>
      </c>
      <c r="T10" s="170" t="str">
        <f t="shared" si="21"/>
        <v/>
      </c>
      <c r="U10" s="170" t="str">
        <f t="shared" si="22"/>
        <v/>
      </c>
      <c r="V10" s="262">
        <f t="shared" si="23"/>
        <v>0</v>
      </c>
      <c r="W10" s="160" t="str">
        <f t="shared" si="24"/>
        <v/>
      </c>
      <c r="X10" s="160" t="str">
        <f t="shared" si="25"/>
        <v/>
      </c>
      <c r="Y10" s="160" t="str">
        <f t="shared" si="26"/>
        <v/>
      </c>
      <c r="Z10" s="160" t="str">
        <f t="shared" si="27"/>
        <v/>
      </c>
      <c r="AA10" s="160">
        <f t="shared" si="28"/>
        <v>0</v>
      </c>
      <c r="AB10" s="160">
        <f t="shared" si="29"/>
        <v>0</v>
      </c>
      <c r="AC10" s="160">
        <f t="shared" si="30"/>
        <v>0</v>
      </c>
      <c r="AD10" s="307">
        <f t="shared" si="31"/>
        <v>0</v>
      </c>
      <c r="AE10" s="303" t="str">
        <f t="shared" si="9"/>
        <v/>
      </c>
      <c r="AF10" s="163" t="str">
        <f t="shared" si="10"/>
        <v/>
      </c>
      <c r="AG10" s="163" t="str">
        <f t="shared" si="11"/>
        <v/>
      </c>
      <c r="AH10" s="163" t="str">
        <f t="shared" si="12"/>
        <v/>
      </c>
      <c r="AI10" s="290"/>
      <c r="AJ10" s="165" t="str">
        <f t="shared" si="13"/>
        <v/>
      </c>
      <c r="AK10" s="180" t="str">
        <f t="shared" si="14"/>
        <v/>
      </c>
      <c r="AM10" s="179"/>
      <c r="AN10" s="179"/>
      <c r="AP10" s="166" t="str">
        <f t="shared" si="15"/>
        <v/>
      </c>
      <c r="AQ10" s="166" t="str">
        <f t="shared" si="16"/>
        <v/>
      </c>
      <c r="AR10" s="166" t="str">
        <f t="shared" si="17"/>
        <v/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IF($J$1="Active",IF(Salary_Master_2!B11="","",_xlfn.IFS(Salary_Master_2!M11="Working",IF(Salary_Master_2!H11&lt;=DATE(2025,8,31),Salary_Master_2!B11,""),Salary_Master_2!M11="Left",IF(Salary_Master_2!N11&gt;DATE(2025,7,31),Salary_Master_2!B11,""))),"")</f>
        <v/>
      </c>
      <c r="C11" s="304">
        <v>31</v>
      </c>
      <c r="D11" s="305" t="str">
        <f t="shared" si="18"/>
        <v/>
      </c>
      <c r="E11" s="177"/>
      <c r="F11" s="177"/>
      <c r="G11" s="177"/>
      <c r="H11" s="305" t="str">
        <f t="shared" si="19"/>
        <v/>
      </c>
      <c r="I11" s="177"/>
      <c r="J11" s="177"/>
      <c r="K11" s="158" t="str">
        <f t="shared" si="1"/>
        <v/>
      </c>
      <c r="L11" s="158" t="str">
        <f t="shared" si="2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20"/>
        <v/>
      </c>
      <c r="T11" s="170" t="str">
        <f t="shared" si="21"/>
        <v/>
      </c>
      <c r="U11" s="170" t="str">
        <f t="shared" si="22"/>
        <v/>
      </c>
      <c r="V11" s="262">
        <f t="shared" si="23"/>
        <v>0</v>
      </c>
      <c r="W11" s="160" t="str">
        <f t="shared" si="24"/>
        <v/>
      </c>
      <c r="X11" s="160" t="str">
        <f t="shared" si="25"/>
        <v/>
      </c>
      <c r="Y11" s="160" t="str">
        <f t="shared" si="26"/>
        <v/>
      </c>
      <c r="Z11" s="160" t="str">
        <f t="shared" si="27"/>
        <v/>
      </c>
      <c r="AA11" s="160">
        <f t="shared" si="28"/>
        <v>0</v>
      </c>
      <c r="AB11" s="160">
        <f t="shared" si="29"/>
        <v>0</v>
      </c>
      <c r="AC11" s="160">
        <f t="shared" si="30"/>
        <v>0</v>
      </c>
      <c r="AD11" s="307">
        <f t="shared" si="31"/>
        <v>0</v>
      </c>
      <c r="AE11" s="303" t="str">
        <f t="shared" si="9"/>
        <v/>
      </c>
      <c r="AF11" s="163" t="str">
        <f t="shared" si="10"/>
        <v/>
      </c>
      <c r="AG11" s="163" t="str">
        <f t="shared" si="11"/>
        <v/>
      </c>
      <c r="AH11" s="163" t="str">
        <f t="shared" si="12"/>
        <v/>
      </c>
      <c r="AI11" s="290"/>
      <c r="AJ11" s="165" t="str">
        <f t="shared" si="13"/>
        <v/>
      </c>
      <c r="AK11" s="180" t="str">
        <f t="shared" si="14"/>
        <v/>
      </c>
      <c r="AM11" s="179"/>
      <c r="AN11" s="179"/>
      <c r="AP11" s="166" t="str">
        <f t="shared" si="15"/>
        <v/>
      </c>
      <c r="AQ11" s="166" t="str">
        <f t="shared" si="16"/>
        <v/>
      </c>
      <c r="AR11" s="166" t="str">
        <f t="shared" si="17"/>
        <v/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IF($J$1="Active",IF(Salary_Master_2!B12="","",_xlfn.IFS(Salary_Master_2!M12="Working",IF(Salary_Master_2!H12&lt;=DATE(2025,8,31),Salary_Master_2!B12,""),Salary_Master_2!M12="Left",IF(Salary_Master_2!N12&gt;DATE(2025,7,31),Salary_Master_2!B12,""))),"")</f>
        <v/>
      </c>
      <c r="C12" s="304">
        <v>31</v>
      </c>
      <c r="D12" s="305" t="str">
        <f t="shared" si="18"/>
        <v/>
      </c>
      <c r="E12" s="177"/>
      <c r="F12" s="177"/>
      <c r="G12" s="177"/>
      <c r="H12" s="305" t="str">
        <f t="shared" si="19"/>
        <v/>
      </c>
      <c r="I12" s="177"/>
      <c r="J12" s="177"/>
      <c r="K12" s="158" t="str">
        <f t="shared" si="1"/>
        <v/>
      </c>
      <c r="L12" s="158" t="str">
        <f t="shared" si="2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20"/>
        <v/>
      </c>
      <c r="T12" s="170" t="str">
        <f t="shared" si="21"/>
        <v/>
      </c>
      <c r="U12" s="170" t="str">
        <f t="shared" si="22"/>
        <v/>
      </c>
      <c r="V12" s="262">
        <f t="shared" si="23"/>
        <v>0</v>
      </c>
      <c r="W12" s="160" t="str">
        <f t="shared" si="24"/>
        <v/>
      </c>
      <c r="X12" s="160" t="str">
        <f t="shared" si="25"/>
        <v/>
      </c>
      <c r="Y12" s="160" t="str">
        <f t="shared" si="26"/>
        <v/>
      </c>
      <c r="Z12" s="160" t="str">
        <f t="shared" si="27"/>
        <v/>
      </c>
      <c r="AA12" s="160">
        <f t="shared" si="28"/>
        <v>0</v>
      </c>
      <c r="AB12" s="160">
        <f t="shared" si="29"/>
        <v>0</v>
      </c>
      <c r="AC12" s="160">
        <f t="shared" si="30"/>
        <v>0</v>
      </c>
      <c r="AD12" s="307">
        <f t="shared" si="31"/>
        <v>0</v>
      </c>
      <c r="AE12" s="303" t="str">
        <f t="shared" si="9"/>
        <v/>
      </c>
      <c r="AF12" s="163" t="str">
        <f t="shared" si="10"/>
        <v/>
      </c>
      <c r="AG12" s="163" t="str">
        <f t="shared" si="11"/>
        <v/>
      </c>
      <c r="AH12" s="163" t="str">
        <f t="shared" si="12"/>
        <v/>
      </c>
      <c r="AI12" s="290"/>
      <c r="AJ12" s="165" t="str">
        <f t="shared" si="13"/>
        <v/>
      </c>
      <c r="AK12" s="180" t="str">
        <f t="shared" si="14"/>
        <v/>
      </c>
      <c r="AM12" s="179"/>
      <c r="AN12" s="179"/>
      <c r="AP12" s="166" t="str">
        <f t="shared" si="15"/>
        <v/>
      </c>
      <c r="AQ12" s="166" t="str">
        <f t="shared" si="16"/>
        <v/>
      </c>
      <c r="AR12" s="166" t="str">
        <f t="shared" si="17"/>
        <v/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IF($J$1="Active",IF(Salary_Master_2!B13="","",_xlfn.IFS(Salary_Master_2!M13="Working",IF(Salary_Master_2!H13&lt;=DATE(2025,8,31),Salary_Master_2!B13,""),Salary_Master_2!M13="Left",IF(Salary_Master_2!N13&gt;DATE(2025,7,31),Salary_Master_2!B13,""))),"")</f>
        <v/>
      </c>
      <c r="C13" s="304">
        <v>31</v>
      </c>
      <c r="D13" s="305" t="str">
        <f t="shared" si="18"/>
        <v/>
      </c>
      <c r="E13" s="177"/>
      <c r="F13" s="177"/>
      <c r="G13" s="177"/>
      <c r="H13" s="305" t="str">
        <f t="shared" si="19"/>
        <v/>
      </c>
      <c r="I13" s="177"/>
      <c r="J13" s="177"/>
      <c r="K13" s="158" t="str">
        <f t="shared" si="1"/>
        <v/>
      </c>
      <c r="L13" s="158" t="str">
        <f t="shared" si="2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20"/>
        <v/>
      </c>
      <c r="T13" s="170" t="str">
        <f t="shared" si="21"/>
        <v/>
      </c>
      <c r="U13" s="170" t="str">
        <f t="shared" si="22"/>
        <v/>
      </c>
      <c r="V13" s="262">
        <f t="shared" si="23"/>
        <v>0</v>
      </c>
      <c r="W13" s="160" t="str">
        <f t="shared" si="24"/>
        <v/>
      </c>
      <c r="X13" s="160" t="str">
        <f t="shared" si="25"/>
        <v/>
      </c>
      <c r="Y13" s="160" t="str">
        <f t="shared" si="26"/>
        <v/>
      </c>
      <c r="Z13" s="160" t="str">
        <f t="shared" si="27"/>
        <v/>
      </c>
      <c r="AA13" s="160">
        <f t="shared" si="28"/>
        <v>0</v>
      </c>
      <c r="AB13" s="160">
        <f t="shared" si="29"/>
        <v>0</v>
      </c>
      <c r="AC13" s="160">
        <f t="shared" si="30"/>
        <v>0</v>
      </c>
      <c r="AD13" s="307">
        <f t="shared" si="31"/>
        <v>0</v>
      </c>
      <c r="AE13" s="303" t="str">
        <f t="shared" si="9"/>
        <v/>
      </c>
      <c r="AF13" s="163" t="str">
        <f t="shared" si="10"/>
        <v/>
      </c>
      <c r="AG13" s="163" t="str">
        <f t="shared" si="11"/>
        <v/>
      </c>
      <c r="AH13" s="163" t="str">
        <f t="shared" si="12"/>
        <v/>
      </c>
      <c r="AI13" s="290"/>
      <c r="AJ13" s="165" t="str">
        <f t="shared" si="13"/>
        <v/>
      </c>
      <c r="AK13" s="180" t="str">
        <f t="shared" si="14"/>
        <v/>
      </c>
      <c r="AM13" s="179"/>
      <c r="AN13" s="179"/>
      <c r="AP13" s="166" t="str">
        <f t="shared" si="15"/>
        <v/>
      </c>
      <c r="AQ13" s="166" t="str">
        <f t="shared" si="16"/>
        <v/>
      </c>
      <c r="AR13" s="166" t="str">
        <f t="shared" si="17"/>
        <v/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IF($J$1="Active",IF(Salary_Master_2!B14="","",_xlfn.IFS(Salary_Master_2!M14="Working",IF(Salary_Master_2!H14&lt;=DATE(2025,8,31),Salary_Master_2!B14,""),Salary_Master_2!M14="Left",IF(Salary_Master_2!N14&gt;DATE(2025,7,31),Salary_Master_2!B14,""))),"")</f>
        <v/>
      </c>
      <c r="C14" s="304">
        <v>31</v>
      </c>
      <c r="D14" s="305" t="str">
        <f t="shared" si="18"/>
        <v/>
      </c>
      <c r="E14" s="177"/>
      <c r="F14" s="177"/>
      <c r="G14" s="177"/>
      <c r="H14" s="305" t="str">
        <f t="shared" si="19"/>
        <v/>
      </c>
      <c r="I14" s="177"/>
      <c r="J14" s="177"/>
      <c r="K14" s="158" t="str">
        <f t="shared" si="1"/>
        <v/>
      </c>
      <c r="L14" s="158" t="str">
        <f t="shared" si="2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20"/>
        <v/>
      </c>
      <c r="T14" s="170" t="str">
        <f t="shared" si="21"/>
        <v/>
      </c>
      <c r="U14" s="170" t="str">
        <f t="shared" si="22"/>
        <v/>
      </c>
      <c r="V14" s="262">
        <f t="shared" si="23"/>
        <v>0</v>
      </c>
      <c r="W14" s="160" t="str">
        <f t="shared" si="24"/>
        <v/>
      </c>
      <c r="X14" s="160" t="str">
        <f t="shared" si="25"/>
        <v/>
      </c>
      <c r="Y14" s="160" t="str">
        <f t="shared" si="26"/>
        <v/>
      </c>
      <c r="Z14" s="160" t="str">
        <f t="shared" si="27"/>
        <v/>
      </c>
      <c r="AA14" s="160">
        <f t="shared" si="28"/>
        <v>0</v>
      </c>
      <c r="AB14" s="160">
        <f t="shared" si="29"/>
        <v>0</v>
      </c>
      <c r="AC14" s="160">
        <f t="shared" si="30"/>
        <v>0</v>
      </c>
      <c r="AD14" s="307">
        <f t="shared" si="31"/>
        <v>0</v>
      </c>
      <c r="AE14" s="303" t="str">
        <f t="shared" si="9"/>
        <v/>
      </c>
      <c r="AF14" s="163" t="str">
        <f t="shared" si="10"/>
        <v/>
      </c>
      <c r="AG14" s="163" t="str">
        <f t="shared" si="11"/>
        <v/>
      </c>
      <c r="AH14" s="163" t="str">
        <f t="shared" si="12"/>
        <v/>
      </c>
      <c r="AI14" s="290"/>
      <c r="AJ14" s="165" t="str">
        <f t="shared" si="13"/>
        <v/>
      </c>
      <c r="AK14" s="180" t="str">
        <f t="shared" si="14"/>
        <v/>
      </c>
      <c r="AM14" s="179"/>
      <c r="AN14" s="179"/>
      <c r="AP14" s="166" t="str">
        <f t="shared" si="15"/>
        <v/>
      </c>
      <c r="AQ14" s="166" t="str">
        <f t="shared" si="16"/>
        <v/>
      </c>
      <c r="AR14" s="166" t="str">
        <f t="shared" si="17"/>
        <v/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IF($J$1="Active",IF(Salary_Master_2!B15="","",_xlfn.IFS(Salary_Master_2!M15="Working",IF(Salary_Master_2!H15&lt;=DATE(2025,8,31),Salary_Master_2!B15,""),Salary_Master_2!M15="Left",IF(Salary_Master_2!N15&gt;DATE(2025,7,31),Salary_Master_2!B15,""))),"")</f>
        <v/>
      </c>
      <c r="C15" s="304">
        <v>31</v>
      </c>
      <c r="D15" s="305" t="str">
        <f t="shared" si="18"/>
        <v/>
      </c>
      <c r="E15" s="177"/>
      <c r="F15" s="177"/>
      <c r="G15" s="177"/>
      <c r="H15" s="305" t="str">
        <f t="shared" si="19"/>
        <v/>
      </c>
      <c r="I15" s="177"/>
      <c r="J15" s="177"/>
      <c r="K15" s="158" t="str">
        <f t="shared" si="1"/>
        <v/>
      </c>
      <c r="L15" s="158" t="str">
        <f t="shared" si="2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20"/>
        <v/>
      </c>
      <c r="T15" s="170" t="str">
        <f t="shared" si="21"/>
        <v/>
      </c>
      <c r="U15" s="170" t="str">
        <f t="shared" si="22"/>
        <v/>
      </c>
      <c r="V15" s="262">
        <f t="shared" si="23"/>
        <v>0</v>
      </c>
      <c r="W15" s="160" t="str">
        <f t="shared" si="24"/>
        <v/>
      </c>
      <c r="X15" s="160" t="str">
        <f t="shared" si="25"/>
        <v/>
      </c>
      <c r="Y15" s="160" t="str">
        <f t="shared" si="26"/>
        <v/>
      </c>
      <c r="Z15" s="160" t="str">
        <f t="shared" si="27"/>
        <v/>
      </c>
      <c r="AA15" s="160">
        <f t="shared" si="28"/>
        <v>0</v>
      </c>
      <c r="AB15" s="160">
        <f t="shared" si="29"/>
        <v>0</v>
      </c>
      <c r="AC15" s="160">
        <f t="shared" si="30"/>
        <v>0</v>
      </c>
      <c r="AD15" s="307">
        <f t="shared" si="31"/>
        <v>0</v>
      </c>
      <c r="AE15" s="303" t="str">
        <f t="shared" si="9"/>
        <v/>
      </c>
      <c r="AF15" s="163" t="str">
        <f t="shared" si="10"/>
        <v/>
      </c>
      <c r="AG15" s="163" t="str">
        <f t="shared" si="11"/>
        <v/>
      </c>
      <c r="AH15" s="163" t="str">
        <f t="shared" si="12"/>
        <v/>
      </c>
      <c r="AI15" s="290"/>
      <c r="AJ15" s="165" t="str">
        <f t="shared" si="13"/>
        <v/>
      </c>
      <c r="AK15" s="180" t="str">
        <f t="shared" si="14"/>
        <v/>
      </c>
      <c r="AM15" s="179"/>
      <c r="AN15" s="179"/>
      <c r="AP15" s="166" t="str">
        <f t="shared" si="15"/>
        <v/>
      </c>
      <c r="AQ15" s="166" t="str">
        <f t="shared" si="16"/>
        <v/>
      </c>
      <c r="AR15" s="166" t="str">
        <f t="shared" si="17"/>
        <v/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IF($J$1="Active",IF(Salary_Master_2!B16="","",_xlfn.IFS(Salary_Master_2!M16="Working",IF(Salary_Master_2!H16&lt;=DATE(2025,8,31),Salary_Master_2!B16,""),Salary_Master_2!M16="Left",IF(Salary_Master_2!N16&gt;DATE(2025,7,31),Salary_Master_2!B16,""))),"")</f>
        <v/>
      </c>
      <c r="C16" s="304">
        <v>31</v>
      </c>
      <c r="D16" s="305" t="str">
        <f t="shared" si="18"/>
        <v/>
      </c>
      <c r="E16" s="177"/>
      <c r="F16" s="177"/>
      <c r="G16" s="177"/>
      <c r="H16" s="305" t="str">
        <f t="shared" si="19"/>
        <v/>
      </c>
      <c r="I16" s="177"/>
      <c r="J16" s="177"/>
      <c r="K16" s="158" t="str">
        <f t="shared" si="1"/>
        <v/>
      </c>
      <c r="L16" s="158" t="str">
        <f t="shared" si="2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20"/>
        <v/>
      </c>
      <c r="T16" s="170" t="str">
        <f t="shared" si="21"/>
        <v/>
      </c>
      <c r="U16" s="170" t="str">
        <f t="shared" si="22"/>
        <v/>
      </c>
      <c r="V16" s="262">
        <f t="shared" si="23"/>
        <v>0</v>
      </c>
      <c r="W16" s="160" t="str">
        <f t="shared" si="24"/>
        <v/>
      </c>
      <c r="X16" s="160" t="str">
        <f t="shared" si="25"/>
        <v/>
      </c>
      <c r="Y16" s="160" t="str">
        <f t="shared" si="26"/>
        <v/>
      </c>
      <c r="Z16" s="160" t="str">
        <f t="shared" si="27"/>
        <v/>
      </c>
      <c r="AA16" s="160">
        <f t="shared" si="28"/>
        <v>0</v>
      </c>
      <c r="AB16" s="160">
        <f t="shared" si="29"/>
        <v>0</v>
      </c>
      <c r="AC16" s="160">
        <f t="shared" si="30"/>
        <v>0</v>
      </c>
      <c r="AD16" s="307">
        <f t="shared" si="31"/>
        <v>0</v>
      </c>
      <c r="AE16" s="303" t="str">
        <f t="shared" si="9"/>
        <v/>
      </c>
      <c r="AF16" s="163" t="str">
        <f t="shared" si="10"/>
        <v/>
      </c>
      <c r="AG16" s="163" t="str">
        <f t="shared" si="11"/>
        <v/>
      </c>
      <c r="AH16" s="163" t="str">
        <f t="shared" si="12"/>
        <v/>
      </c>
      <c r="AI16" s="290"/>
      <c r="AJ16" s="165" t="str">
        <f t="shared" si="13"/>
        <v/>
      </c>
      <c r="AK16" s="180" t="str">
        <f t="shared" si="14"/>
        <v/>
      </c>
      <c r="AM16" s="179"/>
      <c r="AN16" s="179"/>
      <c r="AP16" s="166" t="str">
        <f t="shared" si="15"/>
        <v/>
      </c>
      <c r="AQ16" s="166" t="str">
        <f t="shared" si="16"/>
        <v/>
      </c>
      <c r="AR16" s="166" t="str">
        <f t="shared" si="17"/>
        <v/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IF($J$1="Active",IF(Salary_Master_2!B17="","",_xlfn.IFS(Salary_Master_2!M17="Working",IF(Salary_Master_2!H17&lt;=DATE(2025,8,31),Salary_Master_2!B17,""),Salary_Master_2!M17="Left",IF(Salary_Master_2!N17&gt;DATE(2025,7,31),Salary_Master_2!B17,""))),"")</f>
        <v/>
      </c>
      <c r="C17" s="304">
        <v>31</v>
      </c>
      <c r="D17" s="305" t="str">
        <f t="shared" si="18"/>
        <v/>
      </c>
      <c r="E17" s="177"/>
      <c r="F17" s="177"/>
      <c r="G17" s="177"/>
      <c r="H17" s="305" t="str">
        <f t="shared" si="19"/>
        <v/>
      </c>
      <c r="I17" s="177"/>
      <c r="J17" s="177"/>
      <c r="K17" s="158" t="str">
        <f t="shared" si="1"/>
        <v/>
      </c>
      <c r="L17" s="158" t="str">
        <f t="shared" si="2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20"/>
        <v/>
      </c>
      <c r="T17" s="170" t="str">
        <f t="shared" si="21"/>
        <v/>
      </c>
      <c r="U17" s="170" t="str">
        <f t="shared" si="22"/>
        <v/>
      </c>
      <c r="V17" s="262">
        <f t="shared" si="23"/>
        <v>0</v>
      </c>
      <c r="W17" s="160" t="str">
        <f t="shared" si="24"/>
        <v/>
      </c>
      <c r="X17" s="160" t="str">
        <f t="shared" si="25"/>
        <v/>
      </c>
      <c r="Y17" s="160" t="str">
        <f t="shared" si="26"/>
        <v/>
      </c>
      <c r="Z17" s="160" t="str">
        <f t="shared" si="27"/>
        <v/>
      </c>
      <c r="AA17" s="160">
        <f t="shared" si="28"/>
        <v>0</v>
      </c>
      <c r="AB17" s="160">
        <f t="shared" si="29"/>
        <v>0</v>
      </c>
      <c r="AC17" s="160">
        <f t="shared" si="30"/>
        <v>0</v>
      </c>
      <c r="AD17" s="307">
        <f t="shared" si="31"/>
        <v>0</v>
      </c>
      <c r="AE17" s="303" t="str">
        <f t="shared" si="9"/>
        <v/>
      </c>
      <c r="AF17" s="163" t="str">
        <f t="shared" si="10"/>
        <v/>
      </c>
      <c r="AG17" s="163" t="str">
        <f t="shared" si="11"/>
        <v/>
      </c>
      <c r="AH17" s="163" t="str">
        <f t="shared" si="12"/>
        <v/>
      </c>
      <c r="AI17" s="290"/>
      <c r="AJ17" s="165" t="str">
        <f t="shared" si="13"/>
        <v/>
      </c>
      <c r="AK17" s="180" t="str">
        <f t="shared" si="14"/>
        <v/>
      </c>
      <c r="AM17" s="179"/>
      <c r="AN17" s="179"/>
      <c r="AP17" s="166" t="str">
        <f t="shared" si="15"/>
        <v/>
      </c>
      <c r="AQ17" s="166" t="str">
        <f t="shared" si="16"/>
        <v/>
      </c>
      <c r="AR17" s="166" t="str">
        <f t="shared" si="17"/>
        <v/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IF($J$1="Active",IF(Salary_Master_2!B18="","",_xlfn.IFS(Salary_Master_2!M18="Working",IF(Salary_Master_2!H18&lt;=DATE(2025,8,31),Salary_Master_2!B18,""),Salary_Master_2!M18="Left",IF(Salary_Master_2!N18&gt;DATE(2025,7,31),Salary_Master_2!B18,""))),"")</f>
        <v/>
      </c>
      <c r="C18" s="304">
        <v>31</v>
      </c>
      <c r="D18" s="305" t="str">
        <f t="shared" si="18"/>
        <v/>
      </c>
      <c r="E18" s="177"/>
      <c r="F18" s="177"/>
      <c r="G18" s="177"/>
      <c r="H18" s="305" t="str">
        <f t="shared" si="19"/>
        <v/>
      </c>
      <c r="I18" s="177"/>
      <c r="J18" s="177"/>
      <c r="K18" s="158" t="str">
        <f t="shared" si="1"/>
        <v/>
      </c>
      <c r="L18" s="158" t="str">
        <f t="shared" si="2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20"/>
        <v/>
      </c>
      <c r="T18" s="170" t="str">
        <f t="shared" si="21"/>
        <v/>
      </c>
      <c r="U18" s="170" t="str">
        <f t="shared" si="22"/>
        <v/>
      </c>
      <c r="V18" s="262">
        <f t="shared" si="23"/>
        <v>0</v>
      </c>
      <c r="W18" s="160" t="str">
        <f t="shared" si="24"/>
        <v/>
      </c>
      <c r="X18" s="160" t="str">
        <f t="shared" si="25"/>
        <v/>
      </c>
      <c r="Y18" s="160" t="str">
        <f t="shared" si="26"/>
        <v/>
      </c>
      <c r="Z18" s="160" t="str">
        <f t="shared" si="27"/>
        <v/>
      </c>
      <c r="AA18" s="160">
        <f t="shared" si="28"/>
        <v>0</v>
      </c>
      <c r="AB18" s="160">
        <f t="shared" si="29"/>
        <v>0</v>
      </c>
      <c r="AC18" s="160">
        <f t="shared" si="30"/>
        <v>0</v>
      </c>
      <c r="AD18" s="307">
        <f t="shared" si="31"/>
        <v>0</v>
      </c>
      <c r="AE18" s="303" t="str">
        <f t="shared" si="9"/>
        <v/>
      </c>
      <c r="AF18" s="163" t="str">
        <f t="shared" si="10"/>
        <v/>
      </c>
      <c r="AG18" s="163" t="str">
        <f t="shared" si="11"/>
        <v/>
      </c>
      <c r="AH18" s="163" t="str">
        <f t="shared" si="12"/>
        <v/>
      </c>
      <c r="AI18" s="290"/>
      <c r="AJ18" s="165" t="str">
        <f t="shared" si="13"/>
        <v/>
      </c>
      <c r="AK18" s="180" t="str">
        <f t="shared" si="14"/>
        <v/>
      </c>
      <c r="AM18" s="179"/>
      <c r="AN18" s="179"/>
      <c r="AP18" s="166" t="str">
        <f t="shared" si="15"/>
        <v/>
      </c>
      <c r="AQ18" s="166" t="str">
        <f t="shared" si="16"/>
        <v/>
      </c>
      <c r="AR18" s="166" t="str">
        <f t="shared" si="17"/>
        <v/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IF($J$1="Active",IF(Salary_Master_2!B19="","",_xlfn.IFS(Salary_Master_2!M19="Working",IF(Salary_Master_2!H19&lt;=DATE(2025,8,31),Salary_Master_2!B19,""),Salary_Master_2!M19="Left",IF(Salary_Master_2!N19&gt;DATE(2025,7,31),Salary_Master_2!B19,""))),"")</f>
        <v/>
      </c>
      <c r="C19" s="304">
        <v>31</v>
      </c>
      <c r="D19" s="305" t="str">
        <f t="shared" si="18"/>
        <v/>
      </c>
      <c r="E19" s="177"/>
      <c r="F19" s="177"/>
      <c r="G19" s="177"/>
      <c r="H19" s="305" t="str">
        <f t="shared" si="19"/>
        <v/>
      </c>
      <c r="I19" s="177"/>
      <c r="J19" s="177"/>
      <c r="K19" s="158" t="str">
        <f t="shared" si="1"/>
        <v/>
      </c>
      <c r="L19" s="158" t="str">
        <f t="shared" si="2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20"/>
        <v/>
      </c>
      <c r="T19" s="170" t="str">
        <f t="shared" si="21"/>
        <v/>
      </c>
      <c r="U19" s="170" t="str">
        <f t="shared" si="22"/>
        <v/>
      </c>
      <c r="V19" s="262">
        <f t="shared" si="23"/>
        <v>0</v>
      </c>
      <c r="W19" s="160" t="str">
        <f t="shared" si="24"/>
        <v/>
      </c>
      <c r="X19" s="160" t="str">
        <f t="shared" si="25"/>
        <v/>
      </c>
      <c r="Y19" s="160" t="str">
        <f t="shared" si="26"/>
        <v/>
      </c>
      <c r="Z19" s="160" t="str">
        <f t="shared" si="27"/>
        <v/>
      </c>
      <c r="AA19" s="160">
        <f t="shared" si="28"/>
        <v>0</v>
      </c>
      <c r="AB19" s="160">
        <f t="shared" si="29"/>
        <v>0</v>
      </c>
      <c r="AC19" s="160">
        <f t="shared" si="30"/>
        <v>0</v>
      </c>
      <c r="AD19" s="307">
        <f t="shared" si="31"/>
        <v>0</v>
      </c>
      <c r="AE19" s="303" t="str">
        <f t="shared" si="9"/>
        <v/>
      </c>
      <c r="AF19" s="163" t="str">
        <f t="shared" si="10"/>
        <v/>
      </c>
      <c r="AG19" s="163" t="str">
        <f t="shared" si="11"/>
        <v/>
      </c>
      <c r="AH19" s="163" t="str">
        <f t="shared" si="12"/>
        <v/>
      </c>
      <c r="AI19" s="290"/>
      <c r="AJ19" s="165" t="str">
        <f t="shared" si="13"/>
        <v/>
      </c>
      <c r="AK19" s="180" t="str">
        <f t="shared" si="14"/>
        <v/>
      </c>
      <c r="AM19" s="179"/>
      <c r="AN19" s="179"/>
      <c r="AP19" s="166" t="str">
        <f t="shared" si="15"/>
        <v/>
      </c>
      <c r="AQ19" s="166" t="str">
        <f t="shared" si="16"/>
        <v/>
      </c>
      <c r="AR19" s="166" t="str">
        <f t="shared" si="17"/>
        <v/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IF($J$1="Active",IF(Salary_Master_2!B20="","",_xlfn.IFS(Salary_Master_2!M20="Working",IF(Salary_Master_2!H20&lt;=DATE(2025,8,31),Salary_Master_2!B20,""),Salary_Master_2!M20="Left",IF(Salary_Master_2!N20&gt;DATE(2025,7,31),Salary_Master_2!B20,""))),"")</f>
        <v/>
      </c>
      <c r="C20" s="304">
        <v>31</v>
      </c>
      <c r="D20" s="305" t="str">
        <f t="shared" si="18"/>
        <v/>
      </c>
      <c r="E20" s="177"/>
      <c r="F20" s="177"/>
      <c r="G20" s="177"/>
      <c r="H20" s="305" t="str">
        <f t="shared" si="19"/>
        <v/>
      </c>
      <c r="I20" s="177"/>
      <c r="J20" s="177"/>
      <c r="K20" s="158" t="str">
        <f t="shared" si="1"/>
        <v/>
      </c>
      <c r="L20" s="158" t="str">
        <f t="shared" si="2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20"/>
        <v/>
      </c>
      <c r="T20" s="170" t="str">
        <f t="shared" si="21"/>
        <v/>
      </c>
      <c r="U20" s="170" t="str">
        <f t="shared" si="22"/>
        <v/>
      </c>
      <c r="V20" s="262">
        <f t="shared" si="23"/>
        <v>0</v>
      </c>
      <c r="W20" s="160" t="str">
        <f t="shared" si="24"/>
        <v/>
      </c>
      <c r="X20" s="160" t="str">
        <f t="shared" si="25"/>
        <v/>
      </c>
      <c r="Y20" s="160" t="str">
        <f t="shared" si="26"/>
        <v/>
      </c>
      <c r="Z20" s="160" t="str">
        <f t="shared" si="27"/>
        <v/>
      </c>
      <c r="AA20" s="160">
        <f t="shared" si="28"/>
        <v>0</v>
      </c>
      <c r="AB20" s="160">
        <f t="shared" si="29"/>
        <v>0</v>
      </c>
      <c r="AC20" s="160">
        <f t="shared" si="30"/>
        <v>0</v>
      </c>
      <c r="AD20" s="307">
        <f t="shared" si="31"/>
        <v>0</v>
      </c>
      <c r="AE20" s="303" t="str">
        <f t="shared" si="9"/>
        <v/>
      </c>
      <c r="AF20" s="163" t="str">
        <f t="shared" si="10"/>
        <v/>
      </c>
      <c r="AG20" s="163" t="str">
        <f t="shared" si="11"/>
        <v/>
      </c>
      <c r="AH20" s="163" t="str">
        <f t="shared" si="12"/>
        <v/>
      </c>
      <c r="AI20" s="290"/>
      <c r="AJ20" s="165" t="str">
        <f t="shared" si="13"/>
        <v/>
      </c>
      <c r="AK20" s="180" t="str">
        <f t="shared" si="14"/>
        <v/>
      </c>
      <c r="AM20" s="179"/>
      <c r="AN20" s="179"/>
      <c r="AP20" s="166" t="str">
        <f t="shared" si="15"/>
        <v/>
      </c>
      <c r="AQ20" s="166" t="str">
        <f t="shared" si="16"/>
        <v/>
      </c>
      <c r="AR20" s="166" t="str">
        <f t="shared" si="17"/>
        <v/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IF($J$1="Active",IF(Salary_Master_2!B21="","",_xlfn.IFS(Salary_Master_2!M21="Working",IF(Salary_Master_2!H21&lt;=DATE(2025,8,31),Salary_Master_2!B21,""),Salary_Master_2!M21="Left",IF(Salary_Master_2!N21&gt;DATE(2025,7,31),Salary_Master_2!B21,""))),"")</f>
        <v/>
      </c>
      <c r="C21" s="304">
        <v>31</v>
      </c>
      <c r="D21" s="305" t="str">
        <f t="shared" si="18"/>
        <v/>
      </c>
      <c r="E21" s="177"/>
      <c r="F21" s="177"/>
      <c r="G21" s="177"/>
      <c r="H21" s="305" t="str">
        <f t="shared" si="19"/>
        <v/>
      </c>
      <c r="I21" s="177"/>
      <c r="J21" s="177"/>
      <c r="K21" s="158" t="str">
        <f t="shared" si="1"/>
        <v/>
      </c>
      <c r="L21" s="158" t="str">
        <f t="shared" si="2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20"/>
        <v/>
      </c>
      <c r="T21" s="170" t="str">
        <f t="shared" si="21"/>
        <v/>
      </c>
      <c r="U21" s="170" t="str">
        <f t="shared" si="22"/>
        <v/>
      </c>
      <c r="V21" s="262">
        <f t="shared" si="23"/>
        <v>0</v>
      </c>
      <c r="W21" s="160" t="str">
        <f t="shared" si="24"/>
        <v/>
      </c>
      <c r="X21" s="160" t="str">
        <f t="shared" si="25"/>
        <v/>
      </c>
      <c r="Y21" s="160" t="str">
        <f t="shared" si="26"/>
        <v/>
      </c>
      <c r="Z21" s="160" t="str">
        <f t="shared" si="27"/>
        <v/>
      </c>
      <c r="AA21" s="160">
        <f t="shared" si="28"/>
        <v>0</v>
      </c>
      <c r="AB21" s="160">
        <f t="shared" si="29"/>
        <v>0</v>
      </c>
      <c r="AC21" s="160">
        <f t="shared" si="30"/>
        <v>0</v>
      </c>
      <c r="AD21" s="307">
        <f t="shared" si="31"/>
        <v>0</v>
      </c>
      <c r="AE21" s="303" t="str">
        <f t="shared" si="9"/>
        <v/>
      </c>
      <c r="AF21" s="163" t="str">
        <f t="shared" si="10"/>
        <v/>
      </c>
      <c r="AG21" s="163" t="str">
        <f t="shared" si="11"/>
        <v/>
      </c>
      <c r="AH21" s="163" t="str">
        <f t="shared" si="12"/>
        <v/>
      </c>
      <c r="AI21" s="290"/>
      <c r="AJ21" s="165" t="str">
        <f t="shared" si="13"/>
        <v/>
      </c>
      <c r="AK21" s="180" t="str">
        <f t="shared" si="14"/>
        <v/>
      </c>
      <c r="AM21" s="179"/>
      <c r="AN21" s="179"/>
      <c r="AP21" s="166" t="str">
        <f t="shared" si="15"/>
        <v/>
      </c>
      <c r="AQ21" s="166" t="str">
        <f t="shared" si="16"/>
        <v/>
      </c>
      <c r="AR21" s="166" t="str">
        <f t="shared" si="17"/>
        <v/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IF($J$1="Active",IF(Salary_Master_2!B22="","",_xlfn.IFS(Salary_Master_2!M22="Working",IF(Salary_Master_2!H22&lt;=DATE(2025,8,31),Salary_Master_2!B22,""),Salary_Master_2!M22="Left",IF(Salary_Master_2!N22&gt;DATE(2025,7,31),Salary_Master_2!B22,""))),"")</f>
        <v/>
      </c>
      <c r="C22" s="304">
        <v>31</v>
      </c>
      <c r="D22" s="305" t="str">
        <f t="shared" si="18"/>
        <v/>
      </c>
      <c r="E22" s="177"/>
      <c r="F22" s="177"/>
      <c r="G22" s="177"/>
      <c r="H22" s="305" t="str">
        <f t="shared" si="19"/>
        <v/>
      </c>
      <c r="I22" s="177"/>
      <c r="J22" s="177"/>
      <c r="K22" s="158" t="str">
        <f t="shared" si="1"/>
        <v/>
      </c>
      <c r="L22" s="158" t="str">
        <f t="shared" si="2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20"/>
        <v/>
      </c>
      <c r="T22" s="170" t="str">
        <f t="shared" si="21"/>
        <v/>
      </c>
      <c r="U22" s="170" t="str">
        <f t="shared" si="22"/>
        <v/>
      </c>
      <c r="V22" s="262">
        <f t="shared" si="23"/>
        <v>0</v>
      </c>
      <c r="W22" s="160" t="str">
        <f t="shared" si="24"/>
        <v/>
      </c>
      <c r="X22" s="160" t="str">
        <f t="shared" si="25"/>
        <v/>
      </c>
      <c r="Y22" s="160" t="str">
        <f t="shared" si="26"/>
        <v/>
      </c>
      <c r="Z22" s="160" t="str">
        <f t="shared" si="27"/>
        <v/>
      </c>
      <c r="AA22" s="160">
        <f t="shared" si="28"/>
        <v>0</v>
      </c>
      <c r="AB22" s="160">
        <f t="shared" si="29"/>
        <v>0</v>
      </c>
      <c r="AC22" s="160">
        <f t="shared" si="30"/>
        <v>0</v>
      </c>
      <c r="AD22" s="307">
        <f t="shared" si="31"/>
        <v>0</v>
      </c>
      <c r="AE22" s="303" t="str">
        <f t="shared" si="9"/>
        <v/>
      </c>
      <c r="AF22" s="163" t="str">
        <f t="shared" si="10"/>
        <v/>
      </c>
      <c r="AG22" s="163" t="str">
        <f t="shared" si="11"/>
        <v/>
      </c>
      <c r="AH22" s="163" t="str">
        <f t="shared" si="12"/>
        <v/>
      </c>
      <c r="AI22" s="290"/>
      <c r="AJ22" s="165" t="str">
        <f t="shared" si="13"/>
        <v/>
      </c>
      <c r="AK22" s="180" t="str">
        <f t="shared" si="14"/>
        <v/>
      </c>
      <c r="AM22" s="179"/>
      <c r="AN22" s="179"/>
      <c r="AP22" s="166" t="str">
        <f t="shared" si="15"/>
        <v/>
      </c>
      <c r="AQ22" s="166" t="str">
        <f t="shared" si="16"/>
        <v/>
      </c>
      <c r="AR22" s="166" t="str">
        <f t="shared" si="17"/>
        <v/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IF($J$1="Active",IF(Salary_Master_2!B23="","",_xlfn.IFS(Salary_Master_2!M23="Working",IF(Salary_Master_2!H23&lt;=DATE(2025,8,31),Salary_Master_2!B23,""),Salary_Master_2!M23="Left",IF(Salary_Master_2!N23&gt;DATE(2025,7,31),Salary_Master_2!B23,""))),"")</f>
        <v/>
      </c>
      <c r="C23" s="304">
        <v>31</v>
      </c>
      <c r="D23" s="305" t="str">
        <f t="shared" si="18"/>
        <v/>
      </c>
      <c r="E23" s="177"/>
      <c r="F23" s="177"/>
      <c r="G23" s="177"/>
      <c r="H23" s="305" t="str">
        <f t="shared" si="19"/>
        <v/>
      </c>
      <c r="I23" s="177"/>
      <c r="J23" s="177"/>
      <c r="K23" s="158" t="str">
        <f t="shared" si="1"/>
        <v/>
      </c>
      <c r="L23" s="158" t="str">
        <f t="shared" si="2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20"/>
        <v/>
      </c>
      <c r="T23" s="170" t="str">
        <f t="shared" si="21"/>
        <v/>
      </c>
      <c r="U23" s="170" t="str">
        <f t="shared" si="22"/>
        <v/>
      </c>
      <c r="V23" s="262">
        <f t="shared" si="23"/>
        <v>0</v>
      </c>
      <c r="W23" s="160" t="str">
        <f t="shared" si="24"/>
        <v/>
      </c>
      <c r="X23" s="160" t="str">
        <f t="shared" si="25"/>
        <v/>
      </c>
      <c r="Y23" s="160" t="str">
        <f t="shared" si="26"/>
        <v/>
      </c>
      <c r="Z23" s="160" t="str">
        <f t="shared" si="27"/>
        <v/>
      </c>
      <c r="AA23" s="160">
        <f t="shared" si="28"/>
        <v>0</v>
      </c>
      <c r="AB23" s="160">
        <f t="shared" si="29"/>
        <v>0</v>
      </c>
      <c r="AC23" s="160">
        <f t="shared" si="30"/>
        <v>0</v>
      </c>
      <c r="AD23" s="307">
        <f t="shared" si="31"/>
        <v>0</v>
      </c>
      <c r="AE23" s="303" t="str">
        <f t="shared" si="9"/>
        <v/>
      </c>
      <c r="AF23" s="163" t="str">
        <f t="shared" si="10"/>
        <v/>
      </c>
      <c r="AG23" s="163" t="str">
        <f t="shared" si="11"/>
        <v/>
      </c>
      <c r="AH23" s="163" t="str">
        <f t="shared" si="12"/>
        <v/>
      </c>
      <c r="AI23" s="290"/>
      <c r="AJ23" s="165" t="str">
        <f t="shared" si="13"/>
        <v/>
      </c>
      <c r="AK23" s="180" t="str">
        <f t="shared" si="14"/>
        <v/>
      </c>
      <c r="AM23" s="179"/>
      <c r="AN23" s="179"/>
      <c r="AP23" s="166" t="str">
        <f t="shared" si="15"/>
        <v/>
      </c>
      <c r="AQ23" s="166" t="str">
        <f t="shared" si="16"/>
        <v/>
      </c>
      <c r="AR23" s="166" t="str">
        <f t="shared" si="17"/>
        <v/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IF($J$1="Active",IF(Salary_Master_2!B24="","",_xlfn.IFS(Salary_Master_2!M24="Working",IF(Salary_Master_2!H24&lt;=DATE(2025,8,31),Salary_Master_2!B24,""),Salary_Master_2!M24="Left",IF(Salary_Master_2!N24&gt;DATE(2025,7,31),Salary_Master_2!B24,""))),"")</f>
        <v/>
      </c>
      <c r="C24" s="304">
        <v>31</v>
      </c>
      <c r="D24" s="305" t="str">
        <f t="shared" si="18"/>
        <v/>
      </c>
      <c r="E24" s="177"/>
      <c r="F24" s="177"/>
      <c r="G24" s="177"/>
      <c r="H24" s="305" t="str">
        <f t="shared" si="19"/>
        <v/>
      </c>
      <c r="I24" s="177"/>
      <c r="J24" s="177"/>
      <c r="K24" s="158" t="str">
        <f t="shared" si="1"/>
        <v/>
      </c>
      <c r="L24" s="158" t="str">
        <f t="shared" si="2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20"/>
        <v/>
      </c>
      <c r="T24" s="170" t="str">
        <f t="shared" si="21"/>
        <v/>
      </c>
      <c r="U24" s="170" t="str">
        <f t="shared" si="22"/>
        <v/>
      </c>
      <c r="V24" s="262">
        <f t="shared" si="23"/>
        <v>0</v>
      </c>
      <c r="W24" s="160" t="str">
        <f t="shared" si="24"/>
        <v/>
      </c>
      <c r="X24" s="160" t="str">
        <f t="shared" si="25"/>
        <v/>
      </c>
      <c r="Y24" s="160" t="str">
        <f t="shared" si="26"/>
        <v/>
      </c>
      <c r="Z24" s="160" t="str">
        <f t="shared" si="27"/>
        <v/>
      </c>
      <c r="AA24" s="160">
        <f t="shared" si="28"/>
        <v>0</v>
      </c>
      <c r="AB24" s="160">
        <f t="shared" si="29"/>
        <v>0</v>
      </c>
      <c r="AC24" s="160">
        <f t="shared" si="30"/>
        <v>0</v>
      </c>
      <c r="AD24" s="307">
        <f t="shared" si="31"/>
        <v>0</v>
      </c>
      <c r="AE24" s="303" t="str">
        <f t="shared" si="9"/>
        <v/>
      </c>
      <c r="AF24" s="163" t="str">
        <f t="shared" si="10"/>
        <v/>
      </c>
      <c r="AG24" s="163" t="str">
        <f t="shared" si="11"/>
        <v/>
      </c>
      <c r="AH24" s="163" t="str">
        <f t="shared" si="12"/>
        <v/>
      </c>
      <c r="AI24" s="290"/>
      <c r="AJ24" s="165" t="str">
        <f t="shared" si="13"/>
        <v/>
      </c>
      <c r="AK24" s="180" t="str">
        <f t="shared" si="14"/>
        <v/>
      </c>
      <c r="AM24" s="179"/>
      <c r="AN24" s="179"/>
      <c r="AP24" s="166" t="str">
        <f t="shared" si="15"/>
        <v/>
      </c>
      <c r="AQ24" s="166" t="str">
        <f t="shared" si="16"/>
        <v/>
      </c>
      <c r="AR24" s="166" t="str">
        <f t="shared" si="17"/>
        <v/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IF($J$1="Active",IF(Salary_Master_2!B25="","",_xlfn.IFS(Salary_Master_2!M25="Working",IF(Salary_Master_2!H25&lt;=DATE(2025,8,31),Salary_Master_2!B25,""),Salary_Master_2!M25="Left",IF(Salary_Master_2!N25&gt;DATE(2025,7,31),Salary_Master_2!B25,""))),"")</f>
        <v/>
      </c>
      <c r="C25" s="304">
        <v>31</v>
      </c>
      <c r="D25" s="305" t="str">
        <f t="shared" si="18"/>
        <v/>
      </c>
      <c r="E25" s="177"/>
      <c r="F25" s="177"/>
      <c r="G25" s="177"/>
      <c r="H25" s="305" t="str">
        <f t="shared" si="19"/>
        <v/>
      </c>
      <c r="I25" s="177"/>
      <c r="J25" s="177"/>
      <c r="K25" s="158" t="str">
        <f t="shared" si="1"/>
        <v/>
      </c>
      <c r="L25" s="158" t="str">
        <f t="shared" si="2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20"/>
        <v/>
      </c>
      <c r="T25" s="170" t="str">
        <f t="shared" si="21"/>
        <v/>
      </c>
      <c r="U25" s="170" t="str">
        <f t="shared" si="22"/>
        <v/>
      </c>
      <c r="V25" s="262">
        <f t="shared" si="23"/>
        <v>0</v>
      </c>
      <c r="W25" s="160" t="str">
        <f t="shared" si="24"/>
        <v/>
      </c>
      <c r="X25" s="160" t="str">
        <f t="shared" si="25"/>
        <v/>
      </c>
      <c r="Y25" s="160" t="str">
        <f t="shared" si="26"/>
        <v/>
      </c>
      <c r="Z25" s="160" t="str">
        <f t="shared" si="27"/>
        <v/>
      </c>
      <c r="AA25" s="160">
        <f t="shared" si="28"/>
        <v>0</v>
      </c>
      <c r="AB25" s="160">
        <f t="shared" si="29"/>
        <v>0</v>
      </c>
      <c r="AC25" s="160">
        <f t="shared" si="30"/>
        <v>0</v>
      </c>
      <c r="AD25" s="307">
        <f t="shared" si="31"/>
        <v>0</v>
      </c>
      <c r="AE25" s="303" t="str">
        <f t="shared" si="9"/>
        <v/>
      </c>
      <c r="AF25" s="163" t="str">
        <f t="shared" si="10"/>
        <v/>
      </c>
      <c r="AG25" s="163" t="str">
        <f t="shared" si="11"/>
        <v/>
      </c>
      <c r="AH25" s="163" t="str">
        <f t="shared" si="12"/>
        <v/>
      </c>
      <c r="AI25" s="290"/>
      <c r="AJ25" s="165" t="str">
        <f t="shared" si="13"/>
        <v/>
      </c>
      <c r="AK25" s="180" t="str">
        <f t="shared" si="14"/>
        <v/>
      </c>
      <c r="AM25" s="179"/>
      <c r="AN25" s="179"/>
      <c r="AP25" s="166" t="str">
        <f t="shared" si="15"/>
        <v/>
      </c>
      <c r="AQ25" s="166" t="str">
        <f t="shared" si="16"/>
        <v/>
      </c>
      <c r="AR25" s="166" t="str">
        <f t="shared" si="17"/>
        <v/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IF($J$1="Active",IF(Salary_Master_2!B26="","",_xlfn.IFS(Salary_Master_2!M26="Working",IF(Salary_Master_2!H26&lt;=DATE(2025,8,31),Salary_Master_2!B26,""),Salary_Master_2!M26="Left",IF(Salary_Master_2!N26&gt;DATE(2025,7,31),Salary_Master_2!B26,""))),"")</f>
        <v/>
      </c>
      <c r="C26" s="304">
        <v>31</v>
      </c>
      <c r="D26" s="305" t="str">
        <f t="shared" si="18"/>
        <v/>
      </c>
      <c r="E26" s="177"/>
      <c r="F26" s="177"/>
      <c r="G26" s="177"/>
      <c r="H26" s="305" t="str">
        <f t="shared" si="19"/>
        <v/>
      </c>
      <c r="I26" s="177"/>
      <c r="J26" s="177"/>
      <c r="K26" s="158" t="str">
        <f t="shared" si="1"/>
        <v/>
      </c>
      <c r="L26" s="158" t="str">
        <f t="shared" si="2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20"/>
        <v/>
      </c>
      <c r="T26" s="170" t="str">
        <f t="shared" si="21"/>
        <v/>
      </c>
      <c r="U26" s="170" t="str">
        <f t="shared" si="22"/>
        <v/>
      </c>
      <c r="V26" s="262">
        <f t="shared" si="23"/>
        <v>0</v>
      </c>
      <c r="W26" s="160" t="str">
        <f t="shared" si="24"/>
        <v/>
      </c>
      <c r="X26" s="160" t="str">
        <f t="shared" si="25"/>
        <v/>
      </c>
      <c r="Y26" s="160" t="str">
        <f t="shared" si="26"/>
        <v/>
      </c>
      <c r="Z26" s="160" t="str">
        <f t="shared" si="27"/>
        <v/>
      </c>
      <c r="AA26" s="160">
        <f t="shared" si="28"/>
        <v>0</v>
      </c>
      <c r="AB26" s="160">
        <f t="shared" si="29"/>
        <v>0</v>
      </c>
      <c r="AC26" s="160">
        <f t="shared" si="30"/>
        <v>0</v>
      </c>
      <c r="AD26" s="307">
        <f t="shared" si="31"/>
        <v>0</v>
      </c>
      <c r="AE26" s="303" t="str">
        <f t="shared" si="9"/>
        <v/>
      </c>
      <c r="AF26" s="163" t="str">
        <f t="shared" si="10"/>
        <v/>
      </c>
      <c r="AG26" s="163" t="str">
        <f t="shared" si="11"/>
        <v/>
      </c>
      <c r="AH26" s="163" t="str">
        <f t="shared" si="12"/>
        <v/>
      </c>
      <c r="AI26" s="290"/>
      <c r="AJ26" s="165" t="str">
        <f t="shared" si="13"/>
        <v/>
      </c>
      <c r="AK26" s="180" t="str">
        <f t="shared" si="14"/>
        <v/>
      </c>
      <c r="AM26" s="179"/>
      <c r="AN26" s="179"/>
      <c r="AP26" s="166" t="str">
        <f t="shared" si="15"/>
        <v/>
      </c>
      <c r="AQ26" s="166" t="str">
        <f t="shared" si="16"/>
        <v/>
      </c>
      <c r="AR26" s="166" t="str">
        <f t="shared" si="17"/>
        <v/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IF($J$1="Active",IF(Salary_Master_2!B27="","",_xlfn.IFS(Salary_Master_2!M27="Working",IF(Salary_Master_2!H27&lt;=DATE(2025,8,31),Salary_Master_2!B27,""),Salary_Master_2!M27="Left",IF(Salary_Master_2!N27&gt;DATE(2025,7,31),Salary_Master_2!B27,""))),"")</f>
        <v/>
      </c>
      <c r="C27" s="304">
        <v>31</v>
      </c>
      <c r="D27" s="305" t="str">
        <f t="shared" si="18"/>
        <v/>
      </c>
      <c r="E27" s="177"/>
      <c r="F27" s="177"/>
      <c r="G27" s="177"/>
      <c r="H27" s="305" t="str">
        <f t="shared" si="19"/>
        <v/>
      </c>
      <c r="I27" s="177"/>
      <c r="J27" s="177"/>
      <c r="K27" s="158" t="str">
        <f t="shared" si="1"/>
        <v/>
      </c>
      <c r="L27" s="158" t="str">
        <f t="shared" si="2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20"/>
        <v/>
      </c>
      <c r="T27" s="170" t="str">
        <f t="shared" si="21"/>
        <v/>
      </c>
      <c r="U27" s="170" t="str">
        <f t="shared" si="22"/>
        <v/>
      </c>
      <c r="V27" s="262">
        <f t="shared" si="23"/>
        <v>0</v>
      </c>
      <c r="W27" s="160" t="str">
        <f t="shared" si="24"/>
        <v/>
      </c>
      <c r="X27" s="160" t="str">
        <f t="shared" si="25"/>
        <v/>
      </c>
      <c r="Y27" s="160" t="str">
        <f t="shared" si="26"/>
        <v/>
      </c>
      <c r="Z27" s="160" t="str">
        <f t="shared" si="27"/>
        <v/>
      </c>
      <c r="AA27" s="160">
        <f t="shared" si="28"/>
        <v>0</v>
      </c>
      <c r="AB27" s="160">
        <f t="shared" si="29"/>
        <v>0</v>
      </c>
      <c r="AC27" s="160">
        <f t="shared" si="30"/>
        <v>0</v>
      </c>
      <c r="AD27" s="307">
        <f t="shared" si="31"/>
        <v>0</v>
      </c>
      <c r="AE27" s="303" t="str">
        <f t="shared" si="9"/>
        <v/>
      </c>
      <c r="AF27" s="163" t="str">
        <f t="shared" si="10"/>
        <v/>
      </c>
      <c r="AG27" s="163" t="str">
        <f t="shared" si="11"/>
        <v/>
      </c>
      <c r="AH27" s="163" t="str">
        <f t="shared" si="12"/>
        <v/>
      </c>
      <c r="AI27" s="290"/>
      <c r="AJ27" s="165" t="str">
        <f t="shared" si="13"/>
        <v/>
      </c>
      <c r="AK27" s="180" t="str">
        <f t="shared" si="14"/>
        <v/>
      </c>
      <c r="AM27" s="179"/>
      <c r="AN27" s="179"/>
      <c r="AP27" s="166" t="str">
        <f t="shared" si="15"/>
        <v/>
      </c>
      <c r="AQ27" s="166" t="str">
        <f t="shared" si="16"/>
        <v/>
      </c>
      <c r="AR27" s="166" t="str">
        <f t="shared" si="17"/>
        <v/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IF($J$1="Active",IF(Salary_Master_2!B28="","",_xlfn.IFS(Salary_Master_2!M28="Working",IF(Salary_Master_2!H28&lt;=DATE(2025,8,31),Salary_Master_2!B28,""),Salary_Master_2!M28="Left",IF(Salary_Master_2!N28&gt;DATE(2025,7,31),Salary_Master_2!B28,""))),"")</f>
        <v/>
      </c>
      <c r="C28" s="304">
        <v>31</v>
      </c>
      <c r="D28" s="305" t="str">
        <f t="shared" si="18"/>
        <v/>
      </c>
      <c r="E28" s="177"/>
      <c r="F28" s="177"/>
      <c r="G28" s="177"/>
      <c r="H28" s="305" t="str">
        <f t="shared" si="19"/>
        <v/>
      </c>
      <c r="I28" s="177"/>
      <c r="J28" s="177"/>
      <c r="K28" s="158" t="str">
        <f t="shared" si="1"/>
        <v/>
      </c>
      <c r="L28" s="158" t="str">
        <f t="shared" si="2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20"/>
        <v/>
      </c>
      <c r="T28" s="170" t="str">
        <f t="shared" si="21"/>
        <v/>
      </c>
      <c r="U28" s="170" t="str">
        <f t="shared" si="22"/>
        <v/>
      </c>
      <c r="V28" s="262">
        <f t="shared" si="23"/>
        <v>0</v>
      </c>
      <c r="W28" s="160" t="str">
        <f t="shared" si="24"/>
        <v/>
      </c>
      <c r="X28" s="160" t="str">
        <f t="shared" si="25"/>
        <v/>
      </c>
      <c r="Y28" s="160" t="str">
        <f t="shared" si="26"/>
        <v/>
      </c>
      <c r="Z28" s="160" t="str">
        <f t="shared" si="27"/>
        <v/>
      </c>
      <c r="AA28" s="160">
        <f t="shared" si="28"/>
        <v>0</v>
      </c>
      <c r="AB28" s="160">
        <f t="shared" si="29"/>
        <v>0</v>
      </c>
      <c r="AC28" s="160">
        <f t="shared" si="30"/>
        <v>0</v>
      </c>
      <c r="AD28" s="307">
        <f t="shared" si="31"/>
        <v>0</v>
      </c>
      <c r="AE28" s="303" t="str">
        <f t="shared" si="9"/>
        <v/>
      </c>
      <c r="AF28" s="163" t="str">
        <f t="shared" si="10"/>
        <v/>
      </c>
      <c r="AG28" s="163" t="str">
        <f t="shared" si="11"/>
        <v/>
      </c>
      <c r="AH28" s="163" t="str">
        <f t="shared" si="12"/>
        <v/>
      </c>
      <c r="AI28" s="290"/>
      <c r="AJ28" s="165" t="str">
        <f t="shared" si="13"/>
        <v/>
      </c>
      <c r="AK28" s="180" t="str">
        <f t="shared" si="14"/>
        <v/>
      </c>
      <c r="AM28" s="179"/>
      <c r="AN28" s="179"/>
      <c r="AP28" s="166" t="str">
        <f t="shared" si="15"/>
        <v/>
      </c>
      <c r="AQ28" s="166" t="str">
        <f t="shared" si="16"/>
        <v/>
      </c>
      <c r="AR28" s="166" t="str">
        <f t="shared" si="17"/>
        <v/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IF($J$1="Active",IF(Salary_Master_2!B29="","",_xlfn.IFS(Salary_Master_2!M29="Working",IF(Salary_Master_2!H29&lt;=DATE(2025,8,31),Salary_Master_2!B29,""),Salary_Master_2!M29="Left",IF(Salary_Master_2!N29&gt;DATE(2025,7,31),Salary_Master_2!B29,""))),"")</f>
        <v/>
      </c>
      <c r="C29" s="304">
        <v>31</v>
      </c>
      <c r="D29" s="305" t="str">
        <f t="shared" si="18"/>
        <v/>
      </c>
      <c r="E29" s="177"/>
      <c r="F29" s="177"/>
      <c r="G29" s="177"/>
      <c r="H29" s="305" t="str">
        <f t="shared" si="19"/>
        <v/>
      </c>
      <c r="I29" s="177"/>
      <c r="J29" s="177"/>
      <c r="K29" s="158" t="str">
        <f t="shared" si="1"/>
        <v/>
      </c>
      <c r="L29" s="158" t="str">
        <f t="shared" si="2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20"/>
        <v/>
      </c>
      <c r="T29" s="170" t="str">
        <f t="shared" si="21"/>
        <v/>
      </c>
      <c r="U29" s="170" t="str">
        <f t="shared" si="22"/>
        <v/>
      </c>
      <c r="V29" s="262">
        <f t="shared" si="23"/>
        <v>0</v>
      </c>
      <c r="W29" s="160" t="str">
        <f t="shared" si="24"/>
        <v/>
      </c>
      <c r="X29" s="160" t="str">
        <f t="shared" si="25"/>
        <v/>
      </c>
      <c r="Y29" s="160" t="str">
        <f t="shared" si="26"/>
        <v/>
      </c>
      <c r="Z29" s="160" t="str">
        <f t="shared" si="27"/>
        <v/>
      </c>
      <c r="AA29" s="160">
        <f t="shared" si="28"/>
        <v>0</v>
      </c>
      <c r="AB29" s="160">
        <f t="shared" si="29"/>
        <v>0</v>
      </c>
      <c r="AC29" s="160">
        <f t="shared" si="30"/>
        <v>0</v>
      </c>
      <c r="AD29" s="307">
        <f t="shared" si="31"/>
        <v>0</v>
      </c>
      <c r="AE29" s="303" t="str">
        <f t="shared" si="9"/>
        <v/>
      </c>
      <c r="AF29" s="163" t="str">
        <f t="shared" si="10"/>
        <v/>
      </c>
      <c r="AG29" s="163" t="str">
        <f t="shared" si="11"/>
        <v/>
      </c>
      <c r="AH29" s="163" t="str">
        <f t="shared" si="12"/>
        <v/>
      </c>
      <c r="AI29" s="290"/>
      <c r="AJ29" s="165" t="str">
        <f t="shared" si="13"/>
        <v/>
      </c>
      <c r="AK29" s="180" t="str">
        <f t="shared" si="14"/>
        <v/>
      </c>
      <c r="AM29" s="179"/>
      <c r="AN29" s="179"/>
      <c r="AP29" s="166" t="str">
        <f t="shared" si="15"/>
        <v/>
      </c>
      <c r="AQ29" s="166" t="str">
        <f t="shared" si="16"/>
        <v/>
      </c>
      <c r="AR29" s="166" t="str">
        <f t="shared" si="17"/>
        <v/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IF($J$1="Active",IF(Salary_Master_2!B30="","",_xlfn.IFS(Salary_Master_2!M30="Working",IF(Salary_Master_2!H30&lt;=DATE(2025,8,31),Salary_Master_2!B30,""),Salary_Master_2!M30="Left",IF(Salary_Master_2!N30&gt;DATE(2025,7,31),Salary_Master_2!B30,""))),"")</f>
        <v/>
      </c>
      <c r="C30" s="304">
        <v>31</v>
      </c>
      <c r="D30" s="305" t="str">
        <f t="shared" si="18"/>
        <v/>
      </c>
      <c r="E30" s="177"/>
      <c r="F30" s="177"/>
      <c r="G30" s="177"/>
      <c r="H30" s="305" t="str">
        <f t="shared" si="19"/>
        <v/>
      </c>
      <c r="I30" s="177"/>
      <c r="J30" s="177"/>
      <c r="K30" s="158" t="str">
        <f t="shared" si="1"/>
        <v/>
      </c>
      <c r="L30" s="158" t="str">
        <f t="shared" si="2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20"/>
        <v/>
      </c>
      <c r="T30" s="170" t="str">
        <f t="shared" si="21"/>
        <v/>
      </c>
      <c r="U30" s="170" t="str">
        <f t="shared" si="22"/>
        <v/>
      </c>
      <c r="V30" s="262">
        <f t="shared" si="23"/>
        <v>0</v>
      </c>
      <c r="W30" s="160" t="str">
        <f t="shared" si="24"/>
        <v/>
      </c>
      <c r="X30" s="160" t="str">
        <f t="shared" si="25"/>
        <v/>
      </c>
      <c r="Y30" s="160" t="str">
        <f t="shared" si="26"/>
        <v/>
      </c>
      <c r="Z30" s="160" t="str">
        <f t="shared" si="27"/>
        <v/>
      </c>
      <c r="AA30" s="160">
        <f t="shared" si="28"/>
        <v>0</v>
      </c>
      <c r="AB30" s="160">
        <f t="shared" si="29"/>
        <v>0</v>
      </c>
      <c r="AC30" s="160">
        <f t="shared" si="30"/>
        <v>0</v>
      </c>
      <c r="AD30" s="307">
        <f t="shared" si="31"/>
        <v>0</v>
      </c>
      <c r="AE30" s="303" t="str">
        <f t="shared" si="9"/>
        <v/>
      </c>
      <c r="AF30" s="163" t="str">
        <f t="shared" si="10"/>
        <v/>
      </c>
      <c r="AG30" s="163" t="str">
        <f t="shared" si="11"/>
        <v/>
      </c>
      <c r="AH30" s="163" t="str">
        <f t="shared" si="12"/>
        <v/>
      </c>
      <c r="AI30" s="290"/>
      <c r="AJ30" s="165" t="str">
        <f t="shared" si="13"/>
        <v/>
      </c>
      <c r="AK30" s="180" t="str">
        <f t="shared" si="14"/>
        <v/>
      </c>
      <c r="AM30" s="179"/>
      <c r="AN30" s="179"/>
      <c r="AP30" s="166" t="str">
        <f t="shared" si="15"/>
        <v/>
      </c>
      <c r="AQ30" s="166" t="str">
        <f t="shared" si="16"/>
        <v/>
      </c>
      <c r="AR30" s="166" t="str">
        <f t="shared" si="17"/>
        <v/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IF($J$1="Active",IF(Salary_Master_2!B31="","",_xlfn.IFS(Salary_Master_2!M31="Working",IF(Salary_Master_2!H31&lt;=DATE(2025,8,31),Salary_Master_2!B31,""),Salary_Master_2!M31="Left",IF(Salary_Master_2!N31&gt;DATE(2025,7,31),Salary_Master_2!B31,""))),"")</f>
        <v/>
      </c>
      <c r="C31" s="304">
        <v>31</v>
      </c>
      <c r="D31" s="305" t="str">
        <f t="shared" si="18"/>
        <v/>
      </c>
      <c r="E31" s="177"/>
      <c r="F31" s="177"/>
      <c r="G31" s="177"/>
      <c r="H31" s="305" t="str">
        <f t="shared" si="19"/>
        <v/>
      </c>
      <c r="I31" s="177"/>
      <c r="J31" s="177"/>
      <c r="K31" s="158" t="str">
        <f t="shared" si="1"/>
        <v/>
      </c>
      <c r="L31" s="158" t="str">
        <f t="shared" si="2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20"/>
        <v/>
      </c>
      <c r="T31" s="170" t="str">
        <f t="shared" si="21"/>
        <v/>
      </c>
      <c r="U31" s="170" t="str">
        <f t="shared" si="22"/>
        <v/>
      </c>
      <c r="V31" s="262">
        <f t="shared" si="23"/>
        <v>0</v>
      </c>
      <c r="W31" s="160" t="str">
        <f t="shared" si="24"/>
        <v/>
      </c>
      <c r="X31" s="160" t="str">
        <f t="shared" si="25"/>
        <v/>
      </c>
      <c r="Y31" s="160" t="str">
        <f t="shared" si="26"/>
        <v/>
      </c>
      <c r="Z31" s="160" t="str">
        <f t="shared" si="27"/>
        <v/>
      </c>
      <c r="AA31" s="160">
        <f t="shared" si="28"/>
        <v>0</v>
      </c>
      <c r="AB31" s="160">
        <f t="shared" si="29"/>
        <v>0</v>
      </c>
      <c r="AC31" s="160">
        <f t="shared" si="30"/>
        <v>0</v>
      </c>
      <c r="AD31" s="307">
        <f t="shared" si="31"/>
        <v>0</v>
      </c>
      <c r="AE31" s="303" t="str">
        <f t="shared" si="9"/>
        <v/>
      </c>
      <c r="AF31" s="163" t="str">
        <f t="shared" si="10"/>
        <v/>
      </c>
      <c r="AG31" s="163" t="str">
        <f t="shared" si="11"/>
        <v/>
      </c>
      <c r="AH31" s="163" t="str">
        <f t="shared" si="12"/>
        <v/>
      </c>
      <c r="AI31" s="290"/>
      <c r="AJ31" s="165" t="str">
        <f t="shared" si="13"/>
        <v/>
      </c>
      <c r="AK31" s="180" t="str">
        <f t="shared" si="14"/>
        <v/>
      </c>
      <c r="AM31" s="179"/>
      <c r="AN31" s="179"/>
      <c r="AP31" s="166" t="str">
        <f t="shared" si="15"/>
        <v/>
      </c>
      <c r="AQ31" s="166" t="str">
        <f t="shared" si="16"/>
        <v/>
      </c>
      <c r="AR31" s="166" t="str">
        <f t="shared" si="17"/>
        <v/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IF($J$1="Active",IF(Salary_Master_2!B32="","",_xlfn.IFS(Salary_Master_2!M32="Working",IF(Salary_Master_2!H32&lt;=DATE(2025,8,31),Salary_Master_2!B32,""),Salary_Master_2!M32="Left",IF(Salary_Master_2!N32&gt;DATE(2025,7,31),Salary_Master_2!B32,""))),"")</f>
        <v/>
      </c>
      <c r="C32" s="304">
        <v>31</v>
      </c>
      <c r="D32" s="305" t="str">
        <f t="shared" si="18"/>
        <v/>
      </c>
      <c r="E32" s="177"/>
      <c r="F32" s="177"/>
      <c r="G32" s="177"/>
      <c r="H32" s="305" t="str">
        <f t="shared" si="19"/>
        <v/>
      </c>
      <c r="I32" s="177"/>
      <c r="J32" s="177"/>
      <c r="K32" s="158" t="str">
        <f t="shared" si="1"/>
        <v/>
      </c>
      <c r="L32" s="158" t="str">
        <f t="shared" si="2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20"/>
        <v/>
      </c>
      <c r="T32" s="170" t="str">
        <f t="shared" si="21"/>
        <v/>
      </c>
      <c r="U32" s="170" t="str">
        <f t="shared" si="22"/>
        <v/>
      </c>
      <c r="V32" s="262">
        <f t="shared" si="23"/>
        <v>0</v>
      </c>
      <c r="W32" s="160" t="str">
        <f t="shared" si="24"/>
        <v/>
      </c>
      <c r="X32" s="160" t="str">
        <f t="shared" si="25"/>
        <v/>
      </c>
      <c r="Y32" s="160" t="str">
        <f t="shared" si="26"/>
        <v/>
      </c>
      <c r="Z32" s="160" t="str">
        <f t="shared" si="27"/>
        <v/>
      </c>
      <c r="AA32" s="160">
        <f t="shared" si="28"/>
        <v>0</v>
      </c>
      <c r="AB32" s="160">
        <f t="shared" si="29"/>
        <v>0</v>
      </c>
      <c r="AC32" s="160">
        <f t="shared" si="30"/>
        <v>0</v>
      </c>
      <c r="AD32" s="307">
        <f t="shared" si="31"/>
        <v>0</v>
      </c>
      <c r="AE32" s="303" t="str">
        <f t="shared" si="9"/>
        <v/>
      </c>
      <c r="AF32" s="163" t="str">
        <f t="shared" si="10"/>
        <v/>
      </c>
      <c r="AG32" s="163" t="str">
        <f t="shared" si="11"/>
        <v/>
      </c>
      <c r="AH32" s="163" t="str">
        <f t="shared" si="12"/>
        <v/>
      </c>
      <c r="AI32" s="290"/>
      <c r="AJ32" s="165" t="str">
        <f t="shared" si="13"/>
        <v/>
      </c>
      <c r="AK32" s="180" t="str">
        <f t="shared" si="14"/>
        <v/>
      </c>
      <c r="AM32" s="179"/>
      <c r="AN32" s="179"/>
      <c r="AP32" s="166" t="str">
        <f t="shared" si="15"/>
        <v/>
      </c>
      <c r="AQ32" s="166" t="str">
        <f t="shared" si="16"/>
        <v/>
      </c>
      <c r="AR32" s="166" t="str">
        <f t="shared" si="17"/>
        <v/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IF($J$1="Active",IF(Salary_Master_2!B33="","",_xlfn.IFS(Salary_Master_2!M33="Working",IF(Salary_Master_2!H33&lt;=DATE(2025,8,31),Salary_Master_2!B33,""),Salary_Master_2!M33="Left",IF(Salary_Master_2!N33&gt;DATE(2025,7,31),Salary_Master_2!B33,""))),"")</f>
        <v/>
      </c>
      <c r="C33" s="304">
        <v>31</v>
      </c>
      <c r="D33" s="305" t="str">
        <f t="shared" si="18"/>
        <v/>
      </c>
      <c r="E33" s="177"/>
      <c r="F33" s="177"/>
      <c r="G33" s="177"/>
      <c r="H33" s="305" t="str">
        <f t="shared" si="19"/>
        <v/>
      </c>
      <c r="I33" s="177"/>
      <c r="J33" s="177"/>
      <c r="K33" s="158" t="str">
        <f t="shared" si="1"/>
        <v/>
      </c>
      <c r="L33" s="158" t="str">
        <f t="shared" si="2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20"/>
        <v/>
      </c>
      <c r="T33" s="170" t="str">
        <f t="shared" si="21"/>
        <v/>
      </c>
      <c r="U33" s="170" t="str">
        <f t="shared" si="22"/>
        <v/>
      </c>
      <c r="V33" s="262">
        <f t="shared" si="23"/>
        <v>0</v>
      </c>
      <c r="W33" s="160" t="str">
        <f t="shared" si="24"/>
        <v/>
      </c>
      <c r="X33" s="160" t="str">
        <f t="shared" si="25"/>
        <v/>
      </c>
      <c r="Y33" s="160" t="str">
        <f t="shared" si="26"/>
        <v/>
      </c>
      <c r="Z33" s="160" t="str">
        <f t="shared" si="27"/>
        <v/>
      </c>
      <c r="AA33" s="160">
        <f t="shared" si="28"/>
        <v>0</v>
      </c>
      <c r="AB33" s="160">
        <f t="shared" si="29"/>
        <v>0</v>
      </c>
      <c r="AC33" s="160">
        <f t="shared" si="30"/>
        <v>0</v>
      </c>
      <c r="AD33" s="307">
        <f t="shared" si="31"/>
        <v>0</v>
      </c>
      <c r="AE33" s="303" t="str">
        <f t="shared" si="9"/>
        <v/>
      </c>
      <c r="AF33" s="163" t="str">
        <f t="shared" si="10"/>
        <v/>
      </c>
      <c r="AG33" s="163" t="str">
        <f t="shared" si="11"/>
        <v/>
      </c>
      <c r="AH33" s="163" t="str">
        <f t="shared" si="12"/>
        <v/>
      </c>
      <c r="AI33" s="290"/>
      <c r="AJ33" s="165" t="str">
        <f t="shared" si="13"/>
        <v/>
      </c>
      <c r="AK33" s="180" t="str">
        <f t="shared" si="14"/>
        <v/>
      </c>
      <c r="AM33" s="179"/>
      <c r="AN33" s="179"/>
      <c r="AP33" s="166" t="str">
        <f t="shared" si="15"/>
        <v/>
      </c>
      <c r="AQ33" s="166" t="str">
        <f t="shared" si="16"/>
        <v/>
      </c>
      <c r="AR33" s="166" t="str">
        <f t="shared" si="17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IF($J$1="Active",IF(Salary_Master_2!B34="","",_xlfn.IFS(Salary_Master_2!M34="Working",IF(Salary_Master_2!H34&lt;=DATE(2025,8,31),Salary_Master_2!B34,""),Salary_Master_2!M34="Left",IF(Salary_Master_2!N34&gt;DATE(2025,7,31),Salary_Master_2!B34,""))),"")</f>
        <v/>
      </c>
      <c r="C34" s="304">
        <v>31</v>
      </c>
      <c r="D34" s="305" t="str">
        <f t="shared" si="18"/>
        <v/>
      </c>
      <c r="E34" s="177"/>
      <c r="F34" s="177"/>
      <c r="G34" s="177"/>
      <c r="H34" s="305" t="str">
        <f t="shared" si="19"/>
        <v/>
      </c>
      <c r="I34" s="177"/>
      <c r="J34" s="177"/>
      <c r="K34" s="158" t="str">
        <f t="shared" si="1"/>
        <v/>
      </c>
      <c r="L34" s="158" t="str">
        <f t="shared" si="2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20"/>
        <v/>
      </c>
      <c r="T34" s="170" t="str">
        <f t="shared" si="21"/>
        <v/>
      </c>
      <c r="U34" s="170" t="str">
        <f t="shared" si="22"/>
        <v/>
      </c>
      <c r="V34" s="262">
        <f t="shared" si="23"/>
        <v>0</v>
      </c>
      <c r="W34" s="160" t="str">
        <f t="shared" si="24"/>
        <v/>
      </c>
      <c r="X34" s="160" t="str">
        <f t="shared" si="25"/>
        <v/>
      </c>
      <c r="Y34" s="160" t="str">
        <f t="shared" si="26"/>
        <v/>
      </c>
      <c r="Z34" s="160" t="str">
        <f t="shared" si="27"/>
        <v/>
      </c>
      <c r="AA34" s="160">
        <f t="shared" si="28"/>
        <v>0</v>
      </c>
      <c r="AB34" s="160">
        <f t="shared" si="29"/>
        <v>0</v>
      </c>
      <c r="AC34" s="160">
        <f t="shared" si="30"/>
        <v>0</v>
      </c>
      <c r="AD34" s="307">
        <f t="shared" si="31"/>
        <v>0</v>
      </c>
      <c r="AE34" s="303" t="str">
        <f t="shared" si="9"/>
        <v/>
      </c>
      <c r="AF34" s="163" t="str">
        <f t="shared" si="10"/>
        <v/>
      </c>
      <c r="AG34" s="163" t="str">
        <f t="shared" si="11"/>
        <v/>
      </c>
      <c r="AH34" s="163" t="str">
        <f t="shared" si="12"/>
        <v/>
      </c>
      <c r="AI34" s="290"/>
      <c r="AJ34" s="165" t="str">
        <f t="shared" si="13"/>
        <v/>
      </c>
      <c r="AK34" s="180" t="str">
        <f t="shared" si="14"/>
        <v/>
      </c>
      <c r="AM34" s="179"/>
      <c r="AN34" s="179"/>
      <c r="AP34" s="166" t="str">
        <f t="shared" si="15"/>
        <v/>
      </c>
      <c r="AQ34" s="166" t="str">
        <f t="shared" si="16"/>
        <v/>
      </c>
      <c r="AR34" s="166" t="str">
        <f t="shared" si="17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IF($J$1="Active",IF(Salary_Master_2!B35="","",_xlfn.IFS(Salary_Master_2!M35="Working",IF(Salary_Master_2!H35&lt;=DATE(2025,8,31),Salary_Master_2!B35,""),Salary_Master_2!M35="Left",IF(Salary_Master_2!N35&gt;DATE(2025,7,31),Salary_Master_2!B35,""))),"")</f>
        <v/>
      </c>
      <c r="C35" s="304">
        <v>31</v>
      </c>
      <c r="D35" s="305" t="str">
        <f t="shared" si="18"/>
        <v/>
      </c>
      <c r="E35" s="177"/>
      <c r="F35" s="177"/>
      <c r="G35" s="177"/>
      <c r="H35" s="305" t="str">
        <f t="shared" si="19"/>
        <v/>
      </c>
      <c r="I35" s="177"/>
      <c r="J35" s="177"/>
      <c r="K35" s="158" t="str">
        <f t="shared" si="1"/>
        <v/>
      </c>
      <c r="L35" s="158" t="str">
        <f t="shared" si="2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20"/>
        <v/>
      </c>
      <c r="T35" s="170" t="str">
        <f t="shared" si="21"/>
        <v/>
      </c>
      <c r="U35" s="170" t="str">
        <f t="shared" si="22"/>
        <v/>
      </c>
      <c r="V35" s="262">
        <f t="shared" si="23"/>
        <v>0</v>
      </c>
      <c r="W35" s="160" t="str">
        <f t="shared" si="24"/>
        <v/>
      </c>
      <c r="X35" s="160" t="str">
        <f t="shared" si="25"/>
        <v/>
      </c>
      <c r="Y35" s="160" t="str">
        <f t="shared" si="26"/>
        <v/>
      </c>
      <c r="Z35" s="160" t="str">
        <f t="shared" si="27"/>
        <v/>
      </c>
      <c r="AA35" s="160">
        <f t="shared" si="28"/>
        <v>0</v>
      </c>
      <c r="AB35" s="160">
        <f t="shared" si="29"/>
        <v>0</v>
      </c>
      <c r="AC35" s="160">
        <f t="shared" si="30"/>
        <v>0</v>
      </c>
      <c r="AD35" s="307">
        <f t="shared" si="31"/>
        <v>0</v>
      </c>
      <c r="AE35" s="303" t="str">
        <f t="shared" si="9"/>
        <v/>
      </c>
      <c r="AF35" s="163" t="str">
        <f t="shared" si="10"/>
        <v/>
      </c>
      <c r="AG35" s="163" t="str">
        <f t="shared" si="11"/>
        <v/>
      </c>
      <c r="AH35" s="163" t="str">
        <f t="shared" si="12"/>
        <v/>
      </c>
      <c r="AI35" s="290"/>
      <c r="AJ35" s="165" t="str">
        <f t="shared" si="13"/>
        <v/>
      </c>
      <c r="AK35" s="180" t="str">
        <f t="shared" si="14"/>
        <v/>
      </c>
      <c r="AM35" s="179"/>
      <c r="AN35" s="179"/>
      <c r="AP35" s="166" t="str">
        <f t="shared" si="15"/>
        <v/>
      </c>
      <c r="AQ35" s="166" t="str">
        <f t="shared" si="16"/>
        <v/>
      </c>
      <c r="AR35" s="166" t="str">
        <f t="shared" si="17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IF($J$1="Active",IF(Salary_Master_2!B36="","",_xlfn.IFS(Salary_Master_2!M36="Working",IF(Salary_Master_2!H36&lt;=DATE(2025,8,31),Salary_Master_2!B36,""),Salary_Master_2!M36="Left",IF(Salary_Master_2!N36&gt;DATE(2025,7,31),Salary_Master_2!B36,""))),"")</f>
        <v/>
      </c>
      <c r="C36" s="304">
        <v>31</v>
      </c>
      <c r="D36" s="305" t="str">
        <f t="shared" si="18"/>
        <v/>
      </c>
      <c r="E36" s="177"/>
      <c r="F36" s="177"/>
      <c r="G36" s="177"/>
      <c r="H36" s="305" t="str">
        <f t="shared" si="19"/>
        <v/>
      </c>
      <c r="I36" s="177"/>
      <c r="J36" s="177"/>
      <c r="K36" s="158" t="str">
        <f t="shared" si="1"/>
        <v/>
      </c>
      <c r="L36" s="158" t="str">
        <f t="shared" si="2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20"/>
        <v/>
      </c>
      <c r="T36" s="170" t="str">
        <f t="shared" si="21"/>
        <v/>
      </c>
      <c r="U36" s="170" t="str">
        <f t="shared" si="22"/>
        <v/>
      </c>
      <c r="V36" s="262">
        <f t="shared" si="23"/>
        <v>0</v>
      </c>
      <c r="W36" s="160" t="str">
        <f t="shared" si="24"/>
        <v/>
      </c>
      <c r="X36" s="160" t="str">
        <f t="shared" si="25"/>
        <v/>
      </c>
      <c r="Y36" s="160" t="str">
        <f t="shared" si="26"/>
        <v/>
      </c>
      <c r="Z36" s="160" t="str">
        <f t="shared" si="27"/>
        <v/>
      </c>
      <c r="AA36" s="160">
        <f t="shared" si="28"/>
        <v>0</v>
      </c>
      <c r="AB36" s="160">
        <f t="shared" si="29"/>
        <v>0</v>
      </c>
      <c r="AC36" s="160">
        <f t="shared" si="30"/>
        <v>0</v>
      </c>
      <c r="AD36" s="307">
        <f t="shared" si="31"/>
        <v>0</v>
      </c>
      <c r="AE36" s="303" t="str">
        <f t="shared" si="9"/>
        <v/>
      </c>
      <c r="AF36" s="163" t="str">
        <f t="shared" si="10"/>
        <v/>
      </c>
      <c r="AG36" s="163" t="str">
        <f t="shared" si="11"/>
        <v/>
      </c>
      <c r="AH36" s="163" t="str">
        <f t="shared" si="12"/>
        <v/>
      </c>
      <c r="AI36" s="290"/>
      <c r="AJ36" s="165" t="str">
        <f t="shared" si="13"/>
        <v/>
      </c>
      <c r="AK36" s="180" t="str">
        <f t="shared" si="14"/>
        <v/>
      </c>
      <c r="AM36" s="179"/>
      <c r="AN36" s="179"/>
      <c r="AP36" s="166" t="str">
        <f t="shared" si="15"/>
        <v/>
      </c>
      <c r="AQ36" s="166" t="str">
        <f t="shared" si="16"/>
        <v/>
      </c>
      <c r="AR36" s="166" t="str">
        <f t="shared" si="17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IF($J$1="Active",IF(Salary_Master_2!B37="","",_xlfn.IFS(Salary_Master_2!M37="Working",IF(Salary_Master_2!H37&lt;=DATE(2025,8,31),Salary_Master_2!B37,""),Salary_Master_2!M37="Left",IF(Salary_Master_2!N37&gt;DATE(2025,7,31),Salary_Master_2!B37,""))),"")</f>
        <v/>
      </c>
      <c r="C37" s="304">
        <v>31</v>
      </c>
      <c r="D37" s="305" t="str">
        <f t="shared" si="18"/>
        <v/>
      </c>
      <c r="E37" s="177"/>
      <c r="F37" s="177"/>
      <c r="G37" s="177"/>
      <c r="H37" s="305" t="str">
        <f t="shared" si="19"/>
        <v/>
      </c>
      <c r="I37" s="177"/>
      <c r="J37" s="177"/>
      <c r="K37" s="158" t="str">
        <f t="shared" si="1"/>
        <v/>
      </c>
      <c r="L37" s="158" t="str">
        <f t="shared" si="2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20"/>
        <v/>
      </c>
      <c r="T37" s="170" t="str">
        <f t="shared" si="21"/>
        <v/>
      </c>
      <c r="U37" s="170" t="str">
        <f t="shared" si="22"/>
        <v/>
      </c>
      <c r="V37" s="262">
        <f t="shared" si="23"/>
        <v>0</v>
      </c>
      <c r="W37" s="160" t="str">
        <f t="shared" si="24"/>
        <v/>
      </c>
      <c r="X37" s="160" t="str">
        <f t="shared" si="25"/>
        <v/>
      </c>
      <c r="Y37" s="160" t="str">
        <f t="shared" si="26"/>
        <v/>
      </c>
      <c r="Z37" s="160" t="str">
        <f t="shared" si="27"/>
        <v/>
      </c>
      <c r="AA37" s="160">
        <f t="shared" si="28"/>
        <v>0</v>
      </c>
      <c r="AB37" s="160">
        <f t="shared" si="29"/>
        <v>0</v>
      </c>
      <c r="AC37" s="160">
        <f t="shared" si="30"/>
        <v>0</v>
      </c>
      <c r="AD37" s="307">
        <f t="shared" si="31"/>
        <v>0</v>
      </c>
      <c r="AE37" s="303" t="str">
        <f t="shared" si="9"/>
        <v/>
      </c>
      <c r="AF37" s="163" t="str">
        <f t="shared" si="10"/>
        <v/>
      </c>
      <c r="AG37" s="163" t="str">
        <f t="shared" si="11"/>
        <v/>
      </c>
      <c r="AH37" s="163" t="str">
        <f t="shared" si="12"/>
        <v/>
      </c>
      <c r="AI37" s="290"/>
      <c r="AJ37" s="165" t="str">
        <f t="shared" si="13"/>
        <v/>
      </c>
      <c r="AK37" s="180" t="str">
        <f t="shared" si="14"/>
        <v/>
      </c>
      <c r="AM37" s="179"/>
      <c r="AN37" s="179"/>
      <c r="AP37" s="166" t="str">
        <f t="shared" si="15"/>
        <v/>
      </c>
      <c r="AQ37" s="166" t="str">
        <f t="shared" si="16"/>
        <v/>
      </c>
      <c r="AR37" s="166" t="str">
        <f t="shared" si="17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IF($J$1="Active",IF(Salary_Master_2!B38="","",_xlfn.IFS(Salary_Master_2!M38="Working",IF(Salary_Master_2!H38&lt;=DATE(2025,8,31),Salary_Master_2!B38,""),Salary_Master_2!M38="Left",IF(Salary_Master_2!N38&gt;DATE(2025,7,31),Salary_Master_2!B38,""))),"")</f>
        <v/>
      </c>
      <c r="C38" s="304">
        <v>31</v>
      </c>
      <c r="D38" s="305" t="str">
        <f t="shared" si="18"/>
        <v/>
      </c>
      <c r="E38" s="177"/>
      <c r="F38" s="177"/>
      <c r="G38" s="177"/>
      <c r="H38" s="305" t="str">
        <f t="shared" si="19"/>
        <v/>
      </c>
      <c r="I38" s="177"/>
      <c r="J38" s="177"/>
      <c r="K38" s="158" t="str">
        <f t="shared" si="1"/>
        <v/>
      </c>
      <c r="L38" s="158" t="str">
        <f t="shared" si="2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20"/>
        <v/>
      </c>
      <c r="T38" s="170" t="str">
        <f t="shared" si="21"/>
        <v/>
      </c>
      <c r="U38" s="170" t="str">
        <f t="shared" si="22"/>
        <v/>
      </c>
      <c r="V38" s="262">
        <f t="shared" si="23"/>
        <v>0</v>
      </c>
      <c r="W38" s="160" t="str">
        <f t="shared" si="24"/>
        <v/>
      </c>
      <c r="X38" s="160" t="str">
        <f t="shared" si="25"/>
        <v/>
      </c>
      <c r="Y38" s="160" t="str">
        <f t="shared" si="26"/>
        <v/>
      </c>
      <c r="Z38" s="160" t="str">
        <f t="shared" si="27"/>
        <v/>
      </c>
      <c r="AA38" s="160">
        <f t="shared" si="28"/>
        <v>0</v>
      </c>
      <c r="AB38" s="160">
        <f t="shared" si="29"/>
        <v>0</v>
      </c>
      <c r="AC38" s="160">
        <f t="shared" si="30"/>
        <v>0</v>
      </c>
      <c r="AD38" s="307">
        <f t="shared" si="31"/>
        <v>0</v>
      </c>
      <c r="AE38" s="303" t="str">
        <f t="shared" si="9"/>
        <v/>
      </c>
      <c r="AF38" s="163" t="str">
        <f t="shared" si="10"/>
        <v/>
      </c>
      <c r="AG38" s="163" t="str">
        <f t="shared" si="11"/>
        <v/>
      </c>
      <c r="AH38" s="163" t="str">
        <f t="shared" si="12"/>
        <v/>
      </c>
      <c r="AI38" s="290"/>
      <c r="AJ38" s="165" t="str">
        <f t="shared" si="13"/>
        <v/>
      </c>
      <c r="AK38" s="180" t="str">
        <f t="shared" si="14"/>
        <v/>
      </c>
      <c r="AM38" s="179"/>
      <c r="AN38" s="179"/>
      <c r="AP38" s="166" t="str">
        <f t="shared" si="15"/>
        <v/>
      </c>
      <c r="AQ38" s="166" t="str">
        <f t="shared" si="16"/>
        <v/>
      </c>
      <c r="AR38" s="166" t="str">
        <f t="shared" si="17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IF($J$1="Active",IF(Salary_Master_2!B39="","",_xlfn.IFS(Salary_Master_2!M39="Working",IF(Salary_Master_2!H39&lt;=DATE(2025,8,31),Salary_Master_2!B39,""),Salary_Master_2!M39="Left",IF(Salary_Master_2!N39&gt;DATE(2025,7,31),Salary_Master_2!B39,""))),"")</f>
        <v/>
      </c>
      <c r="C39" s="309">
        <v>31</v>
      </c>
      <c r="D39" s="310" t="str">
        <f t="shared" si="18"/>
        <v/>
      </c>
      <c r="E39" s="311"/>
      <c r="F39" s="311"/>
      <c r="G39" s="311"/>
      <c r="H39" s="310" t="str">
        <f t="shared" si="19"/>
        <v/>
      </c>
      <c r="I39" s="311"/>
      <c r="J39" s="311"/>
      <c r="K39" s="158" t="str">
        <f t="shared" si="1"/>
        <v/>
      </c>
      <c r="L39" s="158" t="str">
        <f t="shared" si="2"/>
        <v/>
      </c>
      <c r="M39" s="313"/>
      <c r="N39" s="169" t="str">
        <f t="shared" si="3"/>
        <v/>
      </c>
      <c r="O39" s="170" t="str">
        <f t="shared" si="4"/>
        <v/>
      </c>
      <c r="P39" s="170" t="str">
        <f t="shared" si="5"/>
        <v/>
      </c>
      <c r="Q39" s="170" t="str">
        <f t="shared" si="6"/>
        <v/>
      </c>
      <c r="R39" s="170" t="str">
        <f t="shared" si="7"/>
        <v/>
      </c>
      <c r="S39" s="170" t="str">
        <f t="shared" si="20"/>
        <v/>
      </c>
      <c r="T39" s="170" t="str">
        <f t="shared" si="21"/>
        <v/>
      </c>
      <c r="U39" s="170" t="str">
        <f t="shared" si="22"/>
        <v/>
      </c>
      <c r="V39" s="316">
        <f t="shared" si="23"/>
        <v>0</v>
      </c>
      <c r="W39" s="297" t="str">
        <f t="shared" si="24"/>
        <v/>
      </c>
      <c r="X39" s="297" t="str">
        <f t="shared" si="25"/>
        <v/>
      </c>
      <c r="Y39" s="297" t="str">
        <f t="shared" si="26"/>
        <v/>
      </c>
      <c r="Z39" s="297" t="str">
        <f t="shared" si="27"/>
        <v/>
      </c>
      <c r="AA39" s="297">
        <f t="shared" si="28"/>
        <v>0</v>
      </c>
      <c r="AB39" s="297">
        <f t="shared" si="29"/>
        <v>0</v>
      </c>
      <c r="AC39" s="297">
        <f t="shared" si="30"/>
        <v>0</v>
      </c>
      <c r="AD39" s="317">
        <f t="shared" si="31"/>
        <v>0</v>
      </c>
      <c r="AE39" s="303" t="str">
        <f t="shared" si="9"/>
        <v/>
      </c>
      <c r="AF39" s="286" t="str">
        <f t="shared" si="10"/>
        <v/>
      </c>
      <c r="AG39" s="286" t="str">
        <f t="shared" si="11"/>
        <v/>
      </c>
      <c r="AH39" s="286" t="str">
        <f t="shared" si="12"/>
        <v/>
      </c>
      <c r="AI39" s="292"/>
      <c r="AJ39" s="165" t="str">
        <f t="shared" si="13"/>
        <v/>
      </c>
      <c r="AK39" s="288" t="str">
        <f t="shared" si="14"/>
        <v/>
      </c>
      <c r="AM39" s="179"/>
      <c r="AN39" s="179"/>
      <c r="AP39" s="166" t="str">
        <f t="shared" si="15"/>
        <v/>
      </c>
      <c r="AQ39" s="166" t="str">
        <f t="shared" si="16"/>
        <v/>
      </c>
      <c r="AR39" s="166" t="str">
        <f t="shared" si="17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D40" si="32">SUM(W5:W39)</f>
        <v>0</v>
      </c>
      <c r="X40" s="183">
        <f t="shared" si="32"/>
        <v>0</v>
      </c>
      <c r="Y40" s="183">
        <f t="shared" si="32"/>
        <v>0</v>
      </c>
      <c r="Z40" s="183">
        <f t="shared" si="32"/>
        <v>0</v>
      </c>
      <c r="AA40" s="183">
        <f t="shared" si="32"/>
        <v>0</v>
      </c>
      <c r="AB40" s="183">
        <f t="shared" si="32"/>
        <v>0</v>
      </c>
      <c r="AC40" s="183">
        <f t="shared" si="32"/>
        <v>0</v>
      </c>
      <c r="AD40" s="183">
        <f t="shared" si="32"/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sheetProtection algorithmName="SHA-512" hashValue="sXoqSfRvzzsPbHGrlZ3aO9zwRib6mEzNiCPva41kk3NdnyAh9g9Xh26DmbcCu/DqMpQp8MXD87R1t6cGQ+orSA==" saltValue="pYCaFJiKoDM/tAdrD8VWlw==" spinCount="100000" sheet="1" objects="1" scenarios="1"/>
  <mergeCells count="3">
    <mergeCell ref="J1:K1"/>
    <mergeCell ref="AP2:AR2"/>
    <mergeCell ref="A40:U40"/>
  </mergeCells>
  <conditionalFormatting sqref="H5:H39">
    <cfRule type="cellIs" dxfId="23" priority="2" operator="greaterThan">
      <formula>32</formula>
    </cfRule>
    <cfRule type="cellIs" dxfId="22" priority="3" operator="greaterThan">
      <formula>31</formula>
    </cfRule>
  </conditionalFormatting>
  <conditionalFormatting sqref="H5:H39">
    <cfRule type="cellIs" dxfId="21" priority="1" operator="greaterThan">
      <formula>32</formula>
    </cfRule>
  </conditionalFormatting>
  <dataValidations count="6">
    <dataValidation type="list" allowBlank="1" showInputMessage="1" showErrorMessage="1" sqref="J1:K1" xr:uid="{663D73ED-C980-48B4-9028-A8DCF31EC730}">
      <formula1>"Active,Non-Active"</formula1>
    </dataValidation>
    <dataValidation type="list" allowBlank="1" showInputMessage="1" showErrorMessage="1" sqref="AK5:AK39 AL40 M5:M39" xr:uid="{DB63C5A3-8321-4B50-A78F-C7A8BCBCF7B7}">
      <formula1>"Yes,No"</formula1>
    </dataValidation>
    <dataValidation type="list" allowBlank="1" sqref="K5:L39" xr:uid="{B43F4215-3DCA-4C57-B55A-1ACD3A77B941}">
      <formula1>"Yes,No"</formula1>
    </dataValidation>
    <dataValidation type="custom" allowBlank="1" showInputMessage="1" showErrorMessage="1" errorTitle="Below Limit !!!" error="Total leaves are going negative if this value is entered. Try to enter less value." sqref="G5:G39" xr:uid="{F3F2322D-A803-4B35-B85A-B3E44800C247}">
      <formula1>$AP5&lt;=7</formula1>
    </dataValidation>
    <dataValidation type="custom" allowBlank="1" showInputMessage="1" showErrorMessage="1" errorTitle="Below Limit !!!" error="Total leaves are going negative if this value is entered. Try to enter less value." sqref="F5:F39" xr:uid="{1A919375-0E4E-4AC4-B173-D41B44CDC0D7}">
      <formula1>$AO5&lt;=7</formula1>
    </dataValidation>
    <dataValidation type="custom" allowBlank="1" showInputMessage="1" showErrorMessage="1" errorTitle="Below Limit !!!" error="Total leaves are going negative if this value is entered. Try to enter less value." sqref="E5:E39" xr:uid="{EA78DF4F-FD47-4E33-A66D-01C62CDBCDBA}">
      <formula1>$AN5&lt;=7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FD1C3-EB97-4D61-A132-09DEF25BC863}">
  <sheetPr codeName="Sheet40">
    <tabColor rgb="FF92D050"/>
  </sheetPr>
  <dimension ref="A1:AT40"/>
  <sheetViews>
    <sheetView workbookViewId="0">
      <pane xSplit="13" ySplit="4" topLeftCell="R5" activePane="bottomRight" state="frozen"/>
      <selection activeCell="J1" sqref="J1:K1"/>
      <selection pane="topRight" activeCell="J1" sqref="J1:K1"/>
      <selection pane="bottomLeft" activeCell="J1" sqref="J1:K1"/>
      <selection pane="bottomRight" activeCell="S9" sqref="S9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3320312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195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IF($J$1="Active",IF(Salary_Master_2!B5="","",_xlfn.IFS(Salary_Master_2!M5="Working",IF(Salary_Master_2!H5&lt;=DATE(2025,9,30),Salary_Master_2!B5,""),Salary_Master_2!M5="Left",IF(Salary_Master_2!N5&gt;DATE(2025,8,31),Salary_Master_2!B5,""))),"")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:K39" si="1">IF($J$1="Active",IF(B5="","",VLOOKUP(B5,Salary_Master_2,14,FALSE)),"")</f>
        <v/>
      </c>
      <c r="L5" s="158" t="str">
        <f t="shared" ref="L5:L39" si="2">IF($J$1="Active",IF(B5="","",VLOOKUP(B5,Salary_Master_2,15,FALSE)),"")</f>
        <v/>
      </c>
      <c r="M5" s="159"/>
      <c r="N5" s="169" t="str">
        <f t="shared" ref="N5:N39" si="3">IFERROR(ROUND(IF($B5="","",SUM(VLOOKUP($B5,Salary_Master_2,17,FALSE)/31*$H5)),0),"")</f>
        <v/>
      </c>
      <c r="O5" s="170" t="str">
        <f t="shared" ref="O5:O39" si="4">IFERROR(ROUND(IF($B5="","",SUM(VLOOKUP($B5,Salary_Master_2,18,FALSE)/31*$H5)),0),"")</f>
        <v/>
      </c>
      <c r="P5" s="170" t="str">
        <f t="shared" ref="P5:P39" si="5">IFERROR(ROUND(IF($B5="","",SUM(VLOOKUP($B5,Salary_Master_2,19,FALSE)/31*$H5)),0),"")</f>
        <v/>
      </c>
      <c r="Q5" s="170" t="str">
        <f t="shared" ref="Q5:Q39" si="6">IFERROR(ROUND(IF($B5="","",SUM(VLOOKUP($B5,Salary_Master_2,20,FALSE)/31*$H5)),0),"")</f>
        <v/>
      </c>
      <c r="R5" s="170" t="str">
        <f t="shared" ref="R5:R39" si="7">IFERROR(ROUND(IF($B5="","",SUM(VLOOKUP($B5,Salary_Master_2,21,FALSE)/31*$H5)),0),"")</f>
        <v/>
      </c>
      <c r="S5" s="170" t="str">
        <f>IF(B5="","",IF(B5="Sagar Kadam",0,IF(B5="Rahul Jadhav",0,IF(B5="Waman Bandekar",(1800/31*D5),IF(K5="Yes",IF((SUM(N5:R5)-O5)*12%&gt;1800,1800,(SUM(N5:R5)-O5)*12%),0)))))</f>
        <v/>
      </c>
      <c r="T5" s="170" t="str">
        <f>S5</f>
        <v/>
      </c>
      <c r="U5" s="170" t="str">
        <f>IF(B5="","",IF(B5="Sagar Kadam",0,IF(B5="Rahul Jadhav",0,IF(B5="Waman Bandekar",(650/31*D5),ROUND(IF(L5="Yes",SUM(N5:R5)*3.25%,0),0)))))</f>
        <v/>
      </c>
      <c r="V5" s="261">
        <f>ROUND(SUM(N5:U5),0)</f>
        <v>0</v>
      </c>
      <c r="W5" s="161" t="str">
        <f>IF(B5="Sagar Kadam",1800,IF(B5="Rahul Jadhav",1800,S5))</f>
        <v/>
      </c>
      <c r="X5" s="161" t="str">
        <f>T5</f>
        <v/>
      </c>
      <c r="Y5" s="161" t="str">
        <f>IF(B5="","",ROUND(IF(L5="Yes",V5*0.75%,0),0))</f>
        <v/>
      </c>
      <c r="Z5" s="161" t="str">
        <f>U5</f>
        <v/>
      </c>
      <c r="AA5" s="161">
        <f t="shared" ref="AA5" si="8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:AE39" si="9">IF(B5="","",VLOOKUP(B5,Salary_Master_2,8,FALSE))</f>
        <v/>
      </c>
      <c r="AF5" s="164" t="str">
        <f t="shared" ref="AF5:AF39" si="10">IFERROR(IF($J$1="Non-Active","",IF(VLOOKUP($B5,Augg25,36,FALSE)="No",IF($AK5="Yes",MROUND($AJ5/3,0.5)-$E5,""),IF(VLOOKUP($B5,Augg25,36,FALSE)="Yes",(VLOOKUP($B5,Augg25,31,FALSE)-$E5),""))),"")</f>
        <v/>
      </c>
      <c r="AG5" s="164" t="str">
        <f t="shared" ref="AG5:AG39" si="11">IFERROR(IF($J$1="Non-Active","",IF(VLOOKUP($B5,Augg25,36,FALSE)="No",IF($AK5="Yes",MROUND($AJ5/3,0.5)-$F5,""),IF(VLOOKUP($B5,Augg25,36,FALSE)="Yes",(VLOOKUP($B5,Augg25,32,FALSE)-$F5),""))),"")</f>
        <v/>
      </c>
      <c r="AH5" s="164" t="str">
        <f t="shared" ref="AH5:AH39" si="12">IFERROR(IF($J$1="Non-Active","",IF(VLOOKUP($B5,Augg25,36,FALSE)="No",IF($AK5="Yes",($AJ5-(AF5+AG5)-(E5+F5))-$G5,""),IF(VLOOKUP($B5,Augg25,36,FALSE)="Yes",(VLOOKUP($B5,Augg25,33,FALSE)-$G5),""))),"")</f>
        <v/>
      </c>
      <c r="AI5" s="289"/>
      <c r="AJ5" s="165" t="str">
        <f t="shared" ref="AJ5:AJ39" si="13">IF(AK5="Yes",IF(VLOOKUP($B5,Augg25,36,FALSE)="No",MROUND(SUM(21/12*7),0.5),""),"")</f>
        <v/>
      </c>
      <c r="AK5" s="287" t="str">
        <f t="shared" ref="AK5:AK39" si="14">IF($J$1="Non-Active","",IF($B5="","",VLOOKUP($B5,Augg25,36,FALSE)))</f>
        <v/>
      </c>
      <c r="AM5" s="179"/>
      <c r="AN5" s="179"/>
      <c r="AP5" s="166" t="str">
        <f t="shared" ref="AP5:AP39" si="15">IFERROR(IF($B5="","",(VLOOKUP($B5,Aprr25,4,FALSE)+VLOOKUP($B5,Mayy25,4,FALSE)+VLOOKUP($B5,Junn25,4,FALSE)+VLOOKUP($B5,Jull25,4,FALSE)+VLOOKUP($B5,Augg25,4,FALSE)+VLOOKUP($B5,Sepp25,4,FALSE))),0)</f>
        <v/>
      </c>
      <c r="AQ5" s="166" t="str">
        <f t="shared" ref="AQ5:AQ39" si="16">IFERROR(IF($B5="","",(VLOOKUP($B5,Aprr25,5,FALSE)+VLOOKUP($B5,Mayy25,5,FALSE)+VLOOKUP($B5,Junn25,5,FALSE)+VLOOKUP($B5,Jull25,5,FALSE)+VLOOKUP($B5,Augg25,5,FALSE)+VLOOKUP($B5,Sepp25,5,FALSE))),0)</f>
        <v/>
      </c>
      <c r="AR5" s="166" t="str">
        <f t="shared" ref="AR5:AR39" si="17">IFERROR(IF($B5="","",(VLOOKUP($B5,Aprr25,6,FALSE)+VLOOKUP($B5,Mayy25,6,FALSE)+VLOOKUP($B5,Junn25,6,FALSE)+VLOOKUP($B5,Jull25,6,FALSE)+VLOOKUP($B5,Augg25,6,FALSE)+VLOOKUP($B5,Sepp25,6,FALSE))),0)</f>
        <v/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IF($J$1="Active",IF(Salary_Master_2!B6="","",_xlfn.IFS(Salary_Master_2!M6="Working",IF(Salary_Master_2!H6&lt;=DATE(2025,9,30),Salary_Master_2!B6,""),Salary_Master_2!M6="Left",IF(Salary_Master_2!N6&gt;DATE(2025,8,31),Salary_Master_2!B6,""))),"")</f>
        <v/>
      </c>
      <c r="C6" s="304">
        <v>31</v>
      </c>
      <c r="D6" s="305" t="str">
        <f t="shared" ref="D6:D39" si="18">IF($J$1="Active",IF(B6="","",C6-SUM(E6:G6)-I6),"")</f>
        <v/>
      </c>
      <c r="E6" s="177"/>
      <c r="F6" s="177"/>
      <c r="G6" s="177"/>
      <c r="H6" s="305" t="str">
        <f t="shared" ref="H6:H39" si="19">IF(SUM(D6:G6)=0,"",SUM(D6:G6))</f>
        <v/>
      </c>
      <c r="I6" s="177"/>
      <c r="J6" s="177"/>
      <c r="K6" s="158" t="str">
        <f t="shared" si="1"/>
        <v/>
      </c>
      <c r="L6" s="158" t="str">
        <f t="shared" si="2"/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ref="S6:S39" si="20">IF(B6="","",IF(B6="Sagar Kadam",0,IF(B6="Rahul Jadhav",0,IF(B6="Waman Bandekar",(1800/31*D6),IF(K6="Yes",IF((SUM(N6:R6)-O6)*12%&gt;1800,1800,(SUM(N6:R6)-O6)*12%),0)))))</f>
        <v/>
      </c>
      <c r="T6" s="170" t="str">
        <f t="shared" ref="T6:T39" si="21">S6</f>
        <v/>
      </c>
      <c r="U6" s="170" t="str">
        <f t="shared" ref="U6:U39" si="22">IF(B6="","",IF(B6="Sagar Kadam",0,IF(B6="Rahul Jadhav",0,IF(B6="Waman Bandekar",(650/31*D6),ROUND(IF(L6="Yes",SUM(N6:R6)*3.25%,0),0)))))</f>
        <v/>
      </c>
      <c r="V6" s="262">
        <f t="shared" ref="V6:V39" si="23">ROUND(SUM(N6:U6),0)</f>
        <v>0</v>
      </c>
      <c r="W6" s="160" t="str">
        <f t="shared" ref="W6:W39" si="24">IF(B6="Sagar Kadam",1800,IF(B6="Rahul Jadhav",1800,S6))</f>
        <v/>
      </c>
      <c r="X6" s="160" t="str">
        <f t="shared" ref="X6:X39" si="25">T6</f>
        <v/>
      </c>
      <c r="Y6" s="160" t="str">
        <f t="shared" ref="Y6:Y39" si="26">IF(B6="","",ROUND(IF(L6="Yes",V6*0.75%,0),0))</f>
        <v/>
      </c>
      <c r="Z6" s="160" t="str">
        <f t="shared" ref="Z6:Z39" si="27">U6</f>
        <v/>
      </c>
      <c r="AA6" s="160">
        <f t="shared" ref="AA6:AA39" si="28">IF(AE6="Female",IF(V6&gt;24999,200,0),IF(V6&gt;7500,200,0))</f>
        <v>0</v>
      </c>
      <c r="AB6" s="160">
        <f t="shared" ref="AB6:AB39" si="29">AM6</f>
        <v>0</v>
      </c>
      <c r="AC6" s="160">
        <f t="shared" ref="AC6:AC39" si="30">AN6</f>
        <v>0</v>
      </c>
      <c r="AD6" s="307">
        <f t="shared" ref="AD6:AD39" si="31">ROUND(V6-SUM(W6:AC6),0)</f>
        <v>0</v>
      </c>
      <c r="AE6" s="303" t="str">
        <f t="shared" si="9"/>
        <v/>
      </c>
      <c r="AF6" s="163" t="str">
        <f t="shared" si="10"/>
        <v/>
      </c>
      <c r="AG6" s="163" t="str">
        <f t="shared" si="11"/>
        <v/>
      </c>
      <c r="AH6" s="163" t="str">
        <f t="shared" si="12"/>
        <v/>
      </c>
      <c r="AI6" s="290"/>
      <c r="AJ6" s="165" t="str">
        <f t="shared" si="13"/>
        <v/>
      </c>
      <c r="AK6" s="180" t="str">
        <f t="shared" si="14"/>
        <v/>
      </c>
      <c r="AM6" s="179"/>
      <c r="AN6" s="179"/>
      <c r="AP6" s="166" t="str">
        <f t="shared" si="15"/>
        <v/>
      </c>
      <c r="AQ6" s="166" t="str">
        <f t="shared" si="16"/>
        <v/>
      </c>
      <c r="AR6" s="166" t="str">
        <f t="shared" si="17"/>
        <v/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IF($J$1="Active",IF(Salary_Master_2!B7="","",_xlfn.IFS(Salary_Master_2!M7="Working",IF(Salary_Master_2!H7&lt;=DATE(2025,9,30),Salary_Master_2!B7,""),Salary_Master_2!M7="Left",IF(Salary_Master_2!N7&gt;DATE(2025,8,31),Salary_Master_2!B7,""))),"")</f>
        <v/>
      </c>
      <c r="C7" s="304">
        <v>31</v>
      </c>
      <c r="D7" s="305" t="str">
        <f t="shared" si="18"/>
        <v/>
      </c>
      <c r="E7" s="177"/>
      <c r="F7" s="177"/>
      <c r="G7" s="177"/>
      <c r="H7" s="305" t="str">
        <f t="shared" si="19"/>
        <v/>
      </c>
      <c r="I7" s="177"/>
      <c r="J7" s="177"/>
      <c r="K7" s="158" t="str">
        <f t="shared" si="1"/>
        <v/>
      </c>
      <c r="L7" s="158" t="str">
        <f t="shared" si="2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20"/>
        <v/>
      </c>
      <c r="T7" s="170" t="str">
        <f t="shared" si="21"/>
        <v/>
      </c>
      <c r="U7" s="170" t="str">
        <f t="shared" si="22"/>
        <v/>
      </c>
      <c r="V7" s="262">
        <f t="shared" si="23"/>
        <v>0</v>
      </c>
      <c r="W7" s="160" t="str">
        <f t="shared" si="24"/>
        <v/>
      </c>
      <c r="X7" s="160" t="str">
        <f t="shared" si="25"/>
        <v/>
      </c>
      <c r="Y7" s="160" t="str">
        <f t="shared" si="26"/>
        <v/>
      </c>
      <c r="Z7" s="160" t="str">
        <f t="shared" si="27"/>
        <v/>
      </c>
      <c r="AA7" s="160">
        <f t="shared" si="28"/>
        <v>0</v>
      </c>
      <c r="AB7" s="160">
        <f t="shared" si="29"/>
        <v>0</v>
      </c>
      <c r="AC7" s="160">
        <f t="shared" si="30"/>
        <v>0</v>
      </c>
      <c r="AD7" s="307">
        <f t="shared" si="31"/>
        <v>0</v>
      </c>
      <c r="AE7" s="303" t="str">
        <f t="shared" si="9"/>
        <v/>
      </c>
      <c r="AF7" s="163" t="str">
        <f t="shared" si="10"/>
        <v/>
      </c>
      <c r="AG7" s="163" t="str">
        <f t="shared" si="11"/>
        <v/>
      </c>
      <c r="AH7" s="163" t="str">
        <f t="shared" si="12"/>
        <v/>
      </c>
      <c r="AI7" s="290"/>
      <c r="AJ7" s="165" t="str">
        <f t="shared" si="13"/>
        <v/>
      </c>
      <c r="AK7" s="180" t="str">
        <f t="shared" si="14"/>
        <v/>
      </c>
      <c r="AM7" s="179"/>
      <c r="AN7" s="179"/>
      <c r="AP7" s="166" t="str">
        <f t="shared" si="15"/>
        <v/>
      </c>
      <c r="AQ7" s="166" t="str">
        <f t="shared" si="16"/>
        <v/>
      </c>
      <c r="AR7" s="166" t="str">
        <f t="shared" si="17"/>
        <v/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IF($J$1="Active",IF(Salary_Master_2!B8="","",_xlfn.IFS(Salary_Master_2!M8="Working",IF(Salary_Master_2!H8&lt;=DATE(2025,9,30),Salary_Master_2!B8,""),Salary_Master_2!M8="Left",IF(Salary_Master_2!N8&gt;DATE(2025,8,31),Salary_Master_2!B8,""))),"")</f>
        <v/>
      </c>
      <c r="C8" s="304">
        <v>31</v>
      </c>
      <c r="D8" s="305" t="str">
        <f t="shared" si="18"/>
        <v/>
      </c>
      <c r="E8" s="177"/>
      <c r="F8" s="177"/>
      <c r="G8" s="177"/>
      <c r="H8" s="305" t="str">
        <f t="shared" si="19"/>
        <v/>
      </c>
      <c r="I8" s="177"/>
      <c r="J8" s="177"/>
      <c r="K8" s="158" t="str">
        <f t="shared" si="1"/>
        <v/>
      </c>
      <c r="L8" s="158" t="str">
        <f t="shared" si="2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20"/>
        <v/>
      </c>
      <c r="T8" s="170" t="str">
        <f t="shared" si="21"/>
        <v/>
      </c>
      <c r="U8" s="170" t="str">
        <f t="shared" si="22"/>
        <v/>
      </c>
      <c r="V8" s="262">
        <f t="shared" si="23"/>
        <v>0</v>
      </c>
      <c r="W8" s="160" t="str">
        <f t="shared" si="24"/>
        <v/>
      </c>
      <c r="X8" s="160" t="str">
        <f t="shared" si="25"/>
        <v/>
      </c>
      <c r="Y8" s="160" t="str">
        <f t="shared" si="26"/>
        <v/>
      </c>
      <c r="Z8" s="160" t="str">
        <f t="shared" si="27"/>
        <v/>
      </c>
      <c r="AA8" s="160">
        <f t="shared" si="28"/>
        <v>0</v>
      </c>
      <c r="AB8" s="160">
        <f t="shared" si="29"/>
        <v>0</v>
      </c>
      <c r="AC8" s="160">
        <f t="shared" si="30"/>
        <v>0</v>
      </c>
      <c r="AD8" s="307">
        <f t="shared" si="31"/>
        <v>0</v>
      </c>
      <c r="AE8" s="303" t="str">
        <f t="shared" si="9"/>
        <v/>
      </c>
      <c r="AF8" s="163" t="str">
        <f t="shared" si="10"/>
        <v/>
      </c>
      <c r="AG8" s="163" t="str">
        <f t="shared" si="11"/>
        <v/>
      </c>
      <c r="AH8" s="163" t="str">
        <f t="shared" si="12"/>
        <v/>
      </c>
      <c r="AI8" s="290"/>
      <c r="AJ8" s="165" t="str">
        <f t="shared" si="13"/>
        <v/>
      </c>
      <c r="AK8" s="180" t="str">
        <f t="shared" si="14"/>
        <v/>
      </c>
      <c r="AM8" s="179"/>
      <c r="AN8" s="179"/>
      <c r="AP8" s="166" t="str">
        <f t="shared" si="15"/>
        <v/>
      </c>
      <c r="AQ8" s="166" t="str">
        <f t="shared" si="16"/>
        <v/>
      </c>
      <c r="AR8" s="166" t="str">
        <f t="shared" si="17"/>
        <v/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IF($J$1="Active",IF(Salary_Master_2!B9="","",_xlfn.IFS(Salary_Master_2!M9="Working",IF(Salary_Master_2!H9&lt;=DATE(2025,9,30),Salary_Master_2!B9,""),Salary_Master_2!M9="Left",IF(Salary_Master_2!N9&gt;DATE(2025,8,31),Salary_Master_2!B9,""))),"")</f>
        <v/>
      </c>
      <c r="C9" s="304">
        <v>31</v>
      </c>
      <c r="D9" s="305" t="str">
        <f t="shared" si="18"/>
        <v/>
      </c>
      <c r="E9" s="177"/>
      <c r="F9" s="177"/>
      <c r="G9" s="177"/>
      <c r="H9" s="305" t="str">
        <f t="shared" si="19"/>
        <v/>
      </c>
      <c r="I9" s="177"/>
      <c r="J9" s="177"/>
      <c r="K9" s="158" t="str">
        <f t="shared" si="1"/>
        <v/>
      </c>
      <c r="L9" s="158" t="str">
        <f t="shared" si="2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20"/>
        <v/>
      </c>
      <c r="T9" s="170" t="str">
        <f t="shared" si="21"/>
        <v/>
      </c>
      <c r="U9" s="170" t="str">
        <f t="shared" si="22"/>
        <v/>
      </c>
      <c r="V9" s="262">
        <f t="shared" si="23"/>
        <v>0</v>
      </c>
      <c r="W9" s="160" t="str">
        <f t="shared" si="24"/>
        <v/>
      </c>
      <c r="X9" s="160" t="str">
        <f t="shared" si="25"/>
        <v/>
      </c>
      <c r="Y9" s="160" t="str">
        <f t="shared" si="26"/>
        <v/>
      </c>
      <c r="Z9" s="160" t="str">
        <f t="shared" si="27"/>
        <v/>
      </c>
      <c r="AA9" s="160">
        <f t="shared" si="28"/>
        <v>0</v>
      </c>
      <c r="AB9" s="160">
        <f t="shared" si="29"/>
        <v>0</v>
      </c>
      <c r="AC9" s="160">
        <f t="shared" si="30"/>
        <v>0</v>
      </c>
      <c r="AD9" s="307">
        <f t="shared" si="31"/>
        <v>0</v>
      </c>
      <c r="AE9" s="303" t="str">
        <f t="shared" si="9"/>
        <v/>
      </c>
      <c r="AF9" s="163" t="str">
        <f t="shared" si="10"/>
        <v/>
      </c>
      <c r="AG9" s="163" t="str">
        <f t="shared" si="11"/>
        <v/>
      </c>
      <c r="AH9" s="163" t="str">
        <f t="shared" si="12"/>
        <v/>
      </c>
      <c r="AI9" s="290"/>
      <c r="AJ9" s="165" t="str">
        <f t="shared" si="13"/>
        <v/>
      </c>
      <c r="AK9" s="180" t="str">
        <f t="shared" si="14"/>
        <v/>
      </c>
      <c r="AM9" s="179"/>
      <c r="AN9" s="179"/>
      <c r="AP9" s="166" t="str">
        <f t="shared" si="15"/>
        <v/>
      </c>
      <c r="AQ9" s="166" t="str">
        <f t="shared" si="16"/>
        <v/>
      </c>
      <c r="AR9" s="166" t="str">
        <f t="shared" si="17"/>
        <v/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IF($J$1="Active",IF(Salary_Master_2!B10="","",_xlfn.IFS(Salary_Master_2!M10="Working",IF(Salary_Master_2!H10&lt;=DATE(2025,9,30),Salary_Master_2!B10,""),Salary_Master_2!M10="Left",IF(Salary_Master_2!N10&gt;DATE(2025,8,31),Salary_Master_2!B10,""))),"")</f>
        <v/>
      </c>
      <c r="C10" s="304">
        <v>31</v>
      </c>
      <c r="D10" s="305" t="str">
        <f t="shared" si="18"/>
        <v/>
      </c>
      <c r="E10" s="177"/>
      <c r="F10" s="177"/>
      <c r="G10" s="177"/>
      <c r="H10" s="305" t="str">
        <f t="shared" si="19"/>
        <v/>
      </c>
      <c r="I10" s="177"/>
      <c r="J10" s="177"/>
      <c r="K10" s="158" t="str">
        <f t="shared" si="1"/>
        <v/>
      </c>
      <c r="L10" s="158" t="str">
        <f t="shared" si="2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20"/>
        <v/>
      </c>
      <c r="T10" s="170" t="str">
        <f t="shared" si="21"/>
        <v/>
      </c>
      <c r="U10" s="170" t="str">
        <f t="shared" si="22"/>
        <v/>
      </c>
      <c r="V10" s="262">
        <f t="shared" si="23"/>
        <v>0</v>
      </c>
      <c r="W10" s="160" t="str">
        <f t="shared" si="24"/>
        <v/>
      </c>
      <c r="X10" s="160" t="str">
        <f t="shared" si="25"/>
        <v/>
      </c>
      <c r="Y10" s="160" t="str">
        <f t="shared" si="26"/>
        <v/>
      </c>
      <c r="Z10" s="160" t="str">
        <f t="shared" si="27"/>
        <v/>
      </c>
      <c r="AA10" s="160">
        <f t="shared" si="28"/>
        <v>0</v>
      </c>
      <c r="AB10" s="160">
        <f t="shared" si="29"/>
        <v>0</v>
      </c>
      <c r="AC10" s="160">
        <f t="shared" si="30"/>
        <v>0</v>
      </c>
      <c r="AD10" s="307">
        <f t="shared" si="31"/>
        <v>0</v>
      </c>
      <c r="AE10" s="303" t="str">
        <f t="shared" si="9"/>
        <v/>
      </c>
      <c r="AF10" s="163" t="str">
        <f t="shared" si="10"/>
        <v/>
      </c>
      <c r="AG10" s="163" t="str">
        <f t="shared" si="11"/>
        <v/>
      </c>
      <c r="AH10" s="163" t="str">
        <f t="shared" si="12"/>
        <v/>
      </c>
      <c r="AI10" s="290"/>
      <c r="AJ10" s="165" t="str">
        <f t="shared" si="13"/>
        <v/>
      </c>
      <c r="AK10" s="180" t="str">
        <f t="shared" si="14"/>
        <v/>
      </c>
      <c r="AM10" s="179"/>
      <c r="AN10" s="179"/>
      <c r="AP10" s="166" t="str">
        <f t="shared" si="15"/>
        <v/>
      </c>
      <c r="AQ10" s="166" t="str">
        <f t="shared" si="16"/>
        <v/>
      </c>
      <c r="AR10" s="166" t="str">
        <f t="shared" si="17"/>
        <v/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IF($J$1="Active",IF(Salary_Master_2!B11="","",_xlfn.IFS(Salary_Master_2!M11="Working",IF(Salary_Master_2!H11&lt;=DATE(2025,9,30),Salary_Master_2!B11,""),Salary_Master_2!M11="Left",IF(Salary_Master_2!N11&gt;DATE(2025,8,31),Salary_Master_2!B11,""))),"")</f>
        <v/>
      </c>
      <c r="C11" s="304">
        <v>31</v>
      </c>
      <c r="D11" s="305" t="str">
        <f t="shared" si="18"/>
        <v/>
      </c>
      <c r="E11" s="177"/>
      <c r="F11" s="177"/>
      <c r="G11" s="177"/>
      <c r="H11" s="305" t="str">
        <f t="shared" si="19"/>
        <v/>
      </c>
      <c r="I11" s="177"/>
      <c r="J11" s="177"/>
      <c r="K11" s="158" t="str">
        <f t="shared" si="1"/>
        <v/>
      </c>
      <c r="L11" s="158" t="str">
        <f t="shared" si="2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20"/>
        <v/>
      </c>
      <c r="T11" s="170" t="str">
        <f t="shared" si="21"/>
        <v/>
      </c>
      <c r="U11" s="170" t="str">
        <f t="shared" si="22"/>
        <v/>
      </c>
      <c r="V11" s="262">
        <f t="shared" si="23"/>
        <v>0</v>
      </c>
      <c r="W11" s="160" t="str">
        <f t="shared" si="24"/>
        <v/>
      </c>
      <c r="X11" s="160" t="str">
        <f t="shared" si="25"/>
        <v/>
      </c>
      <c r="Y11" s="160" t="str">
        <f t="shared" si="26"/>
        <v/>
      </c>
      <c r="Z11" s="160" t="str">
        <f t="shared" si="27"/>
        <v/>
      </c>
      <c r="AA11" s="160">
        <f t="shared" si="28"/>
        <v>0</v>
      </c>
      <c r="AB11" s="160">
        <f t="shared" si="29"/>
        <v>0</v>
      </c>
      <c r="AC11" s="160">
        <f t="shared" si="30"/>
        <v>0</v>
      </c>
      <c r="AD11" s="307">
        <f t="shared" si="31"/>
        <v>0</v>
      </c>
      <c r="AE11" s="303" t="str">
        <f t="shared" si="9"/>
        <v/>
      </c>
      <c r="AF11" s="163" t="str">
        <f t="shared" si="10"/>
        <v/>
      </c>
      <c r="AG11" s="163" t="str">
        <f t="shared" si="11"/>
        <v/>
      </c>
      <c r="AH11" s="163" t="str">
        <f t="shared" si="12"/>
        <v/>
      </c>
      <c r="AI11" s="290"/>
      <c r="AJ11" s="165" t="str">
        <f t="shared" si="13"/>
        <v/>
      </c>
      <c r="AK11" s="180" t="str">
        <f t="shared" si="14"/>
        <v/>
      </c>
      <c r="AM11" s="179"/>
      <c r="AN11" s="179"/>
      <c r="AP11" s="166" t="str">
        <f t="shared" si="15"/>
        <v/>
      </c>
      <c r="AQ11" s="166" t="str">
        <f t="shared" si="16"/>
        <v/>
      </c>
      <c r="AR11" s="166" t="str">
        <f t="shared" si="17"/>
        <v/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IF($J$1="Active",IF(Salary_Master_2!B12="","",_xlfn.IFS(Salary_Master_2!M12="Working",IF(Salary_Master_2!H12&lt;=DATE(2025,9,30),Salary_Master_2!B12,""),Salary_Master_2!M12="Left",IF(Salary_Master_2!N12&gt;DATE(2025,8,31),Salary_Master_2!B12,""))),"")</f>
        <v/>
      </c>
      <c r="C12" s="304">
        <v>31</v>
      </c>
      <c r="D12" s="305" t="str">
        <f t="shared" si="18"/>
        <v/>
      </c>
      <c r="E12" s="177"/>
      <c r="F12" s="177"/>
      <c r="G12" s="177"/>
      <c r="H12" s="305" t="str">
        <f t="shared" si="19"/>
        <v/>
      </c>
      <c r="I12" s="177"/>
      <c r="J12" s="177"/>
      <c r="K12" s="158" t="str">
        <f t="shared" si="1"/>
        <v/>
      </c>
      <c r="L12" s="158" t="str">
        <f t="shared" si="2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20"/>
        <v/>
      </c>
      <c r="T12" s="170" t="str">
        <f t="shared" si="21"/>
        <v/>
      </c>
      <c r="U12" s="170" t="str">
        <f t="shared" si="22"/>
        <v/>
      </c>
      <c r="V12" s="262">
        <f t="shared" si="23"/>
        <v>0</v>
      </c>
      <c r="W12" s="160" t="str">
        <f t="shared" si="24"/>
        <v/>
      </c>
      <c r="X12" s="160" t="str">
        <f t="shared" si="25"/>
        <v/>
      </c>
      <c r="Y12" s="160" t="str">
        <f t="shared" si="26"/>
        <v/>
      </c>
      <c r="Z12" s="160" t="str">
        <f t="shared" si="27"/>
        <v/>
      </c>
      <c r="AA12" s="160">
        <f t="shared" si="28"/>
        <v>0</v>
      </c>
      <c r="AB12" s="160">
        <f t="shared" si="29"/>
        <v>0</v>
      </c>
      <c r="AC12" s="160">
        <f t="shared" si="30"/>
        <v>0</v>
      </c>
      <c r="AD12" s="307">
        <f t="shared" si="31"/>
        <v>0</v>
      </c>
      <c r="AE12" s="303" t="str">
        <f t="shared" si="9"/>
        <v/>
      </c>
      <c r="AF12" s="163" t="str">
        <f t="shared" si="10"/>
        <v/>
      </c>
      <c r="AG12" s="163" t="str">
        <f t="shared" si="11"/>
        <v/>
      </c>
      <c r="AH12" s="163" t="str">
        <f t="shared" si="12"/>
        <v/>
      </c>
      <c r="AI12" s="290"/>
      <c r="AJ12" s="165" t="str">
        <f t="shared" si="13"/>
        <v/>
      </c>
      <c r="AK12" s="180" t="str">
        <f t="shared" si="14"/>
        <v/>
      </c>
      <c r="AM12" s="179"/>
      <c r="AN12" s="179"/>
      <c r="AP12" s="166" t="str">
        <f t="shared" si="15"/>
        <v/>
      </c>
      <c r="AQ12" s="166" t="str">
        <f t="shared" si="16"/>
        <v/>
      </c>
      <c r="AR12" s="166" t="str">
        <f t="shared" si="17"/>
        <v/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IF($J$1="Active",IF(Salary_Master_2!B13="","",_xlfn.IFS(Salary_Master_2!M13="Working",IF(Salary_Master_2!H13&lt;=DATE(2025,9,30),Salary_Master_2!B13,""),Salary_Master_2!M13="Left",IF(Salary_Master_2!N13&gt;DATE(2025,8,31),Salary_Master_2!B13,""))),"")</f>
        <v/>
      </c>
      <c r="C13" s="304">
        <v>31</v>
      </c>
      <c r="D13" s="305" t="str">
        <f t="shared" si="18"/>
        <v/>
      </c>
      <c r="E13" s="177"/>
      <c r="F13" s="177"/>
      <c r="G13" s="177"/>
      <c r="H13" s="305" t="str">
        <f t="shared" si="19"/>
        <v/>
      </c>
      <c r="I13" s="177"/>
      <c r="J13" s="177"/>
      <c r="K13" s="158" t="str">
        <f t="shared" si="1"/>
        <v/>
      </c>
      <c r="L13" s="158" t="str">
        <f t="shared" si="2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20"/>
        <v/>
      </c>
      <c r="T13" s="170" t="str">
        <f t="shared" si="21"/>
        <v/>
      </c>
      <c r="U13" s="170" t="str">
        <f t="shared" si="22"/>
        <v/>
      </c>
      <c r="V13" s="262">
        <f t="shared" si="23"/>
        <v>0</v>
      </c>
      <c r="W13" s="160" t="str">
        <f t="shared" si="24"/>
        <v/>
      </c>
      <c r="X13" s="160" t="str">
        <f t="shared" si="25"/>
        <v/>
      </c>
      <c r="Y13" s="160" t="str">
        <f t="shared" si="26"/>
        <v/>
      </c>
      <c r="Z13" s="160" t="str">
        <f t="shared" si="27"/>
        <v/>
      </c>
      <c r="AA13" s="160">
        <f t="shared" si="28"/>
        <v>0</v>
      </c>
      <c r="AB13" s="160">
        <f t="shared" si="29"/>
        <v>0</v>
      </c>
      <c r="AC13" s="160">
        <f t="shared" si="30"/>
        <v>0</v>
      </c>
      <c r="AD13" s="307">
        <f t="shared" si="31"/>
        <v>0</v>
      </c>
      <c r="AE13" s="303" t="str">
        <f t="shared" si="9"/>
        <v/>
      </c>
      <c r="AF13" s="163" t="str">
        <f t="shared" si="10"/>
        <v/>
      </c>
      <c r="AG13" s="163" t="str">
        <f t="shared" si="11"/>
        <v/>
      </c>
      <c r="AH13" s="163" t="str">
        <f t="shared" si="12"/>
        <v/>
      </c>
      <c r="AI13" s="290"/>
      <c r="AJ13" s="165" t="str">
        <f t="shared" si="13"/>
        <v/>
      </c>
      <c r="AK13" s="180" t="str">
        <f t="shared" si="14"/>
        <v/>
      </c>
      <c r="AM13" s="179"/>
      <c r="AN13" s="179"/>
      <c r="AP13" s="166" t="str">
        <f t="shared" si="15"/>
        <v/>
      </c>
      <c r="AQ13" s="166" t="str">
        <f t="shared" si="16"/>
        <v/>
      </c>
      <c r="AR13" s="166" t="str">
        <f t="shared" si="17"/>
        <v/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IF($J$1="Active",IF(Salary_Master_2!B14="","",_xlfn.IFS(Salary_Master_2!M14="Working",IF(Salary_Master_2!H14&lt;=DATE(2025,9,30),Salary_Master_2!B14,""),Salary_Master_2!M14="Left",IF(Salary_Master_2!N14&gt;DATE(2025,8,31),Salary_Master_2!B14,""))),"")</f>
        <v/>
      </c>
      <c r="C14" s="304">
        <v>31</v>
      </c>
      <c r="D14" s="305" t="str">
        <f t="shared" si="18"/>
        <v/>
      </c>
      <c r="E14" s="177"/>
      <c r="F14" s="177"/>
      <c r="G14" s="177"/>
      <c r="H14" s="305" t="str">
        <f t="shared" si="19"/>
        <v/>
      </c>
      <c r="I14" s="177"/>
      <c r="J14" s="177"/>
      <c r="K14" s="158" t="str">
        <f t="shared" si="1"/>
        <v/>
      </c>
      <c r="L14" s="158" t="str">
        <f t="shared" si="2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20"/>
        <v/>
      </c>
      <c r="T14" s="170" t="str">
        <f t="shared" si="21"/>
        <v/>
      </c>
      <c r="U14" s="170" t="str">
        <f t="shared" si="22"/>
        <v/>
      </c>
      <c r="V14" s="262">
        <f t="shared" si="23"/>
        <v>0</v>
      </c>
      <c r="W14" s="160" t="str">
        <f t="shared" si="24"/>
        <v/>
      </c>
      <c r="X14" s="160" t="str">
        <f t="shared" si="25"/>
        <v/>
      </c>
      <c r="Y14" s="160" t="str">
        <f t="shared" si="26"/>
        <v/>
      </c>
      <c r="Z14" s="160" t="str">
        <f t="shared" si="27"/>
        <v/>
      </c>
      <c r="AA14" s="160">
        <f t="shared" si="28"/>
        <v>0</v>
      </c>
      <c r="AB14" s="160">
        <f t="shared" si="29"/>
        <v>0</v>
      </c>
      <c r="AC14" s="160">
        <f t="shared" si="30"/>
        <v>0</v>
      </c>
      <c r="AD14" s="307">
        <f t="shared" si="31"/>
        <v>0</v>
      </c>
      <c r="AE14" s="303" t="str">
        <f t="shared" si="9"/>
        <v/>
      </c>
      <c r="AF14" s="163" t="str">
        <f t="shared" si="10"/>
        <v/>
      </c>
      <c r="AG14" s="163" t="str">
        <f t="shared" si="11"/>
        <v/>
      </c>
      <c r="AH14" s="163" t="str">
        <f t="shared" si="12"/>
        <v/>
      </c>
      <c r="AI14" s="290"/>
      <c r="AJ14" s="165" t="str">
        <f t="shared" si="13"/>
        <v/>
      </c>
      <c r="AK14" s="180" t="str">
        <f t="shared" si="14"/>
        <v/>
      </c>
      <c r="AM14" s="179"/>
      <c r="AN14" s="179"/>
      <c r="AP14" s="166" t="str">
        <f t="shared" si="15"/>
        <v/>
      </c>
      <c r="AQ14" s="166" t="str">
        <f t="shared" si="16"/>
        <v/>
      </c>
      <c r="AR14" s="166" t="str">
        <f t="shared" si="17"/>
        <v/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IF($J$1="Active",IF(Salary_Master_2!B15="","",_xlfn.IFS(Salary_Master_2!M15="Working",IF(Salary_Master_2!H15&lt;=DATE(2025,9,30),Salary_Master_2!B15,""),Salary_Master_2!M15="Left",IF(Salary_Master_2!N15&gt;DATE(2025,8,31),Salary_Master_2!B15,""))),"")</f>
        <v/>
      </c>
      <c r="C15" s="304">
        <v>31</v>
      </c>
      <c r="D15" s="305" t="str">
        <f t="shared" si="18"/>
        <v/>
      </c>
      <c r="E15" s="177"/>
      <c r="F15" s="177"/>
      <c r="G15" s="177"/>
      <c r="H15" s="305" t="str">
        <f t="shared" si="19"/>
        <v/>
      </c>
      <c r="I15" s="177"/>
      <c r="J15" s="177"/>
      <c r="K15" s="158" t="str">
        <f t="shared" si="1"/>
        <v/>
      </c>
      <c r="L15" s="158" t="str">
        <f t="shared" si="2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20"/>
        <v/>
      </c>
      <c r="T15" s="170" t="str">
        <f t="shared" si="21"/>
        <v/>
      </c>
      <c r="U15" s="170" t="str">
        <f t="shared" si="22"/>
        <v/>
      </c>
      <c r="V15" s="262">
        <f t="shared" si="23"/>
        <v>0</v>
      </c>
      <c r="W15" s="160" t="str">
        <f t="shared" si="24"/>
        <v/>
      </c>
      <c r="X15" s="160" t="str">
        <f t="shared" si="25"/>
        <v/>
      </c>
      <c r="Y15" s="160" t="str">
        <f t="shared" si="26"/>
        <v/>
      </c>
      <c r="Z15" s="160" t="str">
        <f t="shared" si="27"/>
        <v/>
      </c>
      <c r="AA15" s="160">
        <f t="shared" si="28"/>
        <v>0</v>
      </c>
      <c r="AB15" s="160">
        <f t="shared" si="29"/>
        <v>0</v>
      </c>
      <c r="AC15" s="160">
        <f t="shared" si="30"/>
        <v>0</v>
      </c>
      <c r="AD15" s="307">
        <f t="shared" si="31"/>
        <v>0</v>
      </c>
      <c r="AE15" s="303" t="str">
        <f t="shared" si="9"/>
        <v/>
      </c>
      <c r="AF15" s="163" t="str">
        <f t="shared" si="10"/>
        <v/>
      </c>
      <c r="AG15" s="163" t="str">
        <f t="shared" si="11"/>
        <v/>
      </c>
      <c r="AH15" s="163" t="str">
        <f t="shared" si="12"/>
        <v/>
      </c>
      <c r="AI15" s="290"/>
      <c r="AJ15" s="165" t="str">
        <f t="shared" si="13"/>
        <v/>
      </c>
      <c r="AK15" s="180" t="str">
        <f t="shared" si="14"/>
        <v/>
      </c>
      <c r="AM15" s="179"/>
      <c r="AN15" s="179"/>
      <c r="AP15" s="166" t="str">
        <f t="shared" si="15"/>
        <v/>
      </c>
      <c r="AQ15" s="166" t="str">
        <f t="shared" si="16"/>
        <v/>
      </c>
      <c r="AR15" s="166" t="str">
        <f t="shared" si="17"/>
        <v/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IF($J$1="Active",IF(Salary_Master_2!B16="","",_xlfn.IFS(Salary_Master_2!M16="Working",IF(Salary_Master_2!H16&lt;=DATE(2025,9,30),Salary_Master_2!B16,""),Salary_Master_2!M16="Left",IF(Salary_Master_2!N16&gt;DATE(2025,8,31),Salary_Master_2!B16,""))),"")</f>
        <v/>
      </c>
      <c r="C16" s="304">
        <v>31</v>
      </c>
      <c r="D16" s="305" t="str">
        <f t="shared" si="18"/>
        <v/>
      </c>
      <c r="E16" s="177"/>
      <c r="F16" s="177"/>
      <c r="G16" s="177"/>
      <c r="H16" s="305" t="str">
        <f t="shared" si="19"/>
        <v/>
      </c>
      <c r="I16" s="177"/>
      <c r="J16" s="177"/>
      <c r="K16" s="158" t="str">
        <f t="shared" si="1"/>
        <v/>
      </c>
      <c r="L16" s="158" t="str">
        <f t="shared" si="2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20"/>
        <v/>
      </c>
      <c r="T16" s="170" t="str">
        <f t="shared" si="21"/>
        <v/>
      </c>
      <c r="U16" s="170" t="str">
        <f t="shared" si="22"/>
        <v/>
      </c>
      <c r="V16" s="262">
        <f t="shared" si="23"/>
        <v>0</v>
      </c>
      <c r="W16" s="160" t="str">
        <f t="shared" si="24"/>
        <v/>
      </c>
      <c r="X16" s="160" t="str">
        <f t="shared" si="25"/>
        <v/>
      </c>
      <c r="Y16" s="160" t="str">
        <f t="shared" si="26"/>
        <v/>
      </c>
      <c r="Z16" s="160" t="str">
        <f t="shared" si="27"/>
        <v/>
      </c>
      <c r="AA16" s="160">
        <f t="shared" si="28"/>
        <v>0</v>
      </c>
      <c r="AB16" s="160">
        <f t="shared" si="29"/>
        <v>0</v>
      </c>
      <c r="AC16" s="160">
        <f t="shared" si="30"/>
        <v>0</v>
      </c>
      <c r="AD16" s="307">
        <f t="shared" si="31"/>
        <v>0</v>
      </c>
      <c r="AE16" s="303" t="str">
        <f t="shared" si="9"/>
        <v/>
      </c>
      <c r="AF16" s="163" t="str">
        <f t="shared" si="10"/>
        <v/>
      </c>
      <c r="AG16" s="163" t="str">
        <f t="shared" si="11"/>
        <v/>
      </c>
      <c r="AH16" s="163" t="str">
        <f t="shared" si="12"/>
        <v/>
      </c>
      <c r="AI16" s="290"/>
      <c r="AJ16" s="165" t="str">
        <f t="shared" si="13"/>
        <v/>
      </c>
      <c r="AK16" s="180" t="str">
        <f t="shared" si="14"/>
        <v/>
      </c>
      <c r="AM16" s="179"/>
      <c r="AN16" s="179"/>
      <c r="AP16" s="166" t="str">
        <f t="shared" si="15"/>
        <v/>
      </c>
      <c r="AQ16" s="166" t="str">
        <f t="shared" si="16"/>
        <v/>
      </c>
      <c r="AR16" s="166" t="str">
        <f t="shared" si="17"/>
        <v/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IF($J$1="Active",IF(Salary_Master_2!B17="","",_xlfn.IFS(Salary_Master_2!M17="Working",IF(Salary_Master_2!H17&lt;=DATE(2025,9,30),Salary_Master_2!B17,""),Salary_Master_2!M17="Left",IF(Salary_Master_2!N17&gt;DATE(2025,8,31),Salary_Master_2!B17,""))),"")</f>
        <v/>
      </c>
      <c r="C17" s="304">
        <v>31</v>
      </c>
      <c r="D17" s="305" t="str">
        <f t="shared" si="18"/>
        <v/>
      </c>
      <c r="E17" s="177"/>
      <c r="F17" s="177"/>
      <c r="G17" s="177"/>
      <c r="H17" s="305" t="str">
        <f t="shared" si="19"/>
        <v/>
      </c>
      <c r="I17" s="177"/>
      <c r="J17" s="177"/>
      <c r="K17" s="158" t="str">
        <f t="shared" si="1"/>
        <v/>
      </c>
      <c r="L17" s="158" t="str">
        <f t="shared" si="2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20"/>
        <v/>
      </c>
      <c r="T17" s="170" t="str">
        <f t="shared" si="21"/>
        <v/>
      </c>
      <c r="U17" s="170" t="str">
        <f t="shared" si="22"/>
        <v/>
      </c>
      <c r="V17" s="262">
        <f t="shared" si="23"/>
        <v>0</v>
      </c>
      <c r="W17" s="160" t="str">
        <f t="shared" si="24"/>
        <v/>
      </c>
      <c r="X17" s="160" t="str">
        <f t="shared" si="25"/>
        <v/>
      </c>
      <c r="Y17" s="160" t="str">
        <f t="shared" si="26"/>
        <v/>
      </c>
      <c r="Z17" s="160" t="str">
        <f t="shared" si="27"/>
        <v/>
      </c>
      <c r="AA17" s="160">
        <f t="shared" si="28"/>
        <v>0</v>
      </c>
      <c r="AB17" s="160">
        <f t="shared" si="29"/>
        <v>0</v>
      </c>
      <c r="AC17" s="160">
        <f t="shared" si="30"/>
        <v>0</v>
      </c>
      <c r="AD17" s="307">
        <f t="shared" si="31"/>
        <v>0</v>
      </c>
      <c r="AE17" s="303" t="str">
        <f t="shared" si="9"/>
        <v/>
      </c>
      <c r="AF17" s="163" t="str">
        <f t="shared" si="10"/>
        <v/>
      </c>
      <c r="AG17" s="163" t="str">
        <f t="shared" si="11"/>
        <v/>
      </c>
      <c r="AH17" s="163" t="str">
        <f t="shared" si="12"/>
        <v/>
      </c>
      <c r="AI17" s="290"/>
      <c r="AJ17" s="165" t="str">
        <f t="shared" si="13"/>
        <v/>
      </c>
      <c r="AK17" s="180" t="str">
        <f t="shared" si="14"/>
        <v/>
      </c>
      <c r="AM17" s="179"/>
      <c r="AN17" s="179"/>
      <c r="AP17" s="166" t="str">
        <f t="shared" si="15"/>
        <v/>
      </c>
      <c r="AQ17" s="166" t="str">
        <f t="shared" si="16"/>
        <v/>
      </c>
      <c r="AR17" s="166" t="str">
        <f t="shared" si="17"/>
        <v/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IF($J$1="Active",IF(Salary_Master_2!B18="","",_xlfn.IFS(Salary_Master_2!M18="Working",IF(Salary_Master_2!H18&lt;=DATE(2025,9,30),Salary_Master_2!B18,""),Salary_Master_2!M18="Left",IF(Salary_Master_2!N18&gt;DATE(2025,8,31),Salary_Master_2!B18,""))),"")</f>
        <v/>
      </c>
      <c r="C18" s="304">
        <v>31</v>
      </c>
      <c r="D18" s="305" t="str">
        <f t="shared" si="18"/>
        <v/>
      </c>
      <c r="E18" s="177"/>
      <c r="F18" s="177"/>
      <c r="G18" s="177"/>
      <c r="H18" s="305" t="str">
        <f t="shared" si="19"/>
        <v/>
      </c>
      <c r="I18" s="177"/>
      <c r="J18" s="177"/>
      <c r="K18" s="158" t="str">
        <f t="shared" si="1"/>
        <v/>
      </c>
      <c r="L18" s="158" t="str">
        <f t="shared" si="2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20"/>
        <v/>
      </c>
      <c r="T18" s="170" t="str">
        <f t="shared" si="21"/>
        <v/>
      </c>
      <c r="U18" s="170" t="str">
        <f t="shared" si="22"/>
        <v/>
      </c>
      <c r="V18" s="262">
        <f t="shared" si="23"/>
        <v>0</v>
      </c>
      <c r="W18" s="160" t="str">
        <f t="shared" si="24"/>
        <v/>
      </c>
      <c r="X18" s="160" t="str">
        <f t="shared" si="25"/>
        <v/>
      </c>
      <c r="Y18" s="160" t="str">
        <f t="shared" si="26"/>
        <v/>
      </c>
      <c r="Z18" s="160" t="str">
        <f t="shared" si="27"/>
        <v/>
      </c>
      <c r="AA18" s="160">
        <f t="shared" si="28"/>
        <v>0</v>
      </c>
      <c r="AB18" s="160">
        <f t="shared" si="29"/>
        <v>0</v>
      </c>
      <c r="AC18" s="160">
        <f t="shared" si="30"/>
        <v>0</v>
      </c>
      <c r="AD18" s="307">
        <f t="shared" si="31"/>
        <v>0</v>
      </c>
      <c r="AE18" s="303" t="str">
        <f t="shared" si="9"/>
        <v/>
      </c>
      <c r="AF18" s="163" t="str">
        <f t="shared" si="10"/>
        <v/>
      </c>
      <c r="AG18" s="163" t="str">
        <f t="shared" si="11"/>
        <v/>
      </c>
      <c r="AH18" s="163" t="str">
        <f t="shared" si="12"/>
        <v/>
      </c>
      <c r="AI18" s="290"/>
      <c r="AJ18" s="165" t="str">
        <f t="shared" si="13"/>
        <v/>
      </c>
      <c r="AK18" s="180" t="str">
        <f t="shared" si="14"/>
        <v/>
      </c>
      <c r="AM18" s="179"/>
      <c r="AN18" s="179"/>
      <c r="AP18" s="166" t="str">
        <f t="shared" si="15"/>
        <v/>
      </c>
      <c r="AQ18" s="166" t="str">
        <f t="shared" si="16"/>
        <v/>
      </c>
      <c r="AR18" s="166" t="str">
        <f t="shared" si="17"/>
        <v/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IF($J$1="Active",IF(Salary_Master_2!B19="","",_xlfn.IFS(Salary_Master_2!M19="Working",IF(Salary_Master_2!H19&lt;=DATE(2025,9,30),Salary_Master_2!B19,""),Salary_Master_2!M19="Left",IF(Salary_Master_2!N19&gt;DATE(2025,8,31),Salary_Master_2!B19,""))),"")</f>
        <v/>
      </c>
      <c r="C19" s="304">
        <v>31</v>
      </c>
      <c r="D19" s="305" t="str">
        <f t="shared" si="18"/>
        <v/>
      </c>
      <c r="E19" s="177"/>
      <c r="F19" s="177"/>
      <c r="G19" s="177"/>
      <c r="H19" s="305" t="str">
        <f t="shared" si="19"/>
        <v/>
      </c>
      <c r="I19" s="177"/>
      <c r="J19" s="177"/>
      <c r="K19" s="158" t="str">
        <f t="shared" si="1"/>
        <v/>
      </c>
      <c r="L19" s="158" t="str">
        <f t="shared" si="2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20"/>
        <v/>
      </c>
      <c r="T19" s="170" t="str">
        <f t="shared" si="21"/>
        <v/>
      </c>
      <c r="U19" s="170" t="str">
        <f t="shared" si="22"/>
        <v/>
      </c>
      <c r="V19" s="262">
        <f t="shared" si="23"/>
        <v>0</v>
      </c>
      <c r="W19" s="160" t="str">
        <f t="shared" si="24"/>
        <v/>
      </c>
      <c r="X19" s="160" t="str">
        <f t="shared" si="25"/>
        <v/>
      </c>
      <c r="Y19" s="160" t="str">
        <f t="shared" si="26"/>
        <v/>
      </c>
      <c r="Z19" s="160" t="str">
        <f t="shared" si="27"/>
        <v/>
      </c>
      <c r="AA19" s="160">
        <f t="shared" si="28"/>
        <v>0</v>
      </c>
      <c r="AB19" s="160">
        <f t="shared" si="29"/>
        <v>0</v>
      </c>
      <c r="AC19" s="160">
        <f t="shared" si="30"/>
        <v>0</v>
      </c>
      <c r="AD19" s="307">
        <f t="shared" si="31"/>
        <v>0</v>
      </c>
      <c r="AE19" s="303" t="str">
        <f t="shared" si="9"/>
        <v/>
      </c>
      <c r="AF19" s="163" t="str">
        <f t="shared" si="10"/>
        <v/>
      </c>
      <c r="AG19" s="163" t="str">
        <f t="shared" si="11"/>
        <v/>
      </c>
      <c r="AH19" s="163" t="str">
        <f t="shared" si="12"/>
        <v/>
      </c>
      <c r="AI19" s="290"/>
      <c r="AJ19" s="165" t="str">
        <f t="shared" si="13"/>
        <v/>
      </c>
      <c r="AK19" s="180" t="str">
        <f t="shared" si="14"/>
        <v/>
      </c>
      <c r="AM19" s="179"/>
      <c r="AN19" s="179"/>
      <c r="AP19" s="166" t="str">
        <f t="shared" si="15"/>
        <v/>
      </c>
      <c r="AQ19" s="166" t="str">
        <f t="shared" si="16"/>
        <v/>
      </c>
      <c r="AR19" s="166" t="str">
        <f t="shared" si="17"/>
        <v/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IF($J$1="Active",IF(Salary_Master_2!B20="","",_xlfn.IFS(Salary_Master_2!M20="Working",IF(Salary_Master_2!H20&lt;=DATE(2025,9,30),Salary_Master_2!B20,""),Salary_Master_2!M20="Left",IF(Salary_Master_2!N20&gt;DATE(2025,8,31),Salary_Master_2!B20,""))),"")</f>
        <v/>
      </c>
      <c r="C20" s="304">
        <v>31</v>
      </c>
      <c r="D20" s="305" t="str">
        <f t="shared" si="18"/>
        <v/>
      </c>
      <c r="E20" s="177"/>
      <c r="F20" s="177"/>
      <c r="G20" s="177"/>
      <c r="H20" s="305" t="str">
        <f t="shared" si="19"/>
        <v/>
      </c>
      <c r="I20" s="177"/>
      <c r="J20" s="177"/>
      <c r="K20" s="158" t="str">
        <f t="shared" si="1"/>
        <v/>
      </c>
      <c r="L20" s="158" t="str">
        <f t="shared" si="2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20"/>
        <v/>
      </c>
      <c r="T20" s="170" t="str">
        <f t="shared" si="21"/>
        <v/>
      </c>
      <c r="U20" s="170" t="str">
        <f t="shared" si="22"/>
        <v/>
      </c>
      <c r="V20" s="262">
        <f t="shared" si="23"/>
        <v>0</v>
      </c>
      <c r="W20" s="160" t="str">
        <f t="shared" si="24"/>
        <v/>
      </c>
      <c r="X20" s="160" t="str">
        <f t="shared" si="25"/>
        <v/>
      </c>
      <c r="Y20" s="160" t="str">
        <f t="shared" si="26"/>
        <v/>
      </c>
      <c r="Z20" s="160" t="str">
        <f t="shared" si="27"/>
        <v/>
      </c>
      <c r="AA20" s="160">
        <f t="shared" si="28"/>
        <v>0</v>
      </c>
      <c r="AB20" s="160">
        <f t="shared" si="29"/>
        <v>0</v>
      </c>
      <c r="AC20" s="160">
        <f t="shared" si="30"/>
        <v>0</v>
      </c>
      <c r="AD20" s="307">
        <f t="shared" si="31"/>
        <v>0</v>
      </c>
      <c r="AE20" s="303" t="str">
        <f t="shared" si="9"/>
        <v/>
      </c>
      <c r="AF20" s="163" t="str">
        <f t="shared" si="10"/>
        <v/>
      </c>
      <c r="AG20" s="163" t="str">
        <f t="shared" si="11"/>
        <v/>
      </c>
      <c r="AH20" s="163" t="str">
        <f t="shared" si="12"/>
        <v/>
      </c>
      <c r="AI20" s="290"/>
      <c r="AJ20" s="165" t="str">
        <f t="shared" si="13"/>
        <v/>
      </c>
      <c r="AK20" s="180" t="str">
        <f t="shared" si="14"/>
        <v/>
      </c>
      <c r="AM20" s="179"/>
      <c r="AN20" s="179"/>
      <c r="AP20" s="166" t="str">
        <f t="shared" si="15"/>
        <v/>
      </c>
      <c r="AQ20" s="166" t="str">
        <f t="shared" si="16"/>
        <v/>
      </c>
      <c r="AR20" s="166" t="str">
        <f t="shared" si="17"/>
        <v/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IF($J$1="Active",IF(Salary_Master_2!B21="","",_xlfn.IFS(Salary_Master_2!M21="Working",IF(Salary_Master_2!H21&lt;=DATE(2025,9,30),Salary_Master_2!B21,""),Salary_Master_2!M21="Left",IF(Salary_Master_2!N21&gt;DATE(2025,8,31),Salary_Master_2!B21,""))),"")</f>
        <v/>
      </c>
      <c r="C21" s="304">
        <v>31</v>
      </c>
      <c r="D21" s="305" t="str">
        <f t="shared" si="18"/>
        <v/>
      </c>
      <c r="E21" s="177"/>
      <c r="F21" s="177"/>
      <c r="G21" s="177"/>
      <c r="H21" s="305" t="str">
        <f t="shared" si="19"/>
        <v/>
      </c>
      <c r="I21" s="177"/>
      <c r="J21" s="177"/>
      <c r="K21" s="158" t="str">
        <f t="shared" si="1"/>
        <v/>
      </c>
      <c r="L21" s="158" t="str">
        <f t="shared" si="2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20"/>
        <v/>
      </c>
      <c r="T21" s="170" t="str">
        <f t="shared" si="21"/>
        <v/>
      </c>
      <c r="U21" s="170" t="str">
        <f t="shared" si="22"/>
        <v/>
      </c>
      <c r="V21" s="262">
        <f t="shared" si="23"/>
        <v>0</v>
      </c>
      <c r="W21" s="160" t="str">
        <f t="shared" si="24"/>
        <v/>
      </c>
      <c r="X21" s="160" t="str">
        <f t="shared" si="25"/>
        <v/>
      </c>
      <c r="Y21" s="160" t="str">
        <f t="shared" si="26"/>
        <v/>
      </c>
      <c r="Z21" s="160" t="str">
        <f t="shared" si="27"/>
        <v/>
      </c>
      <c r="AA21" s="160">
        <f t="shared" si="28"/>
        <v>0</v>
      </c>
      <c r="AB21" s="160">
        <f t="shared" si="29"/>
        <v>0</v>
      </c>
      <c r="AC21" s="160">
        <f t="shared" si="30"/>
        <v>0</v>
      </c>
      <c r="AD21" s="307">
        <f t="shared" si="31"/>
        <v>0</v>
      </c>
      <c r="AE21" s="303" t="str">
        <f t="shared" si="9"/>
        <v/>
      </c>
      <c r="AF21" s="163" t="str">
        <f t="shared" si="10"/>
        <v/>
      </c>
      <c r="AG21" s="163" t="str">
        <f t="shared" si="11"/>
        <v/>
      </c>
      <c r="AH21" s="163" t="str">
        <f t="shared" si="12"/>
        <v/>
      </c>
      <c r="AI21" s="290"/>
      <c r="AJ21" s="165" t="str">
        <f t="shared" si="13"/>
        <v/>
      </c>
      <c r="AK21" s="180" t="str">
        <f t="shared" si="14"/>
        <v/>
      </c>
      <c r="AM21" s="179"/>
      <c r="AN21" s="179"/>
      <c r="AP21" s="166" t="str">
        <f t="shared" si="15"/>
        <v/>
      </c>
      <c r="AQ21" s="166" t="str">
        <f t="shared" si="16"/>
        <v/>
      </c>
      <c r="AR21" s="166" t="str">
        <f t="shared" si="17"/>
        <v/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IF($J$1="Active",IF(Salary_Master_2!B22="","",_xlfn.IFS(Salary_Master_2!M22="Working",IF(Salary_Master_2!H22&lt;=DATE(2025,9,30),Salary_Master_2!B22,""),Salary_Master_2!M22="Left",IF(Salary_Master_2!N22&gt;DATE(2025,8,31),Salary_Master_2!B22,""))),"")</f>
        <v/>
      </c>
      <c r="C22" s="304">
        <v>31</v>
      </c>
      <c r="D22" s="305" t="str">
        <f t="shared" si="18"/>
        <v/>
      </c>
      <c r="E22" s="177"/>
      <c r="F22" s="177"/>
      <c r="G22" s="177"/>
      <c r="H22" s="305" t="str">
        <f t="shared" si="19"/>
        <v/>
      </c>
      <c r="I22" s="177"/>
      <c r="J22" s="177"/>
      <c r="K22" s="158" t="str">
        <f t="shared" si="1"/>
        <v/>
      </c>
      <c r="L22" s="158" t="str">
        <f t="shared" si="2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20"/>
        <v/>
      </c>
      <c r="T22" s="170" t="str">
        <f t="shared" si="21"/>
        <v/>
      </c>
      <c r="U22" s="170" t="str">
        <f t="shared" si="22"/>
        <v/>
      </c>
      <c r="V22" s="262">
        <f t="shared" si="23"/>
        <v>0</v>
      </c>
      <c r="W22" s="160" t="str">
        <f t="shared" si="24"/>
        <v/>
      </c>
      <c r="X22" s="160" t="str">
        <f t="shared" si="25"/>
        <v/>
      </c>
      <c r="Y22" s="160" t="str">
        <f t="shared" si="26"/>
        <v/>
      </c>
      <c r="Z22" s="160" t="str">
        <f t="shared" si="27"/>
        <v/>
      </c>
      <c r="AA22" s="160">
        <f t="shared" si="28"/>
        <v>0</v>
      </c>
      <c r="AB22" s="160">
        <f t="shared" si="29"/>
        <v>0</v>
      </c>
      <c r="AC22" s="160">
        <f t="shared" si="30"/>
        <v>0</v>
      </c>
      <c r="AD22" s="307">
        <f t="shared" si="31"/>
        <v>0</v>
      </c>
      <c r="AE22" s="303" t="str">
        <f t="shared" si="9"/>
        <v/>
      </c>
      <c r="AF22" s="163" t="str">
        <f t="shared" si="10"/>
        <v/>
      </c>
      <c r="AG22" s="163" t="str">
        <f t="shared" si="11"/>
        <v/>
      </c>
      <c r="AH22" s="163" t="str">
        <f t="shared" si="12"/>
        <v/>
      </c>
      <c r="AI22" s="290"/>
      <c r="AJ22" s="165" t="str">
        <f t="shared" si="13"/>
        <v/>
      </c>
      <c r="AK22" s="180" t="str">
        <f t="shared" si="14"/>
        <v/>
      </c>
      <c r="AM22" s="179"/>
      <c r="AN22" s="179"/>
      <c r="AP22" s="166" t="str">
        <f t="shared" si="15"/>
        <v/>
      </c>
      <c r="AQ22" s="166" t="str">
        <f t="shared" si="16"/>
        <v/>
      </c>
      <c r="AR22" s="166" t="str">
        <f t="shared" si="17"/>
        <v/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IF($J$1="Active",IF(Salary_Master_2!B23="","",_xlfn.IFS(Salary_Master_2!M23="Working",IF(Salary_Master_2!H23&lt;=DATE(2025,9,30),Salary_Master_2!B23,""),Salary_Master_2!M23="Left",IF(Salary_Master_2!N23&gt;DATE(2025,8,31),Salary_Master_2!B23,""))),"")</f>
        <v/>
      </c>
      <c r="C23" s="304">
        <v>31</v>
      </c>
      <c r="D23" s="305" t="str">
        <f t="shared" si="18"/>
        <v/>
      </c>
      <c r="E23" s="177"/>
      <c r="F23" s="177"/>
      <c r="G23" s="177"/>
      <c r="H23" s="305" t="str">
        <f t="shared" si="19"/>
        <v/>
      </c>
      <c r="I23" s="177"/>
      <c r="J23" s="177"/>
      <c r="K23" s="158" t="str">
        <f t="shared" si="1"/>
        <v/>
      </c>
      <c r="L23" s="158" t="str">
        <f t="shared" si="2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20"/>
        <v/>
      </c>
      <c r="T23" s="170" t="str">
        <f t="shared" si="21"/>
        <v/>
      </c>
      <c r="U23" s="170" t="str">
        <f t="shared" si="22"/>
        <v/>
      </c>
      <c r="V23" s="262">
        <f t="shared" si="23"/>
        <v>0</v>
      </c>
      <c r="W23" s="160" t="str">
        <f t="shared" si="24"/>
        <v/>
      </c>
      <c r="X23" s="160" t="str">
        <f t="shared" si="25"/>
        <v/>
      </c>
      <c r="Y23" s="160" t="str">
        <f t="shared" si="26"/>
        <v/>
      </c>
      <c r="Z23" s="160" t="str">
        <f t="shared" si="27"/>
        <v/>
      </c>
      <c r="AA23" s="160">
        <f t="shared" si="28"/>
        <v>0</v>
      </c>
      <c r="AB23" s="160">
        <f t="shared" si="29"/>
        <v>0</v>
      </c>
      <c r="AC23" s="160">
        <f t="shared" si="30"/>
        <v>0</v>
      </c>
      <c r="AD23" s="307">
        <f t="shared" si="31"/>
        <v>0</v>
      </c>
      <c r="AE23" s="303" t="str">
        <f t="shared" si="9"/>
        <v/>
      </c>
      <c r="AF23" s="163" t="str">
        <f t="shared" si="10"/>
        <v/>
      </c>
      <c r="AG23" s="163" t="str">
        <f t="shared" si="11"/>
        <v/>
      </c>
      <c r="AH23" s="163" t="str">
        <f t="shared" si="12"/>
        <v/>
      </c>
      <c r="AI23" s="290"/>
      <c r="AJ23" s="165" t="str">
        <f t="shared" si="13"/>
        <v/>
      </c>
      <c r="AK23" s="180" t="str">
        <f t="shared" si="14"/>
        <v/>
      </c>
      <c r="AM23" s="179"/>
      <c r="AN23" s="179"/>
      <c r="AP23" s="166" t="str">
        <f t="shared" si="15"/>
        <v/>
      </c>
      <c r="AQ23" s="166" t="str">
        <f t="shared" si="16"/>
        <v/>
      </c>
      <c r="AR23" s="166" t="str">
        <f t="shared" si="17"/>
        <v/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IF($J$1="Active",IF(Salary_Master_2!B24="","",_xlfn.IFS(Salary_Master_2!M24="Working",IF(Salary_Master_2!H24&lt;=DATE(2025,9,30),Salary_Master_2!B24,""),Salary_Master_2!M24="Left",IF(Salary_Master_2!N24&gt;DATE(2025,8,31),Salary_Master_2!B24,""))),"")</f>
        <v/>
      </c>
      <c r="C24" s="304">
        <v>31</v>
      </c>
      <c r="D24" s="305" t="str">
        <f t="shared" si="18"/>
        <v/>
      </c>
      <c r="E24" s="177"/>
      <c r="F24" s="177"/>
      <c r="G24" s="177"/>
      <c r="H24" s="305" t="str">
        <f t="shared" si="19"/>
        <v/>
      </c>
      <c r="I24" s="177"/>
      <c r="J24" s="177"/>
      <c r="K24" s="158" t="str">
        <f t="shared" si="1"/>
        <v/>
      </c>
      <c r="L24" s="158" t="str">
        <f t="shared" si="2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20"/>
        <v/>
      </c>
      <c r="T24" s="170" t="str">
        <f t="shared" si="21"/>
        <v/>
      </c>
      <c r="U24" s="170" t="str">
        <f t="shared" si="22"/>
        <v/>
      </c>
      <c r="V24" s="262">
        <f t="shared" si="23"/>
        <v>0</v>
      </c>
      <c r="W24" s="160" t="str">
        <f t="shared" si="24"/>
        <v/>
      </c>
      <c r="X24" s="160" t="str">
        <f t="shared" si="25"/>
        <v/>
      </c>
      <c r="Y24" s="160" t="str">
        <f t="shared" si="26"/>
        <v/>
      </c>
      <c r="Z24" s="160" t="str">
        <f t="shared" si="27"/>
        <v/>
      </c>
      <c r="AA24" s="160">
        <f t="shared" si="28"/>
        <v>0</v>
      </c>
      <c r="AB24" s="160">
        <f t="shared" si="29"/>
        <v>0</v>
      </c>
      <c r="AC24" s="160">
        <f t="shared" si="30"/>
        <v>0</v>
      </c>
      <c r="AD24" s="307">
        <f t="shared" si="31"/>
        <v>0</v>
      </c>
      <c r="AE24" s="303" t="str">
        <f t="shared" si="9"/>
        <v/>
      </c>
      <c r="AF24" s="163" t="str">
        <f t="shared" si="10"/>
        <v/>
      </c>
      <c r="AG24" s="163" t="str">
        <f t="shared" si="11"/>
        <v/>
      </c>
      <c r="AH24" s="163" t="str">
        <f t="shared" si="12"/>
        <v/>
      </c>
      <c r="AI24" s="290"/>
      <c r="AJ24" s="165" t="str">
        <f t="shared" si="13"/>
        <v/>
      </c>
      <c r="AK24" s="180" t="str">
        <f t="shared" si="14"/>
        <v/>
      </c>
      <c r="AM24" s="179"/>
      <c r="AN24" s="179"/>
      <c r="AP24" s="166" t="str">
        <f t="shared" si="15"/>
        <v/>
      </c>
      <c r="AQ24" s="166" t="str">
        <f t="shared" si="16"/>
        <v/>
      </c>
      <c r="AR24" s="166" t="str">
        <f t="shared" si="17"/>
        <v/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IF($J$1="Active",IF(Salary_Master_2!B25="","",_xlfn.IFS(Salary_Master_2!M25="Working",IF(Salary_Master_2!H25&lt;=DATE(2025,9,30),Salary_Master_2!B25,""),Salary_Master_2!M25="Left",IF(Salary_Master_2!N25&gt;DATE(2025,8,31),Salary_Master_2!B25,""))),"")</f>
        <v/>
      </c>
      <c r="C25" s="304">
        <v>31</v>
      </c>
      <c r="D25" s="305" t="str">
        <f t="shared" si="18"/>
        <v/>
      </c>
      <c r="E25" s="177"/>
      <c r="F25" s="177"/>
      <c r="G25" s="177"/>
      <c r="H25" s="305" t="str">
        <f t="shared" si="19"/>
        <v/>
      </c>
      <c r="I25" s="177"/>
      <c r="J25" s="177"/>
      <c r="K25" s="158" t="str">
        <f t="shared" si="1"/>
        <v/>
      </c>
      <c r="L25" s="158" t="str">
        <f t="shared" si="2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20"/>
        <v/>
      </c>
      <c r="T25" s="170" t="str">
        <f t="shared" si="21"/>
        <v/>
      </c>
      <c r="U25" s="170" t="str">
        <f t="shared" si="22"/>
        <v/>
      </c>
      <c r="V25" s="262">
        <f t="shared" si="23"/>
        <v>0</v>
      </c>
      <c r="W25" s="160" t="str">
        <f t="shared" si="24"/>
        <v/>
      </c>
      <c r="X25" s="160" t="str">
        <f t="shared" si="25"/>
        <v/>
      </c>
      <c r="Y25" s="160" t="str">
        <f t="shared" si="26"/>
        <v/>
      </c>
      <c r="Z25" s="160" t="str">
        <f t="shared" si="27"/>
        <v/>
      </c>
      <c r="AA25" s="160">
        <f t="shared" si="28"/>
        <v>0</v>
      </c>
      <c r="AB25" s="160">
        <f t="shared" si="29"/>
        <v>0</v>
      </c>
      <c r="AC25" s="160">
        <f t="shared" si="30"/>
        <v>0</v>
      </c>
      <c r="AD25" s="307">
        <f t="shared" si="31"/>
        <v>0</v>
      </c>
      <c r="AE25" s="303" t="str">
        <f t="shared" si="9"/>
        <v/>
      </c>
      <c r="AF25" s="163" t="str">
        <f t="shared" si="10"/>
        <v/>
      </c>
      <c r="AG25" s="163" t="str">
        <f t="shared" si="11"/>
        <v/>
      </c>
      <c r="AH25" s="163" t="str">
        <f t="shared" si="12"/>
        <v/>
      </c>
      <c r="AI25" s="290"/>
      <c r="AJ25" s="165" t="str">
        <f t="shared" si="13"/>
        <v/>
      </c>
      <c r="AK25" s="180" t="str">
        <f t="shared" si="14"/>
        <v/>
      </c>
      <c r="AM25" s="179"/>
      <c r="AN25" s="179"/>
      <c r="AP25" s="166" t="str">
        <f t="shared" si="15"/>
        <v/>
      </c>
      <c r="AQ25" s="166" t="str">
        <f t="shared" si="16"/>
        <v/>
      </c>
      <c r="AR25" s="166" t="str">
        <f t="shared" si="17"/>
        <v/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IF($J$1="Active",IF(Salary_Master_2!B26="","",_xlfn.IFS(Salary_Master_2!M26="Working",IF(Salary_Master_2!H26&lt;=DATE(2025,9,30),Salary_Master_2!B26,""),Salary_Master_2!M26="Left",IF(Salary_Master_2!N26&gt;DATE(2025,8,31),Salary_Master_2!B26,""))),"")</f>
        <v/>
      </c>
      <c r="C26" s="304">
        <v>31</v>
      </c>
      <c r="D26" s="305" t="str">
        <f t="shared" si="18"/>
        <v/>
      </c>
      <c r="E26" s="177"/>
      <c r="F26" s="177"/>
      <c r="G26" s="177"/>
      <c r="H26" s="305" t="str">
        <f t="shared" si="19"/>
        <v/>
      </c>
      <c r="I26" s="177"/>
      <c r="J26" s="177"/>
      <c r="K26" s="158" t="str">
        <f t="shared" si="1"/>
        <v/>
      </c>
      <c r="L26" s="158" t="str">
        <f t="shared" si="2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20"/>
        <v/>
      </c>
      <c r="T26" s="170" t="str">
        <f t="shared" si="21"/>
        <v/>
      </c>
      <c r="U26" s="170" t="str">
        <f t="shared" si="22"/>
        <v/>
      </c>
      <c r="V26" s="262">
        <f t="shared" si="23"/>
        <v>0</v>
      </c>
      <c r="W26" s="160" t="str">
        <f t="shared" si="24"/>
        <v/>
      </c>
      <c r="X26" s="160" t="str">
        <f t="shared" si="25"/>
        <v/>
      </c>
      <c r="Y26" s="160" t="str">
        <f t="shared" si="26"/>
        <v/>
      </c>
      <c r="Z26" s="160" t="str">
        <f t="shared" si="27"/>
        <v/>
      </c>
      <c r="AA26" s="160">
        <f t="shared" si="28"/>
        <v>0</v>
      </c>
      <c r="AB26" s="160">
        <f t="shared" si="29"/>
        <v>0</v>
      </c>
      <c r="AC26" s="160">
        <f t="shared" si="30"/>
        <v>0</v>
      </c>
      <c r="AD26" s="307">
        <f t="shared" si="31"/>
        <v>0</v>
      </c>
      <c r="AE26" s="303" t="str">
        <f t="shared" si="9"/>
        <v/>
      </c>
      <c r="AF26" s="163" t="str">
        <f t="shared" si="10"/>
        <v/>
      </c>
      <c r="AG26" s="163" t="str">
        <f t="shared" si="11"/>
        <v/>
      </c>
      <c r="AH26" s="163" t="str">
        <f t="shared" si="12"/>
        <v/>
      </c>
      <c r="AI26" s="290"/>
      <c r="AJ26" s="165" t="str">
        <f t="shared" si="13"/>
        <v/>
      </c>
      <c r="AK26" s="180" t="str">
        <f t="shared" si="14"/>
        <v/>
      </c>
      <c r="AM26" s="179"/>
      <c r="AN26" s="179"/>
      <c r="AP26" s="166" t="str">
        <f t="shared" si="15"/>
        <v/>
      </c>
      <c r="AQ26" s="166" t="str">
        <f t="shared" si="16"/>
        <v/>
      </c>
      <c r="AR26" s="166" t="str">
        <f t="shared" si="17"/>
        <v/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IF($J$1="Active",IF(Salary_Master_2!B27="","",_xlfn.IFS(Salary_Master_2!M27="Working",IF(Salary_Master_2!H27&lt;=DATE(2025,9,30),Salary_Master_2!B27,""),Salary_Master_2!M27="Left",IF(Salary_Master_2!N27&gt;DATE(2025,8,31),Salary_Master_2!B27,""))),"")</f>
        <v/>
      </c>
      <c r="C27" s="304">
        <v>31</v>
      </c>
      <c r="D27" s="305" t="str">
        <f t="shared" si="18"/>
        <v/>
      </c>
      <c r="E27" s="177"/>
      <c r="F27" s="177"/>
      <c r="G27" s="177"/>
      <c r="H27" s="305" t="str">
        <f t="shared" si="19"/>
        <v/>
      </c>
      <c r="I27" s="177"/>
      <c r="J27" s="177"/>
      <c r="K27" s="158" t="str">
        <f t="shared" si="1"/>
        <v/>
      </c>
      <c r="L27" s="158" t="str">
        <f t="shared" si="2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20"/>
        <v/>
      </c>
      <c r="T27" s="170" t="str">
        <f t="shared" si="21"/>
        <v/>
      </c>
      <c r="U27" s="170" t="str">
        <f t="shared" si="22"/>
        <v/>
      </c>
      <c r="V27" s="262">
        <f t="shared" si="23"/>
        <v>0</v>
      </c>
      <c r="W27" s="160" t="str">
        <f t="shared" si="24"/>
        <v/>
      </c>
      <c r="X27" s="160" t="str">
        <f t="shared" si="25"/>
        <v/>
      </c>
      <c r="Y27" s="160" t="str">
        <f t="shared" si="26"/>
        <v/>
      </c>
      <c r="Z27" s="160" t="str">
        <f t="shared" si="27"/>
        <v/>
      </c>
      <c r="AA27" s="160">
        <f t="shared" si="28"/>
        <v>0</v>
      </c>
      <c r="AB27" s="160">
        <f t="shared" si="29"/>
        <v>0</v>
      </c>
      <c r="AC27" s="160">
        <f t="shared" si="30"/>
        <v>0</v>
      </c>
      <c r="AD27" s="307">
        <f t="shared" si="31"/>
        <v>0</v>
      </c>
      <c r="AE27" s="303" t="str">
        <f t="shared" si="9"/>
        <v/>
      </c>
      <c r="AF27" s="163" t="str">
        <f t="shared" si="10"/>
        <v/>
      </c>
      <c r="AG27" s="163" t="str">
        <f t="shared" si="11"/>
        <v/>
      </c>
      <c r="AH27" s="163" t="str">
        <f t="shared" si="12"/>
        <v/>
      </c>
      <c r="AI27" s="290"/>
      <c r="AJ27" s="165" t="str">
        <f t="shared" si="13"/>
        <v/>
      </c>
      <c r="AK27" s="180" t="str">
        <f t="shared" si="14"/>
        <v/>
      </c>
      <c r="AM27" s="179"/>
      <c r="AN27" s="179"/>
      <c r="AP27" s="166" t="str">
        <f t="shared" si="15"/>
        <v/>
      </c>
      <c r="AQ27" s="166" t="str">
        <f t="shared" si="16"/>
        <v/>
      </c>
      <c r="AR27" s="166" t="str">
        <f t="shared" si="17"/>
        <v/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IF($J$1="Active",IF(Salary_Master_2!B28="","",_xlfn.IFS(Salary_Master_2!M28="Working",IF(Salary_Master_2!H28&lt;=DATE(2025,9,30),Salary_Master_2!B28,""),Salary_Master_2!M28="Left",IF(Salary_Master_2!N28&gt;DATE(2025,8,31),Salary_Master_2!B28,""))),"")</f>
        <v/>
      </c>
      <c r="C28" s="304">
        <v>31</v>
      </c>
      <c r="D28" s="305" t="str">
        <f t="shared" si="18"/>
        <v/>
      </c>
      <c r="E28" s="177"/>
      <c r="F28" s="177"/>
      <c r="G28" s="177"/>
      <c r="H28" s="305" t="str">
        <f t="shared" si="19"/>
        <v/>
      </c>
      <c r="I28" s="177"/>
      <c r="J28" s="177"/>
      <c r="K28" s="158" t="str">
        <f t="shared" si="1"/>
        <v/>
      </c>
      <c r="L28" s="158" t="str">
        <f t="shared" si="2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20"/>
        <v/>
      </c>
      <c r="T28" s="170" t="str">
        <f t="shared" si="21"/>
        <v/>
      </c>
      <c r="U28" s="170" t="str">
        <f t="shared" si="22"/>
        <v/>
      </c>
      <c r="V28" s="262">
        <f t="shared" si="23"/>
        <v>0</v>
      </c>
      <c r="W28" s="160" t="str">
        <f t="shared" si="24"/>
        <v/>
      </c>
      <c r="X28" s="160" t="str">
        <f t="shared" si="25"/>
        <v/>
      </c>
      <c r="Y28" s="160" t="str">
        <f t="shared" si="26"/>
        <v/>
      </c>
      <c r="Z28" s="160" t="str">
        <f t="shared" si="27"/>
        <v/>
      </c>
      <c r="AA28" s="160">
        <f t="shared" si="28"/>
        <v>0</v>
      </c>
      <c r="AB28" s="160">
        <f t="shared" si="29"/>
        <v>0</v>
      </c>
      <c r="AC28" s="160">
        <f t="shared" si="30"/>
        <v>0</v>
      </c>
      <c r="AD28" s="307">
        <f t="shared" si="31"/>
        <v>0</v>
      </c>
      <c r="AE28" s="303" t="str">
        <f t="shared" si="9"/>
        <v/>
      </c>
      <c r="AF28" s="163" t="str">
        <f t="shared" si="10"/>
        <v/>
      </c>
      <c r="AG28" s="163" t="str">
        <f t="shared" si="11"/>
        <v/>
      </c>
      <c r="AH28" s="163" t="str">
        <f t="shared" si="12"/>
        <v/>
      </c>
      <c r="AI28" s="290"/>
      <c r="AJ28" s="165" t="str">
        <f t="shared" si="13"/>
        <v/>
      </c>
      <c r="AK28" s="180" t="str">
        <f t="shared" si="14"/>
        <v/>
      </c>
      <c r="AM28" s="179"/>
      <c r="AN28" s="179"/>
      <c r="AP28" s="166" t="str">
        <f t="shared" si="15"/>
        <v/>
      </c>
      <c r="AQ28" s="166" t="str">
        <f t="shared" si="16"/>
        <v/>
      </c>
      <c r="AR28" s="166" t="str">
        <f t="shared" si="17"/>
        <v/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IF($J$1="Active",IF(Salary_Master_2!B29="","",_xlfn.IFS(Salary_Master_2!M29="Working",IF(Salary_Master_2!H29&lt;=DATE(2025,9,30),Salary_Master_2!B29,""),Salary_Master_2!M29="Left",IF(Salary_Master_2!N29&gt;DATE(2025,8,31),Salary_Master_2!B29,""))),"")</f>
        <v/>
      </c>
      <c r="C29" s="304">
        <v>31</v>
      </c>
      <c r="D29" s="305" t="str">
        <f t="shared" si="18"/>
        <v/>
      </c>
      <c r="E29" s="177"/>
      <c r="F29" s="177"/>
      <c r="G29" s="177"/>
      <c r="H29" s="305" t="str">
        <f t="shared" si="19"/>
        <v/>
      </c>
      <c r="I29" s="177"/>
      <c r="J29" s="177"/>
      <c r="K29" s="158" t="str">
        <f t="shared" si="1"/>
        <v/>
      </c>
      <c r="L29" s="158" t="str">
        <f t="shared" si="2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20"/>
        <v/>
      </c>
      <c r="T29" s="170" t="str">
        <f t="shared" si="21"/>
        <v/>
      </c>
      <c r="U29" s="170" t="str">
        <f t="shared" si="22"/>
        <v/>
      </c>
      <c r="V29" s="262">
        <f t="shared" si="23"/>
        <v>0</v>
      </c>
      <c r="W29" s="160" t="str">
        <f t="shared" si="24"/>
        <v/>
      </c>
      <c r="X29" s="160" t="str">
        <f t="shared" si="25"/>
        <v/>
      </c>
      <c r="Y29" s="160" t="str">
        <f t="shared" si="26"/>
        <v/>
      </c>
      <c r="Z29" s="160" t="str">
        <f t="shared" si="27"/>
        <v/>
      </c>
      <c r="AA29" s="160">
        <f t="shared" si="28"/>
        <v>0</v>
      </c>
      <c r="AB29" s="160">
        <f t="shared" si="29"/>
        <v>0</v>
      </c>
      <c r="AC29" s="160">
        <f t="shared" si="30"/>
        <v>0</v>
      </c>
      <c r="AD29" s="307">
        <f t="shared" si="31"/>
        <v>0</v>
      </c>
      <c r="AE29" s="303" t="str">
        <f t="shared" si="9"/>
        <v/>
      </c>
      <c r="AF29" s="163" t="str">
        <f t="shared" si="10"/>
        <v/>
      </c>
      <c r="AG29" s="163" t="str">
        <f t="shared" si="11"/>
        <v/>
      </c>
      <c r="AH29" s="163" t="str">
        <f t="shared" si="12"/>
        <v/>
      </c>
      <c r="AI29" s="290"/>
      <c r="AJ29" s="165" t="str">
        <f t="shared" si="13"/>
        <v/>
      </c>
      <c r="AK29" s="180" t="str">
        <f t="shared" si="14"/>
        <v/>
      </c>
      <c r="AM29" s="179"/>
      <c r="AN29" s="179"/>
      <c r="AP29" s="166" t="str">
        <f t="shared" si="15"/>
        <v/>
      </c>
      <c r="AQ29" s="166" t="str">
        <f t="shared" si="16"/>
        <v/>
      </c>
      <c r="AR29" s="166" t="str">
        <f t="shared" si="17"/>
        <v/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IF($J$1="Active",IF(Salary_Master_2!B30="","",_xlfn.IFS(Salary_Master_2!M30="Working",IF(Salary_Master_2!H30&lt;=DATE(2025,9,30),Salary_Master_2!B30,""),Salary_Master_2!M30="Left",IF(Salary_Master_2!N30&gt;DATE(2025,8,31),Salary_Master_2!B30,""))),"")</f>
        <v/>
      </c>
      <c r="C30" s="304">
        <v>31</v>
      </c>
      <c r="D30" s="305" t="str">
        <f t="shared" si="18"/>
        <v/>
      </c>
      <c r="E30" s="177"/>
      <c r="F30" s="177"/>
      <c r="G30" s="177"/>
      <c r="H30" s="305" t="str">
        <f t="shared" si="19"/>
        <v/>
      </c>
      <c r="I30" s="177"/>
      <c r="J30" s="177"/>
      <c r="K30" s="158" t="str">
        <f t="shared" si="1"/>
        <v/>
      </c>
      <c r="L30" s="158" t="str">
        <f t="shared" si="2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20"/>
        <v/>
      </c>
      <c r="T30" s="170" t="str">
        <f t="shared" si="21"/>
        <v/>
      </c>
      <c r="U30" s="170" t="str">
        <f t="shared" si="22"/>
        <v/>
      </c>
      <c r="V30" s="262">
        <f t="shared" si="23"/>
        <v>0</v>
      </c>
      <c r="W30" s="160" t="str">
        <f t="shared" si="24"/>
        <v/>
      </c>
      <c r="X30" s="160" t="str">
        <f t="shared" si="25"/>
        <v/>
      </c>
      <c r="Y30" s="160" t="str">
        <f t="shared" si="26"/>
        <v/>
      </c>
      <c r="Z30" s="160" t="str">
        <f t="shared" si="27"/>
        <v/>
      </c>
      <c r="AA30" s="160">
        <f t="shared" si="28"/>
        <v>0</v>
      </c>
      <c r="AB30" s="160">
        <f t="shared" si="29"/>
        <v>0</v>
      </c>
      <c r="AC30" s="160">
        <f t="shared" si="30"/>
        <v>0</v>
      </c>
      <c r="AD30" s="307">
        <f t="shared" si="31"/>
        <v>0</v>
      </c>
      <c r="AE30" s="303" t="str">
        <f t="shared" si="9"/>
        <v/>
      </c>
      <c r="AF30" s="163" t="str">
        <f t="shared" si="10"/>
        <v/>
      </c>
      <c r="AG30" s="163" t="str">
        <f t="shared" si="11"/>
        <v/>
      </c>
      <c r="AH30" s="163" t="str">
        <f t="shared" si="12"/>
        <v/>
      </c>
      <c r="AI30" s="290"/>
      <c r="AJ30" s="165" t="str">
        <f t="shared" si="13"/>
        <v/>
      </c>
      <c r="AK30" s="180" t="str">
        <f t="shared" si="14"/>
        <v/>
      </c>
      <c r="AM30" s="179"/>
      <c r="AN30" s="179"/>
      <c r="AP30" s="166" t="str">
        <f t="shared" si="15"/>
        <v/>
      </c>
      <c r="AQ30" s="166" t="str">
        <f t="shared" si="16"/>
        <v/>
      </c>
      <c r="AR30" s="166" t="str">
        <f t="shared" si="17"/>
        <v/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IF($J$1="Active",IF(Salary_Master_2!B31="","",_xlfn.IFS(Salary_Master_2!M31="Working",IF(Salary_Master_2!H31&lt;=DATE(2025,9,30),Salary_Master_2!B31,""),Salary_Master_2!M31="Left",IF(Salary_Master_2!N31&gt;DATE(2025,8,31),Salary_Master_2!B31,""))),"")</f>
        <v/>
      </c>
      <c r="C31" s="304">
        <v>31</v>
      </c>
      <c r="D31" s="305" t="str">
        <f t="shared" si="18"/>
        <v/>
      </c>
      <c r="E31" s="177"/>
      <c r="F31" s="177"/>
      <c r="G31" s="177"/>
      <c r="H31" s="305" t="str">
        <f t="shared" si="19"/>
        <v/>
      </c>
      <c r="I31" s="177"/>
      <c r="J31" s="177"/>
      <c r="K31" s="158" t="str">
        <f t="shared" si="1"/>
        <v/>
      </c>
      <c r="L31" s="158" t="str">
        <f t="shared" si="2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20"/>
        <v/>
      </c>
      <c r="T31" s="170" t="str">
        <f t="shared" si="21"/>
        <v/>
      </c>
      <c r="U31" s="170" t="str">
        <f t="shared" si="22"/>
        <v/>
      </c>
      <c r="V31" s="262">
        <f t="shared" si="23"/>
        <v>0</v>
      </c>
      <c r="W31" s="160" t="str">
        <f t="shared" si="24"/>
        <v/>
      </c>
      <c r="X31" s="160" t="str">
        <f t="shared" si="25"/>
        <v/>
      </c>
      <c r="Y31" s="160" t="str">
        <f t="shared" si="26"/>
        <v/>
      </c>
      <c r="Z31" s="160" t="str">
        <f t="shared" si="27"/>
        <v/>
      </c>
      <c r="AA31" s="160">
        <f t="shared" si="28"/>
        <v>0</v>
      </c>
      <c r="AB31" s="160">
        <f t="shared" si="29"/>
        <v>0</v>
      </c>
      <c r="AC31" s="160">
        <f t="shared" si="30"/>
        <v>0</v>
      </c>
      <c r="AD31" s="307">
        <f t="shared" si="31"/>
        <v>0</v>
      </c>
      <c r="AE31" s="303" t="str">
        <f t="shared" si="9"/>
        <v/>
      </c>
      <c r="AF31" s="163" t="str">
        <f t="shared" si="10"/>
        <v/>
      </c>
      <c r="AG31" s="163" t="str">
        <f t="shared" si="11"/>
        <v/>
      </c>
      <c r="AH31" s="163" t="str">
        <f t="shared" si="12"/>
        <v/>
      </c>
      <c r="AI31" s="290"/>
      <c r="AJ31" s="165" t="str">
        <f t="shared" si="13"/>
        <v/>
      </c>
      <c r="AK31" s="180" t="str">
        <f t="shared" si="14"/>
        <v/>
      </c>
      <c r="AM31" s="179"/>
      <c r="AN31" s="179"/>
      <c r="AP31" s="166" t="str">
        <f t="shared" si="15"/>
        <v/>
      </c>
      <c r="AQ31" s="166" t="str">
        <f t="shared" si="16"/>
        <v/>
      </c>
      <c r="AR31" s="166" t="str">
        <f t="shared" si="17"/>
        <v/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IF($J$1="Active",IF(Salary_Master_2!B32="","",_xlfn.IFS(Salary_Master_2!M32="Working",IF(Salary_Master_2!H32&lt;=DATE(2025,9,30),Salary_Master_2!B32,""),Salary_Master_2!M32="Left",IF(Salary_Master_2!N32&gt;DATE(2025,8,31),Salary_Master_2!B32,""))),"")</f>
        <v/>
      </c>
      <c r="C32" s="304">
        <v>31</v>
      </c>
      <c r="D32" s="305" t="str">
        <f t="shared" si="18"/>
        <v/>
      </c>
      <c r="E32" s="177"/>
      <c r="F32" s="177"/>
      <c r="G32" s="177"/>
      <c r="H32" s="305" t="str">
        <f t="shared" si="19"/>
        <v/>
      </c>
      <c r="I32" s="177"/>
      <c r="J32" s="177"/>
      <c r="K32" s="158" t="str">
        <f t="shared" si="1"/>
        <v/>
      </c>
      <c r="L32" s="158" t="str">
        <f t="shared" si="2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20"/>
        <v/>
      </c>
      <c r="T32" s="170" t="str">
        <f t="shared" si="21"/>
        <v/>
      </c>
      <c r="U32" s="170" t="str">
        <f t="shared" si="22"/>
        <v/>
      </c>
      <c r="V32" s="262">
        <f t="shared" si="23"/>
        <v>0</v>
      </c>
      <c r="W32" s="160" t="str">
        <f t="shared" si="24"/>
        <v/>
      </c>
      <c r="X32" s="160" t="str">
        <f t="shared" si="25"/>
        <v/>
      </c>
      <c r="Y32" s="160" t="str">
        <f t="shared" si="26"/>
        <v/>
      </c>
      <c r="Z32" s="160" t="str">
        <f t="shared" si="27"/>
        <v/>
      </c>
      <c r="AA32" s="160">
        <f t="shared" si="28"/>
        <v>0</v>
      </c>
      <c r="AB32" s="160">
        <f t="shared" si="29"/>
        <v>0</v>
      </c>
      <c r="AC32" s="160">
        <f t="shared" si="30"/>
        <v>0</v>
      </c>
      <c r="AD32" s="307">
        <f t="shared" si="31"/>
        <v>0</v>
      </c>
      <c r="AE32" s="303" t="str">
        <f t="shared" si="9"/>
        <v/>
      </c>
      <c r="AF32" s="163" t="str">
        <f t="shared" si="10"/>
        <v/>
      </c>
      <c r="AG32" s="163" t="str">
        <f t="shared" si="11"/>
        <v/>
      </c>
      <c r="AH32" s="163" t="str">
        <f t="shared" si="12"/>
        <v/>
      </c>
      <c r="AI32" s="290"/>
      <c r="AJ32" s="165" t="str">
        <f t="shared" si="13"/>
        <v/>
      </c>
      <c r="AK32" s="180" t="str">
        <f t="shared" si="14"/>
        <v/>
      </c>
      <c r="AM32" s="179"/>
      <c r="AN32" s="179"/>
      <c r="AP32" s="166" t="str">
        <f t="shared" si="15"/>
        <v/>
      </c>
      <c r="AQ32" s="166" t="str">
        <f t="shared" si="16"/>
        <v/>
      </c>
      <c r="AR32" s="166" t="str">
        <f t="shared" si="17"/>
        <v/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IF($J$1="Active",IF(Salary_Master_2!B33="","",_xlfn.IFS(Salary_Master_2!M33="Working",IF(Salary_Master_2!H33&lt;=DATE(2025,9,30),Salary_Master_2!B33,""),Salary_Master_2!M33="Left",IF(Salary_Master_2!N33&gt;DATE(2025,8,31),Salary_Master_2!B33,""))),"")</f>
        <v/>
      </c>
      <c r="C33" s="304">
        <v>31</v>
      </c>
      <c r="D33" s="305" t="str">
        <f t="shared" si="18"/>
        <v/>
      </c>
      <c r="E33" s="177"/>
      <c r="F33" s="177"/>
      <c r="G33" s="177"/>
      <c r="H33" s="305" t="str">
        <f t="shared" si="19"/>
        <v/>
      </c>
      <c r="I33" s="177"/>
      <c r="J33" s="177"/>
      <c r="K33" s="158" t="str">
        <f t="shared" si="1"/>
        <v/>
      </c>
      <c r="L33" s="158" t="str">
        <f t="shared" si="2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20"/>
        <v/>
      </c>
      <c r="T33" s="170" t="str">
        <f t="shared" si="21"/>
        <v/>
      </c>
      <c r="U33" s="170" t="str">
        <f t="shared" si="22"/>
        <v/>
      </c>
      <c r="V33" s="262">
        <f t="shared" si="23"/>
        <v>0</v>
      </c>
      <c r="W33" s="160" t="str">
        <f t="shared" si="24"/>
        <v/>
      </c>
      <c r="X33" s="160" t="str">
        <f t="shared" si="25"/>
        <v/>
      </c>
      <c r="Y33" s="160" t="str">
        <f t="shared" si="26"/>
        <v/>
      </c>
      <c r="Z33" s="160" t="str">
        <f t="shared" si="27"/>
        <v/>
      </c>
      <c r="AA33" s="160">
        <f t="shared" si="28"/>
        <v>0</v>
      </c>
      <c r="AB33" s="160">
        <f t="shared" si="29"/>
        <v>0</v>
      </c>
      <c r="AC33" s="160">
        <f t="shared" si="30"/>
        <v>0</v>
      </c>
      <c r="AD33" s="307">
        <f t="shared" si="31"/>
        <v>0</v>
      </c>
      <c r="AE33" s="303" t="str">
        <f t="shared" si="9"/>
        <v/>
      </c>
      <c r="AF33" s="163" t="str">
        <f t="shared" si="10"/>
        <v/>
      </c>
      <c r="AG33" s="163" t="str">
        <f t="shared" si="11"/>
        <v/>
      </c>
      <c r="AH33" s="163" t="str">
        <f t="shared" si="12"/>
        <v/>
      </c>
      <c r="AI33" s="290"/>
      <c r="AJ33" s="165" t="str">
        <f t="shared" si="13"/>
        <v/>
      </c>
      <c r="AK33" s="180" t="str">
        <f t="shared" si="14"/>
        <v/>
      </c>
      <c r="AM33" s="179"/>
      <c r="AN33" s="179"/>
      <c r="AP33" s="166" t="str">
        <f t="shared" si="15"/>
        <v/>
      </c>
      <c r="AQ33" s="166" t="str">
        <f t="shared" si="16"/>
        <v/>
      </c>
      <c r="AR33" s="166" t="str">
        <f t="shared" si="17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IF($J$1="Active",IF(Salary_Master_2!B34="","",_xlfn.IFS(Salary_Master_2!M34="Working",IF(Salary_Master_2!H34&lt;=DATE(2025,9,30),Salary_Master_2!B34,""),Salary_Master_2!M34="Left",IF(Salary_Master_2!N34&gt;DATE(2025,8,31),Salary_Master_2!B34,""))),"")</f>
        <v/>
      </c>
      <c r="C34" s="304">
        <v>31</v>
      </c>
      <c r="D34" s="305" t="str">
        <f t="shared" si="18"/>
        <v/>
      </c>
      <c r="E34" s="177"/>
      <c r="F34" s="177"/>
      <c r="G34" s="177"/>
      <c r="H34" s="305" t="str">
        <f t="shared" si="19"/>
        <v/>
      </c>
      <c r="I34" s="177"/>
      <c r="J34" s="177"/>
      <c r="K34" s="158" t="str">
        <f t="shared" si="1"/>
        <v/>
      </c>
      <c r="L34" s="158" t="str">
        <f t="shared" si="2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20"/>
        <v/>
      </c>
      <c r="T34" s="170" t="str">
        <f t="shared" si="21"/>
        <v/>
      </c>
      <c r="U34" s="170" t="str">
        <f t="shared" si="22"/>
        <v/>
      </c>
      <c r="V34" s="262">
        <f t="shared" si="23"/>
        <v>0</v>
      </c>
      <c r="W34" s="160" t="str">
        <f t="shared" si="24"/>
        <v/>
      </c>
      <c r="X34" s="160" t="str">
        <f t="shared" si="25"/>
        <v/>
      </c>
      <c r="Y34" s="160" t="str">
        <f t="shared" si="26"/>
        <v/>
      </c>
      <c r="Z34" s="160" t="str">
        <f t="shared" si="27"/>
        <v/>
      </c>
      <c r="AA34" s="160">
        <f t="shared" si="28"/>
        <v>0</v>
      </c>
      <c r="AB34" s="160">
        <f t="shared" si="29"/>
        <v>0</v>
      </c>
      <c r="AC34" s="160">
        <f t="shared" si="30"/>
        <v>0</v>
      </c>
      <c r="AD34" s="307">
        <f t="shared" si="31"/>
        <v>0</v>
      </c>
      <c r="AE34" s="303" t="str">
        <f t="shared" si="9"/>
        <v/>
      </c>
      <c r="AF34" s="163" t="str">
        <f t="shared" si="10"/>
        <v/>
      </c>
      <c r="AG34" s="163" t="str">
        <f t="shared" si="11"/>
        <v/>
      </c>
      <c r="AH34" s="163" t="str">
        <f t="shared" si="12"/>
        <v/>
      </c>
      <c r="AI34" s="290"/>
      <c r="AJ34" s="165" t="str">
        <f t="shared" si="13"/>
        <v/>
      </c>
      <c r="AK34" s="180" t="str">
        <f t="shared" si="14"/>
        <v/>
      </c>
      <c r="AM34" s="179"/>
      <c r="AN34" s="179"/>
      <c r="AP34" s="166" t="str">
        <f t="shared" si="15"/>
        <v/>
      </c>
      <c r="AQ34" s="166" t="str">
        <f t="shared" si="16"/>
        <v/>
      </c>
      <c r="AR34" s="166" t="str">
        <f t="shared" si="17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IF($J$1="Active",IF(Salary_Master_2!B35="","",_xlfn.IFS(Salary_Master_2!M35="Working",IF(Salary_Master_2!H35&lt;=DATE(2025,9,30),Salary_Master_2!B35,""),Salary_Master_2!M35="Left",IF(Salary_Master_2!N35&gt;DATE(2025,8,31),Salary_Master_2!B35,""))),"")</f>
        <v/>
      </c>
      <c r="C35" s="304">
        <v>31</v>
      </c>
      <c r="D35" s="305" t="str">
        <f t="shared" si="18"/>
        <v/>
      </c>
      <c r="E35" s="177"/>
      <c r="F35" s="177"/>
      <c r="G35" s="177"/>
      <c r="H35" s="305" t="str">
        <f t="shared" si="19"/>
        <v/>
      </c>
      <c r="I35" s="177"/>
      <c r="J35" s="177"/>
      <c r="K35" s="158" t="str">
        <f t="shared" si="1"/>
        <v/>
      </c>
      <c r="L35" s="158" t="str">
        <f t="shared" si="2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20"/>
        <v/>
      </c>
      <c r="T35" s="170" t="str">
        <f t="shared" si="21"/>
        <v/>
      </c>
      <c r="U35" s="170" t="str">
        <f t="shared" si="22"/>
        <v/>
      </c>
      <c r="V35" s="262">
        <f t="shared" si="23"/>
        <v>0</v>
      </c>
      <c r="W35" s="160" t="str">
        <f t="shared" si="24"/>
        <v/>
      </c>
      <c r="X35" s="160" t="str">
        <f t="shared" si="25"/>
        <v/>
      </c>
      <c r="Y35" s="160" t="str">
        <f t="shared" si="26"/>
        <v/>
      </c>
      <c r="Z35" s="160" t="str">
        <f t="shared" si="27"/>
        <v/>
      </c>
      <c r="AA35" s="160">
        <f t="shared" si="28"/>
        <v>0</v>
      </c>
      <c r="AB35" s="160">
        <f t="shared" si="29"/>
        <v>0</v>
      </c>
      <c r="AC35" s="160">
        <f t="shared" si="30"/>
        <v>0</v>
      </c>
      <c r="AD35" s="307">
        <f t="shared" si="31"/>
        <v>0</v>
      </c>
      <c r="AE35" s="303" t="str">
        <f t="shared" si="9"/>
        <v/>
      </c>
      <c r="AF35" s="163" t="str">
        <f t="shared" si="10"/>
        <v/>
      </c>
      <c r="AG35" s="163" t="str">
        <f t="shared" si="11"/>
        <v/>
      </c>
      <c r="AH35" s="163" t="str">
        <f t="shared" si="12"/>
        <v/>
      </c>
      <c r="AI35" s="290"/>
      <c r="AJ35" s="165" t="str">
        <f t="shared" si="13"/>
        <v/>
      </c>
      <c r="AK35" s="180" t="str">
        <f t="shared" si="14"/>
        <v/>
      </c>
      <c r="AM35" s="179"/>
      <c r="AN35" s="179"/>
      <c r="AP35" s="166" t="str">
        <f t="shared" si="15"/>
        <v/>
      </c>
      <c r="AQ35" s="166" t="str">
        <f t="shared" si="16"/>
        <v/>
      </c>
      <c r="AR35" s="166" t="str">
        <f t="shared" si="17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IF($J$1="Active",IF(Salary_Master_2!B36="","",_xlfn.IFS(Salary_Master_2!M36="Working",IF(Salary_Master_2!H36&lt;=DATE(2025,9,30),Salary_Master_2!B36,""),Salary_Master_2!M36="Left",IF(Salary_Master_2!N36&gt;DATE(2025,8,31),Salary_Master_2!B36,""))),"")</f>
        <v/>
      </c>
      <c r="C36" s="304">
        <v>31</v>
      </c>
      <c r="D36" s="305" t="str">
        <f t="shared" si="18"/>
        <v/>
      </c>
      <c r="E36" s="177"/>
      <c r="F36" s="177"/>
      <c r="G36" s="177"/>
      <c r="H36" s="305" t="str">
        <f t="shared" si="19"/>
        <v/>
      </c>
      <c r="I36" s="177"/>
      <c r="J36" s="177"/>
      <c r="K36" s="158" t="str">
        <f t="shared" si="1"/>
        <v/>
      </c>
      <c r="L36" s="158" t="str">
        <f t="shared" si="2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20"/>
        <v/>
      </c>
      <c r="T36" s="170" t="str">
        <f t="shared" si="21"/>
        <v/>
      </c>
      <c r="U36" s="170" t="str">
        <f t="shared" si="22"/>
        <v/>
      </c>
      <c r="V36" s="262">
        <f t="shared" si="23"/>
        <v>0</v>
      </c>
      <c r="W36" s="160" t="str">
        <f t="shared" si="24"/>
        <v/>
      </c>
      <c r="X36" s="160" t="str">
        <f t="shared" si="25"/>
        <v/>
      </c>
      <c r="Y36" s="160" t="str">
        <f t="shared" si="26"/>
        <v/>
      </c>
      <c r="Z36" s="160" t="str">
        <f t="shared" si="27"/>
        <v/>
      </c>
      <c r="AA36" s="160">
        <f t="shared" si="28"/>
        <v>0</v>
      </c>
      <c r="AB36" s="160">
        <f t="shared" si="29"/>
        <v>0</v>
      </c>
      <c r="AC36" s="160">
        <f t="shared" si="30"/>
        <v>0</v>
      </c>
      <c r="AD36" s="307">
        <f t="shared" si="31"/>
        <v>0</v>
      </c>
      <c r="AE36" s="303" t="str">
        <f t="shared" si="9"/>
        <v/>
      </c>
      <c r="AF36" s="163" t="str">
        <f t="shared" si="10"/>
        <v/>
      </c>
      <c r="AG36" s="163" t="str">
        <f t="shared" si="11"/>
        <v/>
      </c>
      <c r="AH36" s="163" t="str">
        <f t="shared" si="12"/>
        <v/>
      </c>
      <c r="AI36" s="290"/>
      <c r="AJ36" s="165" t="str">
        <f t="shared" si="13"/>
        <v/>
      </c>
      <c r="AK36" s="180" t="str">
        <f t="shared" si="14"/>
        <v/>
      </c>
      <c r="AM36" s="179"/>
      <c r="AN36" s="179"/>
      <c r="AP36" s="166" t="str">
        <f t="shared" si="15"/>
        <v/>
      </c>
      <c r="AQ36" s="166" t="str">
        <f t="shared" si="16"/>
        <v/>
      </c>
      <c r="AR36" s="166" t="str">
        <f t="shared" si="17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IF($J$1="Active",IF(Salary_Master_2!B37="","",_xlfn.IFS(Salary_Master_2!M37="Working",IF(Salary_Master_2!H37&lt;=DATE(2025,9,30),Salary_Master_2!B37,""),Salary_Master_2!M37="Left",IF(Salary_Master_2!N37&gt;DATE(2025,8,31),Salary_Master_2!B37,""))),"")</f>
        <v/>
      </c>
      <c r="C37" s="304">
        <v>31</v>
      </c>
      <c r="D37" s="305" t="str">
        <f t="shared" si="18"/>
        <v/>
      </c>
      <c r="E37" s="177"/>
      <c r="F37" s="177"/>
      <c r="G37" s="177"/>
      <c r="H37" s="305" t="str">
        <f t="shared" si="19"/>
        <v/>
      </c>
      <c r="I37" s="177"/>
      <c r="J37" s="177"/>
      <c r="K37" s="158" t="str">
        <f t="shared" si="1"/>
        <v/>
      </c>
      <c r="L37" s="158" t="str">
        <f t="shared" si="2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20"/>
        <v/>
      </c>
      <c r="T37" s="170" t="str">
        <f t="shared" si="21"/>
        <v/>
      </c>
      <c r="U37" s="170" t="str">
        <f t="shared" si="22"/>
        <v/>
      </c>
      <c r="V37" s="262">
        <f t="shared" si="23"/>
        <v>0</v>
      </c>
      <c r="W37" s="160" t="str">
        <f t="shared" si="24"/>
        <v/>
      </c>
      <c r="X37" s="160" t="str">
        <f t="shared" si="25"/>
        <v/>
      </c>
      <c r="Y37" s="160" t="str">
        <f t="shared" si="26"/>
        <v/>
      </c>
      <c r="Z37" s="160" t="str">
        <f t="shared" si="27"/>
        <v/>
      </c>
      <c r="AA37" s="160">
        <f t="shared" si="28"/>
        <v>0</v>
      </c>
      <c r="AB37" s="160">
        <f t="shared" si="29"/>
        <v>0</v>
      </c>
      <c r="AC37" s="160">
        <f t="shared" si="30"/>
        <v>0</v>
      </c>
      <c r="AD37" s="307">
        <f t="shared" si="31"/>
        <v>0</v>
      </c>
      <c r="AE37" s="303" t="str">
        <f t="shared" si="9"/>
        <v/>
      </c>
      <c r="AF37" s="163" t="str">
        <f t="shared" si="10"/>
        <v/>
      </c>
      <c r="AG37" s="163" t="str">
        <f t="shared" si="11"/>
        <v/>
      </c>
      <c r="AH37" s="163" t="str">
        <f t="shared" si="12"/>
        <v/>
      </c>
      <c r="AI37" s="290"/>
      <c r="AJ37" s="165" t="str">
        <f t="shared" si="13"/>
        <v/>
      </c>
      <c r="AK37" s="180" t="str">
        <f t="shared" si="14"/>
        <v/>
      </c>
      <c r="AM37" s="179"/>
      <c r="AN37" s="179"/>
      <c r="AP37" s="166" t="str">
        <f t="shared" si="15"/>
        <v/>
      </c>
      <c r="AQ37" s="166" t="str">
        <f t="shared" si="16"/>
        <v/>
      </c>
      <c r="AR37" s="166" t="str">
        <f t="shared" si="17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IF($J$1="Active",IF(Salary_Master_2!B38="","",_xlfn.IFS(Salary_Master_2!M38="Working",IF(Salary_Master_2!H38&lt;=DATE(2025,9,30),Salary_Master_2!B38,""),Salary_Master_2!M38="Left",IF(Salary_Master_2!N38&gt;DATE(2025,8,31),Salary_Master_2!B38,""))),"")</f>
        <v/>
      </c>
      <c r="C38" s="304">
        <v>31</v>
      </c>
      <c r="D38" s="305" t="str">
        <f t="shared" si="18"/>
        <v/>
      </c>
      <c r="E38" s="177"/>
      <c r="F38" s="177"/>
      <c r="G38" s="177"/>
      <c r="H38" s="305" t="str">
        <f t="shared" si="19"/>
        <v/>
      </c>
      <c r="I38" s="177"/>
      <c r="J38" s="177"/>
      <c r="K38" s="158" t="str">
        <f t="shared" si="1"/>
        <v/>
      </c>
      <c r="L38" s="158" t="str">
        <f t="shared" si="2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20"/>
        <v/>
      </c>
      <c r="T38" s="170" t="str">
        <f t="shared" si="21"/>
        <v/>
      </c>
      <c r="U38" s="170" t="str">
        <f t="shared" si="22"/>
        <v/>
      </c>
      <c r="V38" s="262">
        <f t="shared" si="23"/>
        <v>0</v>
      </c>
      <c r="W38" s="160" t="str">
        <f t="shared" si="24"/>
        <v/>
      </c>
      <c r="X38" s="160" t="str">
        <f t="shared" si="25"/>
        <v/>
      </c>
      <c r="Y38" s="160" t="str">
        <f t="shared" si="26"/>
        <v/>
      </c>
      <c r="Z38" s="160" t="str">
        <f t="shared" si="27"/>
        <v/>
      </c>
      <c r="AA38" s="160">
        <f t="shared" si="28"/>
        <v>0</v>
      </c>
      <c r="AB38" s="160">
        <f t="shared" si="29"/>
        <v>0</v>
      </c>
      <c r="AC38" s="160">
        <f t="shared" si="30"/>
        <v>0</v>
      </c>
      <c r="AD38" s="307">
        <f t="shared" si="31"/>
        <v>0</v>
      </c>
      <c r="AE38" s="303" t="str">
        <f t="shared" si="9"/>
        <v/>
      </c>
      <c r="AF38" s="163" t="str">
        <f t="shared" si="10"/>
        <v/>
      </c>
      <c r="AG38" s="163" t="str">
        <f t="shared" si="11"/>
        <v/>
      </c>
      <c r="AH38" s="163" t="str">
        <f t="shared" si="12"/>
        <v/>
      </c>
      <c r="AI38" s="290"/>
      <c r="AJ38" s="165" t="str">
        <f t="shared" si="13"/>
        <v/>
      </c>
      <c r="AK38" s="180" t="str">
        <f t="shared" si="14"/>
        <v/>
      </c>
      <c r="AM38" s="179"/>
      <c r="AN38" s="179"/>
      <c r="AP38" s="166" t="str">
        <f t="shared" si="15"/>
        <v/>
      </c>
      <c r="AQ38" s="166" t="str">
        <f t="shared" si="16"/>
        <v/>
      </c>
      <c r="AR38" s="166" t="str">
        <f t="shared" si="17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IF($J$1="Active",IF(Salary_Master_2!B39="","",_xlfn.IFS(Salary_Master_2!M39="Working",IF(Salary_Master_2!H39&lt;=DATE(2025,9,30),Salary_Master_2!B39,""),Salary_Master_2!M39="Left",IF(Salary_Master_2!N39&gt;DATE(2025,8,31),Salary_Master_2!B39,""))),"")</f>
        <v/>
      </c>
      <c r="C39" s="309">
        <v>31</v>
      </c>
      <c r="D39" s="310" t="str">
        <f t="shared" si="18"/>
        <v/>
      </c>
      <c r="E39" s="311"/>
      <c r="F39" s="311"/>
      <c r="G39" s="311"/>
      <c r="H39" s="310" t="str">
        <f t="shared" si="19"/>
        <v/>
      </c>
      <c r="I39" s="311"/>
      <c r="J39" s="311"/>
      <c r="K39" s="158" t="str">
        <f t="shared" si="1"/>
        <v/>
      </c>
      <c r="L39" s="158" t="str">
        <f t="shared" si="2"/>
        <v/>
      </c>
      <c r="M39" s="313"/>
      <c r="N39" s="169" t="str">
        <f t="shared" si="3"/>
        <v/>
      </c>
      <c r="O39" s="170" t="str">
        <f t="shared" si="4"/>
        <v/>
      </c>
      <c r="P39" s="170" t="str">
        <f t="shared" si="5"/>
        <v/>
      </c>
      <c r="Q39" s="170" t="str">
        <f t="shared" si="6"/>
        <v/>
      </c>
      <c r="R39" s="170" t="str">
        <f t="shared" si="7"/>
        <v/>
      </c>
      <c r="S39" s="170" t="str">
        <f t="shared" si="20"/>
        <v/>
      </c>
      <c r="T39" s="170" t="str">
        <f t="shared" si="21"/>
        <v/>
      </c>
      <c r="U39" s="170" t="str">
        <f t="shared" si="22"/>
        <v/>
      </c>
      <c r="V39" s="316">
        <f t="shared" si="23"/>
        <v>0</v>
      </c>
      <c r="W39" s="297" t="str">
        <f t="shared" si="24"/>
        <v/>
      </c>
      <c r="X39" s="297" t="str">
        <f t="shared" si="25"/>
        <v/>
      </c>
      <c r="Y39" s="297" t="str">
        <f t="shared" si="26"/>
        <v/>
      </c>
      <c r="Z39" s="297" t="str">
        <f t="shared" si="27"/>
        <v/>
      </c>
      <c r="AA39" s="297">
        <f t="shared" si="28"/>
        <v>0</v>
      </c>
      <c r="AB39" s="297">
        <f t="shared" si="29"/>
        <v>0</v>
      </c>
      <c r="AC39" s="297">
        <f t="shared" si="30"/>
        <v>0</v>
      </c>
      <c r="AD39" s="317">
        <f t="shared" si="31"/>
        <v>0</v>
      </c>
      <c r="AE39" s="303" t="str">
        <f t="shared" si="9"/>
        <v/>
      </c>
      <c r="AF39" s="286" t="str">
        <f t="shared" si="10"/>
        <v/>
      </c>
      <c r="AG39" s="286" t="str">
        <f t="shared" si="11"/>
        <v/>
      </c>
      <c r="AH39" s="286" t="str">
        <f t="shared" si="12"/>
        <v/>
      </c>
      <c r="AI39" s="292"/>
      <c r="AJ39" s="165" t="str">
        <f t="shared" si="13"/>
        <v/>
      </c>
      <c r="AK39" s="288" t="str">
        <f t="shared" si="14"/>
        <v/>
      </c>
      <c r="AM39" s="179"/>
      <c r="AN39" s="179"/>
      <c r="AP39" s="166" t="str">
        <f t="shared" si="15"/>
        <v/>
      </c>
      <c r="AQ39" s="166" t="str">
        <f t="shared" si="16"/>
        <v/>
      </c>
      <c r="AR39" s="166" t="str">
        <f t="shared" si="17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2">SUM(W5:W39)</f>
        <v>0</v>
      </c>
      <c r="X40" s="183">
        <f t="shared" si="32"/>
        <v>0</v>
      </c>
      <c r="Y40" s="183">
        <f t="shared" si="32"/>
        <v>0</v>
      </c>
      <c r="Z40" s="183">
        <f t="shared" si="32"/>
        <v>0</v>
      </c>
      <c r="AA40" s="183">
        <f t="shared" si="32"/>
        <v>0</v>
      </c>
      <c r="AB40" s="183">
        <f t="shared" si="32"/>
        <v>0</v>
      </c>
      <c r="AC40" s="183">
        <f t="shared" si="32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sheetProtection algorithmName="SHA-512" hashValue="NydPcrk9v0o66EBhs9qZUr4JekIlFP8C35GLzxyqDjzhrecMwb5Mb9JOL65q8sHfRZkL8zEDZkDDc8UDZ3NgZQ==" saltValue="D6Af2DIdJcmRYIrOUCEJQw==" spinCount="100000" sheet="1" objects="1" scenarios="1"/>
  <mergeCells count="3">
    <mergeCell ref="J1:K1"/>
    <mergeCell ref="AP2:AR2"/>
    <mergeCell ref="A40:U40"/>
  </mergeCells>
  <conditionalFormatting sqref="H5:H39">
    <cfRule type="cellIs" dxfId="20" priority="2" operator="greaterThan">
      <formula>32</formula>
    </cfRule>
    <cfRule type="cellIs" dxfId="19" priority="3" operator="greaterThan">
      <formula>31</formula>
    </cfRule>
  </conditionalFormatting>
  <conditionalFormatting sqref="H5:H39">
    <cfRule type="cellIs" dxfId="18" priority="1" operator="greaterThan">
      <formula>32</formula>
    </cfRule>
  </conditionalFormatting>
  <dataValidations count="6">
    <dataValidation type="custom" allowBlank="1" showInputMessage="1" showErrorMessage="1" errorTitle="Below Limit !!!" error="Total leaves are going negative if this value is entered. Try to enter less value." sqref="G5:G39" xr:uid="{51F328D0-D8D1-466E-8F42-788144AEE910}">
      <formula1>$AP5&lt;=7</formula1>
    </dataValidation>
    <dataValidation type="list" allowBlank="1" sqref="K5:L39" xr:uid="{122E5EFD-60F3-4BB4-B1D7-CF5AB20A838E}">
      <formula1>"Yes,No"</formula1>
    </dataValidation>
    <dataValidation type="list" allowBlank="1" showInputMessage="1" showErrorMessage="1" sqref="AK5:AK39 AL40 M5:M39" xr:uid="{39C2C003-2554-45B2-B170-4C1AE55A2EAD}">
      <formula1>"Yes,No"</formula1>
    </dataValidation>
    <dataValidation type="list" allowBlank="1" showInputMessage="1" showErrorMessage="1" sqref="J1:K1" xr:uid="{A76E4E6D-FD4A-4AF7-96C3-E35FBD23D669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E5:E39" xr:uid="{23802C00-A3A4-4F4B-8A4A-0D669F2A7DAF}">
      <formula1>$AN5&lt;=7</formula1>
    </dataValidation>
    <dataValidation type="custom" allowBlank="1" showInputMessage="1" showErrorMessage="1" errorTitle="Below Limit !!!" error="Total leaves are going negative if this value is entered. Try to enter less value." sqref="F5:F39" xr:uid="{F05BC78B-2051-4833-95ED-1E36F8833565}">
      <formula1>$AO5&lt;=7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12DA-0F80-4ED4-9DBC-81D746A31896}">
  <sheetPr codeName="Sheet42">
    <tabColor rgb="FF92D050"/>
  </sheetPr>
  <dimension ref="A1:AT40"/>
  <sheetViews>
    <sheetView workbookViewId="0">
      <pane xSplit="13" ySplit="4" topLeftCell="AA35" activePane="bottomRight" state="frozen"/>
      <selection activeCell="J1" sqref="J1:K1"/>
      <selection pane="topRight" activeCell="J1" sqref="J1:K1"/>
      <selection pane="bottomLeft" activeCell="J1" sqref="J1:K1"/>
      <selection pane="bottomRight" activeCell="J1" sqref="J1:K1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10937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194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IF($J$1="Active",IF(Salary_Master!B5="","",_xlfn.IFS(Salary_Master!M5="Working",IF(Salary_Master!H5&lt;=DATE(2025,10,31),Salary_Master!B5,""),Salary_Master!M5="Left",IF(Salary_Master!N5&gt;DATE(2025,9,30),Salary_Master!B5,""))),"")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" si="1">IF($J$1="Active",IF(B5="","",VLOOKUP(B5,Salary_Master,14,FALSE)),"")</f>
        <v/>
      </c>
      <c r="L5" s="158" t="str">
        <f t="shared" ref="L5" si="2">IF($J$1="Active",IF(B5="","",VLOOKUP(B5,Salary_Master,15,FALSE)),"")</f>
        <v/>
      </c>
      <c r="M5" s="159"/>
      <c r="N5" s="169" t="str">
        <f t="shared" ref="N5:N39" si="3">IFERROR(ROUND(IF($B5="","",SUM(VLOOKUP($B5,Salary_Master,17,FALSE)/31*$H5)),0),"")</f>
        <v/>
      </c>
      <c r="O5" s="170" t="str">
        <f t="shared" ref="O5:O39" si="4">IFERROR(ROUND(IF($B5="","",SUM(VLOOKUP($B5,Salary_Master,18,FALSE)/31*$H5)),0),"")</f>
        <v/>
      </c>
      <c r="P5" s="170" t="str">
        <f t="shared" ref="P5:P39" si="5">IFERROR(ROUND(IF($B5="","",SUM(VLOOKUP($B5,Salary_Master,19,FALSE)/31*$H5)),0),"")</f>
        <v/>
      </c>
      <c r="Q5" s="170" t="str">
        <f t="shared" ref="Q5:Q39" si="6">IFERROR(ROUND(IF($B5="","",SUM(VLOOKUP($B5,Salary_Master,20,FALSE)/31*$H5)),0),"")</f>
        <v/>
      </c>
      <c r="R5" s="170" t="str">
        <f t="shared" ref="R5:R39" si="7">IFERROR(ROUND(IF($B5="","",SUM(VLOOKUP($B5,Salary_Master,21,FALSE)/31*$H5)),0),"")</f>
        <v/>
      </c>
      <c r="S5" s="170" t="str">
        <f t="shared" ref="S5:S39" si="8">IFERROR(ROUND(IF($B5="","",SUM(VLOOKUP($B5,Salary_Master,22,FALSE)/31*$H5)),0),"")</f>
        <v/>
      </c>
      <c r="T5" s="170" t="str">
        <f t="shared" ref="T5:T39" si="9">IFERROR(ROUND(IF($B5="","",SUM(VLOOKUP($B5,Salary_Master,23,FALSE)/31*$H5)),0),"")</f>
        <v/>
      </c>
      <c r="U5" s="170" t="str">
        <f t="shared" ref="U5:U39" si="10">IFERROR(ROUND(IF($B5="","",SUM(VLOOKUP($B5,Salary_Master,24,FALSE)/31*$H5)),0),"")</f>
        <v/>
      </c>
      <c r="V5" s="261">
        <f>ROUND(SUM(N5:U5),0)</f>
        <v>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" si="13">IF(B5="","",VLOOKUP(B5,Salary_Master,8,FALSE))</f>
        <v/>
      </c>
      <c r="AF5" s="164" t="str">
        <f t="shared" ref="AF5:AF39" si="14">IFERROR(IF($J$1="Non-Active","",IF(VLOOKUP($B5,Sepp25,36,FALSE)="No",IF($AK5="Yes",MROUND($AJ5/3,0.5)-$E5,""),IF(VLOOKUP($B5,Sepp25,36,FALSE)="Yes",(VLOOKUP($B5,Sepp25,31,FALSE)-$E5),""))),"")</f>
        <v/>
      </c>
      <c r="AG5" s="164" t="str">
        <f t="shared" ref="AG5:AG39" si="15">IFERROR(IF($J$1="Non-Active","",IF(VLOOKUP($B5,Sepp25,36,FALSE)="No",IF($AK5="Yes",MROUND($AJ5/3,0.5)-$F5,""),IF(VLOOKUP($B5,Sepp25,36,FALSE)="Yes",(VLOOKUP($B5,Sepp25,32,FALSE)-$F5),""))),"")</f>
        <v/>
      </c>
      <c r="AH5" s="164" t="str">
        <f t="shared" ref="AH5:AH39" si="16">IFERROR(IF($J$1="Non-Active","",IF(VLOOKUP($B5,Sepp25,36,FALSE)="No",IF($AK5="Yes",($AJ5-(AF5+AG5)-(E5+F5))-$G5,""),IF(VLOOKUP($B5,Sepp25,36,FALSE)="Yes",(VLOOKUP($B5,Sepp25,33,FALSE)-$G5),""))),"")</f>
        <v/>
      </c>
      <c r="AI5" s="289"/>
      <c r="AJ5" s="165" t="str">
        <f t="shared" ref="AJ5:AJ39" si="17">IF(AK5="Yes",IF(VLOOKUP($B5,Sepp25,36,FALSE)="No",MROUND(SUM(21/12*6),0.5),""),"")</f>
        <v/>
      </c>
      <c r="AK5" s="287" t="str">
        <f t="shared" ref="AK5:AK39" si="18">IF($J$1="Non-Active","",IF($B5="","",VLOOKUP($B5,Sepp25,36,FALSE)))</f>
        <v/>
      </c>
      <c r="AM5" s="179"/>
      <c r="AN5" s="179"/>
      <c r="AP5" s="166" t="str">
        <f t="shared" ref="AP5:AP39" si="19">IFERROR(IF($B5="","",(VLOOKUP($B5,Aprr25,4,FALSE)+VLOOKUP($B5,Mayy25,4,FALSE)+VLOOKUP($B5,Junn25,4,FALSE)+VLOOKUP($B5,Jull25,4,FALSE)+VLOOKUP($B5,Augg25,4,FALSE)+VLOOKUP($B5,Sepp25,4,FALSE)+VLOOKUP($B5,Octt25,4,FALSE))),0)</f>
        <v/>
      </c>
      <c r="AQ5" s="166" t="str">
        <f t="shared" ref="AQ5:AQ39" si="20">IFERROR(IF($B5="","",(VLOOKUP($B5,Aprr25,5,FALSE)+VLOOKUP($B5,Mayy25,5,FALSE)+VLOOKUP($B5,Junn25,5,FALSE)+VLOOKUP($B5,Jull25,5,FALSE)+VLOOKUP($B5,Augg25,5,FALSE)+VLOOKUP($B5,Sepp25,5,FALSE)+VLOOKUP($B5,Octt25,5,FALSE))),0)</f>
        <v/>
      </c>
      <c r="AR5" s="166" t="str">
        <f t="shared" ref="AR5:AR39" si="21">IFERROR(IF($B5="","",(VLOOKUP($B5,Aprr25,6,FALSE)+VLOOKUP($B5,Mayy25,6,FALSE)+VLOOKUP($B5,Junn25,6,FALSE)+VLOOKUP($B5,Jull25,6,FALSE)+VLOOKUP($B5,Augg25,6,FALSE)+VLOOKUP($B5,Sepp25,6,FALSE)+VLOOKUP($B5,Octt25,6,FALSE))),0)</f>
        <v/>
      </c>
    </row>
    <row r="6" spans="1:46" s="162" customFormat="1" ht="25.2" customHeight="1" x14ac:dyDescent="0.3">
      <c r="A6" s="167">
        <v>2</v>
      </c>
      <c r="B6" s="304" t="str" cm="1">
        <f t="array" ref="B6">IF($J$1="Active",IF(Salary_Master!B6="","",_xlfn.IFS(Salary_Master!M6="Working",IF(Salary_Master!H6&lt;=DATE(2025,10,31),Salary_Master!B6,""),Salary_Master!M6="Left",IF(Salary_Master!N6&gt;DATE(2025,9,30),Salary_Master!B6,""))),"")</f>
        <v/>
      </c>
      <c r="C6" s="304">
        <v>31</v>
      </c>
      <c r="D6" s="305" t="str">
        <f t="shared" ref="D6:D39" si="22">IF($J$1="Active",IF(B6="","",C6-SUM(E6:G6)-I6),"")</f>
        <v/>
      </c>
      <c r="E6" s="177"/>
      <c r="F6" s="177"/>
      <c r="G6" s="177"/>
      <c r="H6" s="305" t="str">
        <f t="shared" ref="H6:H39" si="23">IF(SUM(D6:G6)=0,"",SUM(D6:G6))</f>
        <v/>
      </c>
      <c r="I6" s="177"/>
      <c r="J6" s="177"/>
      <c r="K6" s="306" t="str">
        <f t="shared" ref="K6:K39" si="24">IF($J$1="Active",IF(B6="","",VLOOKUP(B6,Salary_Master,14,FALSE)),"")</f>
        <v/>
      </c>
      <c r="L6" s="306" t="str">
        <f t="shared" ref="L6:L39" si="25">IF($J$1="Active",IF(B6="","",VLOOKUP(B6,Salary_Master,15,FALSE)),"")</f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si="8"/>
        <v/>
      </c>
      <c r="T6" s="170" t="str">
        <f t="shared" si="9"/>
        <v/>
      </c>
      <c r="U6" s="170" t="str">
        <f t="shared" si="10"/>
        <v/>
      </c>
      <c r="V6" s="262">
        <f t="shared" ref="V6:V39" si="26">ROUND(SUM(N6:U6),0)</f>
        <v>0</v>
      </c>
      <c r="W6" s="160">
        <f t="shared" ref="W6:W39" si="27">IFERROR(ROUND(IF(K6="Yes",IF((V6-O6)&gt;15000,1800,SUM(V6-O6)*12%),),),"")</f>
        <v>0</v>
      </c>
      <c r="X6" s="160">
        <f t="shared" ref="X6:X39" si="28">IF(B6="Sagar Kadam",0,IF(B6="Rahul Jadhav",0,IF(W6="","",W6)))</f>
        <v>0</v>
      </c>
      <c r="Y6" s="160">
        <f t="shared" ref="Y6:Y39" si="29">ROUND(IF(L6="Yes",V6*0.75%,0),0)</f>
        <v>0</v>
      </c>
      <c r="Z6" s="160">
        <f t="shared" ref="Z6:Z39" si="30">IF(B6="Sagar Kadam",0,IF(B6="Rahul Jadhav",0,ROUND(IF(L6="Yes",V6*3.25%,0),0)))</f>
        <v>0</v>
      </c>
      <c r="AA6" s="160">
        <f t="shared" ref="AA6:AA39" si="31">IF(AE6="Female",IF(V6&gt;24999,200,0),IF(V6&gt;7500,200,0))</f>
        <v>0</v>
      </c>
      <c r="AB6" s="160">
        <f t="shared" ref="AB6:AB39" si="32">AM6</f>
        <v>0</v>
      </c>
      <c r="AC6" s="160">
        <f t="shared" ref="AC6:AC39" si="33">AN6</f>
        <v>0</v>
      </c>
      <c r="AD6" s="307">
        <f t="shared" ref="AD6:AD39" si="34">ROUND(V6-SUM(W6:AC6),0)</f>
        <v>0</v>
      </c>
      <c r="AE6" s="308" t="str">
        <f t="shared" ref="AE6:AE39" si="35">IF(B6="","",VLOOKUP(B6,Salary_Master,8,FALSE))</f>
        <v/>
      </c>
      <c r="AF6" s="258" t="str">
        <f t="shared" si="14"/>
        <v/>
      </c>
      <c r="AG6" s="258" t="str">
        <f t="shared" si="15"/>
        <v/>
      </c>
      <c r="AH6" s="258" t="str">
        <f t="shared" si="16"/>
        <v/>
      </c>
      <c r="AI6" s="290"/>
      <c r="AJ6" s="165" t="str">
        <f t="shared" si="17"/>
        <v/>
      </c>
      <c r="AK6" s="180" t="str">
        <f t="shared" si="18"/>
        <v/>
      </c>
      <c r="AM6" s="179"/>
      <c r="AN6" s="179"/>
      <c r="AP6" s="166" t="str">
        <f t="shared" si="19"/>
        <v/>
      </c>
      <c r="AQ6" s="166" t="str">
        <f t="shared" si="20"/>
        <v/>
      </c>
      <c r="AR6" s="166" t="str">
        <f t="shared" si="21"/>
        <v/>
      </c>
    </row>
    <row r="7" spans="1:46" s="162" customFormat="1" ht="25.2" customHeight="1" x14ac:dyDescent="0.3">
      <c r="A7" s="167">
        <v>3</v>
      </c>
      <c r="B7" s="304" t="str" cm="1">
        <f t="array" ref="B7">IF($J$1="Active",IF(Salary_Master!B7="","",_xlfn.IFS(Salary_Master!M7="Working",IF(Salary_Master!H7&lt;=DATE(2025,10,31),Salary_Master!B7,""),Salary_Master!M7="Left",IF(Salary_Master!N7&gt;DATE(2025,9,30),Salary_Master!B7,""))),"")</f>
        <v/>
      </c>
      <c r="C7" s="304">
        <v>31</v>
      </c>
      <c r="D7" s="305" t="str">
        <f t="shared" si="22"/>
        <v/>
      </c>
      <c r="E7" s="177"/>
      <c r="F7" s="177"/>
      <c r="G7" s="177"/>
      <c r="H7" s="305" t="str">
        <f t="shared" si="23"/>
        <v/>
      </c>
      <c r="I7" s="177"/>
      <c r="J7" s="177"/>
      <c r="K7" s="306" t="str">
        <f t="shared" si="24"/>
        <v/>
      </c>
      <c r="L7" s="306" t="str">
        <f t="shared" si="25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8"/>
        <v/>
      </c>
      <c r="T7" s="170" t="str">
        <f t="shared" si="9"/>
        <v/>
      </c>
      <c r="U7" s="170" t="str">
        <f t="shared" si="10"/>
        <v/>
      </c>
      <c r="V7" s="262">
        <f t="shared" si="26"/>
        <v>0</v>
      </c>
      <c r="W7" s="160">
        <f t="shared" si="27"/>
        <v>0</v>
      </c>
      <c r="X7" s="160">
        <f t="shared" si="28"/>
        <v>0</v>
      </c>
      <c r="Y7" s="160">
        <f t="shared" si="29"/>
        <v>0</v>
      </c>
      <c r="Z7" s="160">
        <f t="shared" si="30"/>
        <v>0</v>
      </c>
      <c r="AA7" s="160">
        <f t="shared" si="31"/>
        <v>0</v>
      </c>
      <c r="AB7" s="160">
        <f t="shared" si="32"/>
        <v>0</v>
      </c>
      <c r="AC7" s="160">
        <f t="shared" si="33"/>
        <v>0</v>
      </c>
      <c r="AD7" s="307">
        <f t="shared" si="34"/>
        <v>0</v>
      </c>
      <c r="AE7" s="308" t="str">
        <f t="shared" si="35"/>
        <v/>
      </c>
      <c r="AF7" s="258" t="str">
        <f t="shared" si="14"/>
        <v/>
      </c>
      <c r="AG7" s="258" t="str">
        <f t="shared" si="15"/>
        <v/>
      </c>
      <c r="AH7" s="258" t="str">
        <f t="shared" si="16"/>
        <v/>
      </c>
      <c r="AI7" s="290"/>
      <c r="AJ7" s="165" t="str">
        <f t="shared" si="17"/>
        <v/>
      </c>
      <c r="AK7" s="180" t="str">
        <f t="shared" si="18"/>
        <v/>
      </c>
      <c r="AM7" s="179"/>
      <c r="AN7" s="179"/>
      <c r="AP7" s="166" t="str">
        <f t="shared" si="19"/>
        <v/>
      </c>
      <c r="AQ7" s="166" t="str">
        <f t="shared" si="20"/>
        <v/>
      </c>
      <c r="AR7" s="166" t="str">
        <f t="shared" si="21"/>
        <v/>
      </c>
    </row>
    <row r="8" spans="1:46" s="162" customFormat="1" ht="25.2" customHeight="1" x14ac:dyDescent="0.3">
      <c r="A8" s="167">
        <v>4</v>
      </c>
      <c r="B8" s="304" t="str" cm="1">
        <f t="array" ref="B8">IF($J$1="Active",IF(Salary_Master!B8="","",_xlfn.IFS(Salary_Master!M8="Working",IF(Salary_Master!H8&lt;=DATE(2025,10,31),Salary_Master!B8,""),Salary_Master!M8="Left",IF(Salary_Master!N8&gt;DATE(2025,9,30),Salary_Master!B8,""))),"")</f>
        <v/>
      </c>
      <c r="C8" s="304">
        <v>31</v>
      </c>
      <c r="D8" s="305" t="str">
        <f t="shared" si="22"/>
        <v/>
      </c>
      <c r="E8" s="177"/>
      <c r="F8" s="177"/>
      <c r="G8" s="177"/>
      <c r="H8" s="305" t="str">
        <f t="shared" si="23"/>
        <v/>
      </c>
      <c r="I8" s="177"/>
      <c r="J8" s="177"/>
      <c r="K8" s="306" t="str">
        <f t="shared" si="24"/>
        <v/>
      </c>
      <c r="L8" s="306" t="str">
        <f t="shared" si="25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8"/>
        <v/>
      </c>
      <c r="T8" s="170" t="str">
        <f t="shared" si="9"/>
        <v/>
      </c>
      <c r="U8" s="170" t="str">
        <f t="shared" si="10"/>
        <v/>
      </c>
      <c r="V8" s="262">
        <f t="shared" si="26"/>
        <v>0</v>
      </c>
      <c r="W8" s="160">
        <f t="shared" si="27"/>
        <v>0</v>
      </c>
      <c r="X8" s="160">
        <f t="shared" si="28"/>
        <v>0</v>
      </c>
      <c r="Y8" s="160">
        <f t="shared" si="29"/>
        <v>0</v>
      </c>
      <c r="Z8" s="160">
        <f t="shared" si="30"/>
        <v>0</v>
      </c>
      <c r="AA8" s="160">
        <f t="shared" si="31"/>
        <v>0</v>
      </c>
      <c r="AB8" s="160">
        <f t="shared" si="32"/>
        <v>0</v>
      </c>
      <c r="AC8" s="160">
        <f t="shared" si="33"/>
        <v>0</v>
      </c>
      <c r="AD8" s="307">
        <f t="shared" si="34"/>
        <v>0</v>
      </c>
      <c r="AE8" s="308" t="str">
        <f t="shared" si="35"/>
        <v/>
      </c>
      <c r="AF8" s="258" t="str">
        <f t="shared" si="14"/>
        <v/>
      </c>
      <c r="AG8" s="258" t="str">
        <f t="shared" si="15"/>
        <v/>
      </c>
      <c r="AH8" s="258" t="str">
        <f t="shared" si="16"/>
        <v/>
      </c>
      <c r="AI8" s="290"/>
      <c r="AJ8" s="165" t="str">
        <f t="shared" si="17"/>
        <v/>
      </c>
      <c r="AK8" s="180" t="str">
        <f t="shared" si="18"/>
        <v/>
      </c>
      <c r="AM8" s="179"/>
      <c r="AN8" s="179"/>
      <c r="AP8" s="166" t="str">
        <f t="shared" si="19"/>
        <v/>
      </c>
      <c r="AQ8" s="166" t="str">
        <f t="shared" si="20"/>
        <v/>
      </c>
      <c r="AR8" s="166" t="str">
        <f t="shared" si="21"/>
        <v/>
      </c>
    </row>
    <row r="9" spans="1:46" s="162" customFormat="1" ht="25.2" customHeight="1" x14ac:dyDescent="0.3">
      <c r="A9" s="167">
        <v>5</v>
      </c>
      <c r="B9" s="304" t="str" cm="1">
        <f t="array" ref="B9">IF($J$1="Active",IF(Salary_Master!B9="","",_xlfn.IFS(Salary_Master!M9="Working",IF(Salary_Master!H9&lt;=DATE(2025,10,31),Salary_Master!B9,""),Salary_Master!M9="Left",IF(Salary_Master!N9&gt;DATE(2025,9,30),Salary_Master!B9,""))),"")</f>
        <v/>
      </c>
      <c r="C9" s="304">
        <v>31</v>
      </c>
      <c r="D9" s="305" t="str">
        <f t="shared" si="22"/>
        <v/>
      </c>
      <c r="E9" s="177"/>
      <c r="F9" s="177"/>
      <c r="G9" s="177"/>
      <c r="H9" s="305" t="str">
        <f t="shared" si="23"/>
        <v/>
      </c>
      <c r="I9" s="177"/>
      <c r="J9" s="177"/>
      <c r="K9" s="306" t="str">
        <f t="shared" si="24"/>
        <v/>
      </c>
      <c r="L9" s="306" t="str">
        <f t="shared" si="25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8"/>
        <v/>
      </c>
      <c r="T9" s="170" t="str">
        <f t="shared" si="9"/>
        <v/>
      </c>
      <c r="U9" s="170" t="str">
        <f t="shared" si="10"/>
        <v/>
      </c>
      <c r="V9" s="262">
        <f t="shared" si="26"/>
        <v>0</v>
      </c>
      <c r="W9" s="160">
        <f t="shared" si="27"/>
        <v>0</v>
      </c>
      <c r="X9" s="160">
        <f t="shared" si="28"/>
        <v>0</v>
      </c>
      <c r="Y9" s="160">
        <f t="shared" si="29"/>
        <v>0</v>
      </c>
      <c r="Z9" s="160">
        <f t="shared" si="30"/>
        <v>0</v>
      </c>
      <c r="AA9" s="160">
        <f t="shared" si="31"/>
        <v>0</v>
      </c>
      <c r="AB9" s="160">
        <f t="shared" si="32"/>
        <v>0</v>
      </c>
      <c r="AC9" s="160">
        <f t="shared" si="33"/>
        <v>0</v>
      </c>
      <c r="AD9" s="307">
        <f t="shared" si="34"/>
        <v>0</v>
      </c>
      <c r="AE9" s="308" t="str">
        <f t="shared" si="35"/>
        <v/>
      </c>
      <c r="AF9" s="258" t="str">
        <f t="shared" si="14"/>
        <v/>
      </c>
      <c r="AG9" s="258" t="str">
        <f t="shared" si="15"/>
        <v/>
      </c>
      <c r="AH9" s="258" t="str">
        <f t="shared" si="16"/>
        <v/>
      </c>
      <c r="AI9" s="290"/>
      <c r="AJ9" s="165" t="str">
        <f t="shared" si="17"/>
        <v/>
      </c>
      <c r="AK9" s="180" t="str">
        <f t="shared" si="18"/>
        <v/>
      </c>
      <c r="AM9" s="179"/>
      <c r="AN9" s="179"/>
      <c r="AP9" s="166" t="str">
        <f t="shared" si="19"/>
        <v/>
      </c>
      <c r="AQ9" s="166" t="str">
        <f t="shared" si="20"/>
        <v/>
      </c>
      <c r="AR9" s="166" t="str">
        <f t="shared" si="21"/>
        <v/>
      </c>
    </row>
    <row r="10" spans="1:46" s="162" customFormat="1" ht="25.2" customHeight="1" x14ac:dyDescent="0.3">
      <c r="A10" s="167">
        <v>6</v>
      </c>
      <c r="B10" s="304" t="str" cm="1">
        <f t="array" ref="B10">IF($J$1="Active",IF(Salary_Master!B10="","",_xlfn.IFS(Salary_Master!M10="Working",IF(Salary_Master!H10&lt;=DATE(2025,10,31),Salary_Master!B10,""),Salary_Master!M10="Left",IF(Salary_Master!N10&gt;DATE(2025,9,30),Salary_Master!B10,""))),"")</f>
        <v/>
      </c>
      <c r="C10" s="304">
        <v>31</v>
      </c>
      <c r="D10" s="305" t="str">
        <f t="shared" si="22"/>
        <v/>
      </c>
      <c r="E10" s="177"/>
      <c r="F10" s="177"/>
      <c r="G10" s="177"/>
      <c r="H10" s="305" t="str">
        <f t="shared" si="23"/>
        <v/>
      </c>
      <c r="I10" s="177"/>
      <c r="J10" s="177"/>
      <c r="K10" s="306" t="str">
        <f t="shared" si="24"/>
        <v/>
      </c>
      <c r="L10" s="306" t="str">
        <f t="shared" si="25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8"/>
        <v/>
      </c>
      <c r="T10" s="170" t="str">
        <f t="shared" si="9"/>
        <v/>
      </c>
      <c r="U10" s="170" t="str">
        <f t="shared" si="10"/>
        <v/>
      </c>
      <c r="V10" s="262">
        <f t="shared" si="26"/>
        <v>0</v>
      </c>
      <c r="W10" s="160">
        <f t="shared" si="27"/>
        <v>0</v>
      </c>
      <c r="X10" s="160">
        <f t="shared" si="28"/>
        <v>0</v>
      </c>
      <c r="Y10" s="160">
        <f t="shared" si="29"/>
        <v>0</v>
      </c>
      <c r="Z10" s="160">
        <f t="shared" si="30"/>
        <v>0</v>
      </c>
      <c r="AA10" s="160">
        <f t="shared" si="31"/>
        <v>0</v>
      </c>
      <c r="AB10" s="160">
        <f t="shared" si="32"/>
        <v>0</v>
      </c>
      <c r="AC10" s="160">
        <f t="shared" si="33"/>
        <v>0</v>
      </c>
      <c r="AD10" s="307">
        <f t="shared" si="34"/>
        <v>0</v>
      </c>
      <c r="AE10" s="308" t="str">
        <f t="shared" si="35"/>
        <v/>
      </c>
      <c r="AF10" s="258" t="str">
        <f t="shared" si="14"/>
        <v/>
      </c>
      <c r="AG10" s="258" t="str">
        <f t="shared" si="15"/>
        <v/>
      </c>
      <c r="AH10" s="258" t="str">
        <f t="shared" si="16"/>
        <v/>
      </c>
      <c r="AI10" s="290"/>
      <c r="AJ10" s="165" t="str">
        <f t="shared" si="17"/>
        <v/>
      </c>
      <c r="AK10" s="180" t="str">
        <f t="shared" si="18"/>
        <v/>
      </c>
      <c r="AM10" s="179"/>
      <c r="AN10" s="179"/>
      <c r="AP10" s="166" t="str">
        <f t="shared" si="19"/>
        <v/>
      </c>
      <c r="AQ10" s="166" t="str">
        <f t="shared" si="20"/>
        <v/>
      </c>
      <c r="AR10" s="166" t="str">
        <f t="shared" si="21"/>
        <v/>
      </c>
    </row>
    <row r="11" spans="1:46" s="162" customFormat="1" ht="25.2" customHeight="1" x14ac:dyDescent="0.3">
      <c r="A11" s="167">
        <v>7</v>
      </c>
      <c r="B11" s="304" t="str" cm="1">
        <f t="array" ref="B11">IF($J$1="Active",IF(Salary_Master!B11="","",_xlfn.IFS(Salary_Master!M11="Working",IF(Salary_Master!H11&lt;=DATE(2025,10,31),Salary_Master!B11,""),Salary_Master!M11="Left",IF(Salary_Master!N11&gt;DATE(2025,9,30),Salary_Master!B11,""))),"")</f>
        <v/>
      </c>
      <c r="C11" s="304">
        <v>31</v>
      </c>
      <c r="D11" s="305" t="str">
        <f t="shared" si="22"/>
        <v/>
      </c>
      <c r="E11" s="177"/>
      <c r="F11" s="177"/>
      <c r="G11" s="177"/>
      <c r="H11" s="305" t="str">
        <f t="shared" si="23"/>
        <v/>
      </c>
      <c r="I11" s="177"/>
      <c r="J11" s="177"/>
      <c r="K11" s="306" t="str">
        <f t="shared" si="24"/>
        <v/>
      </c>
      <c r="L11" s="306" t="str">
        <f t="shared" si="25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8"/>
        <v/>
      </c>
      <c r="T11" s="170" t="str">
        <f t="shared" si="9"/>
        <v/>
      </c>
      <c r="U11" s="170" t="str">
        <f t="shared" si="10"/>
        <v/>
      </c>
      <c r="V11" s="262">
        <f t="shared" si="26"/>
        <v>0</v>
      </c>
      <c r="W11" s="160">
        <f t="shared" si="27"/>
        <v>0</v>
      </c>
      <c r="X11" s="160">
        <f t="shared" si="28"/>
        <v>0</v>
      </c>
      <c r="Y11" s="160">
        <f t="shared" si="29"/>
        <v>0</v>
      </c>
      <c r="Z11" s="160">
        <f t="shared" si="30"/>
        <v>0</v>
      </c>
      <c r="AA11" s="160">
        <f t="shared" si="31"/>
        <v>0</v>
      </c>
      <c r="AB11" s="160">
        <f t="shared" si="32"/>
        <v>0</v>
      </c>
      <c r="AC11" s="160">
        <f t="shared" si="33"/>
        <v>0</v>
      </c>
      <c r="AD11" s="307">
        <f t="shared" si="34"/>
        <v>0</v>
      </c>
      <c r="AE11" s="308" t="str">
        <f t="shared" si="35"/>
        <v/>
      </c>
      <c r="AF11" s="258" t="str">
        <f t="shared" si="14"/>
        <v/>
      </c>
      <c r="AG11" s="258" t="str">
        <f t="shared" si="15"/>
        <v/>
      </c>
      <c r="AH11" s="258" t="str">
        <f t="shared" si="16"/>
        <v/>
      </c>
      <c r="AI11" s="290"/>
      <c r="AJ11" s="165" t="str">
        <f t="shared" si="17"/>
        <v/>
      </c>
      <c r="AK11" s="180" t="str">
        <f t="shared" si="18"/>
        <v/>
      </c>
      <c r="AM11" s="179"/>
      <c r="AN11" s="179"/>
      <c r="AP11" s="166" t="str">
        <f t="shared" si="19"/>
        <v/>
      </c>
      <c r="AQ11" s="166" t="str">
        <f t="shared" si="20"/>
        <v/>
      </c>
      <c r="AR11" s="166" t="str">
        <f t="shared" si="21"/>
        <v/>
      </c>
    </row>
    <row r="12" spans="1:46" s="173" customFormat="1" ht="25.2" customHeight="1" x14ac:dyDescent="0.3">
      <c r="A12" s="172">
        <v>8</v>
      </c>
      <c r="B12" s="304" t="str" cm="1">
        <f t="array" ref="B12">IF($J$1="Active",IF(Salary_Master!B12="","",_xlfn.IFS(Salary_Master!M12="Working",IF(Salary_Master!H12&lt;=DATE(2025,10,31),Salary_Master!B12,""),Salary_Master!M12="Left",IF(Salary_Master!N12&gt;DATE(2025,9,30),Salary_Master!B12,""))),"")</f>
        <v/>
      </c>
      <c r="C12" s="304">
        <v>31</v>
      </c>
      <c r="D12" s="305" t="str">
        <f t="shared" si="22"/>
        <v/>
      </c>
      <c r="E12" s="177"/>
      <c r="F12" s="177"/>
      <c r="G12" s="177"/>
      <c r="H12" s="305" t="str">
        <f t="shared" si="23"/>
        <v/>
      </c>
      <c r="I12" s="177"/>
      <c r="J12" s="177"/>
      <c r="K12" s="306" t="str">
        <f t="shared" si="24"/>
        <v/>
      </c>
      <c r="L12" s="306" t="str">
        <f t="shared" si="25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8"/>
        <v/>
      </c>
      <c r="T12" s="170" t="str">
        <f t="shared" si="9"/>
        <v/>
      </c>
      <c r="U12" s="170" t="str">
        <f t="shared" si="10"/>
        <v/>
      </c>
      <c r="V12" s="262">
        <f t="shared" si="26"/>
        <v>0</v>
      </c>
      <c r="W12" s="160">
        <f t="shared" si="27"/>
        <v>0</v>
      </c>
      <c r="X12" s="160">
        <f t="shared" si="28"/>
        <v>0</v>
      </c>
      <c r="Y12" s="160">
        <f t="shared" si="29"/>
        <v>0</v>
      </c>
      <c r="Z12" s="160">
        <f t="shared" si="30"/>
        <v>0</v>
      </c>
      <c r="AA12" s="160">
        <f t="shared" si="31"/>
        <v>0</v>
      </c>
      <c r="AB12" s="160">
        <f t="shared" si="32"/>
        <v>0</v>
      </c>
      <c r="AC12" s="160">
        <f t="shared" si="33"/>
        <v>0</v>
      </c>
      <c r="AD12" s="307">
        <f t="shared" si="34"/>
        <v>0</v>
      </c>
      <c r="AE12" s="308" t="str">
        <f t="shared" si="35"/>
        <v/>
      </c>
      <c r="AF12" s="258" t="str">
        <f t="shared" si="14"/>
        <v/>
      </c>
      <c r="AG12" s="258" t="str">
        <f t="shared" si="15"/>
        <v/>
      </c>
      <c r="AH12" s="258" t="str">
        <f t="shared" si="16"/>
        <v/>
      </c>
      <c r="AI12" s="290"/>
      <c r="AJ12" s="165" t="str">
        <f t="shared" si="17"/>
        <v/>
      </c>
      <c r="AK12" s="180" t="str">
        <f t="shared" si="18"/>
        <v/>
      </c>
      <c r="AM12" s="179"/>
      <c r="AN12" s="179"/>
      <c r="AP12" s="166" t="str">
        <f t="shared" si="19"/>
        <v/>
      </c>
      <c r="AQ12" s="166" t="str">
        <f t="shared" si="20"/>
        <v/>
      </c>
      <c r="AR12" s="166" t="str">
        <f t="shared" si="21"/>
        <v/>
      </c>
      <c r="AT12" s="162"/>
    </row>
    <row r="13" spans="1:46" s="173" customFormat="1" ht="25.2" customHeight="1" x14ac:dyDescent="0.3">
      <c r="A13" s="172">
        <v>9</v>
      </c>
      <c r="B13" s="304" t="str" cm="1">
        <f t="array" ref="B13">IF($J$1="Active",IF(Salary_Master!B13="","",_xlfn.IFS(Salary_Master!M13="Working",IF(Salary_Master!H13&lt;=DATE(2025,10,31),Salary_Master!B13,""),Salary_Master!M13="Left",IF(Salary_Master!N13&gt;DATE(2025,9,30),Salary_Master!B13,""))),"")</f>
        <v/>
      </c>
      <c r="C13" s="304">
        <v>31</v>
      </c>
      <c r="D13" s="305" t="str">
        <f t="shared" si="22"/>
        <v/>
      </c>
      <c r="E13" s="177"/>
      <c r="F13" s="177"/>
      <c r="G13" s="177"/>
      <c r="H13" s="305" t="str">
        <f t="shared" si="23"/>
        <v/>
      </c>
      <c r="I13" s="177"/>
      <c r="J13" s="177"/>
      <c r="K13" s="306" t="str">
        <f t="shared" si="24"/>
        <v/>
      </c>
      <c r="L13" s="306" t="str">
        <f t="shared" si="25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8"/>
        <v/>
      </c>
      <c r="T13" s="170" t="str">
        <f t="shared" si="9"/>
        <v/>
      </c>
      <c r="U13" s="170" t="str">
        <f t="shared" si="10"/>
        <v/>
      </c>
      <c r="V13" s="262">
        <f t="shared" si="26"/>
        <v>0</v>
      </c>
      <c r="W13" s="160">
        <f t="shared" si="27"/>
        <v>0</v>
      </c>
      <c r="X13" s="160">
        <f t="shared" si="28"/>
        <v>0</v>
      </c>
      <c r="Y13" s="160">
        <f t="shared" si="29"/>
        <v>0</v>
      </c>
      <c r="Z13" s="160">
        <f t="shared" si="30"/>
        <v>0</v>
      </c>
      <c r="AA13" s="160">
        <f t="shared" si="31"/>
        <v>0</v>
      </c>
      <c r="AB13" s="160">
        <f t="shared" si="32"/>
        <v>0</v>
      </c>
      <c r="AC13" s="160">
        <f t="shared" si="33"/>
        <v>0</v>
      </c>
      <c r="AD13" s="307">
        <f t="shared" si="34"/>
        <v>0</v>
      </c>
      <c r="AE13" s="308" t="str">
        <f t="shared" si="35"/>
        <v/>
      </c>
      <c r="AF13" s="258" t="str">
        <f t="shared" si="14"/>
        <v/>
      </c>
      <c r="AG13" s="258" t="str">
        <f t="shared" si="15"/>
        <v/>
      </c>
      <c r="AH13" s="258" t="str">
        <f t="shared" si="16"/>
        <v/>
      </c>
      <c r="AI13" s="290"/>
      <c r="AJ13" s="165" t="str">
        <f t="shared" si="17"/>
        <v/>
      </c>
      <c r="AK13" s="180" t="str">
        <f t="shared" si="18"/>
        <v/>
      </c>
      <c r="AM13" s="179"/>
      <c r="AN13" s="179"/>
      <c r="AP13" s="166" t="str">
        <f t="shared" si="19"/>
        <v/>
      </c>
      <c r="AQ13" s="166" t="str">
        <f t="shared" si="20"/>
        <v/>
      </c>
      <c r="AR13" s="166" t="str">
        <f t="shared" si="21"/>
        <v/>
      </c>
      <c r="AT13" s="162"/>
    </row>
    <row r="14" spans="1:46" s="162" customFormat="1" ht="25.2" customHeight="1" x14ac:dyDescent="0.3">
      <c r="A14" s="167">
        <v>10</v>
      </c>
      <c r="B14" s="304" t="str" cm="1">
        <f t="array" ref="B14">IF($J$1="Active",IF(Salary_Master!B14="","",_xlfn.IFS(Salary_Master!M14="Working",IF(Salary_Master!H14&lt;=DATE(2025,10,31),Salary_Master!B14,""),Salary_Master!M14="Left",IF(Salary_Master!N14&gt;DATE(2025,9,30),Salary_Master!B14,""))),"")</f>
        <v/>
      </c>
      <c r="C14" s="304">
        <v>31</v>
      </c>
      <c r="D14" s="305" t="str">
        <f t="shared" si="22"/>
        <v/>
      </c>
      <c r="E14" s="177"/>
      <c r="F14" s="177"/>
      <c r="G14" s="177"/>
      <c r="H14" s="305" t="str">
        <f t="shared" si="23"/>
        <v/>
      </c>
      <c r="I14" s="177"/>
      <c r="J14" s="177"/>
      <c r="K14" s="306" t="str">
        <f t="shared" si="24"/>
        <v/>
      </c>
      <c r="L14" s="306" t="str">
        <f t="shared" si="25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8"/>
        <v/>
      </c>
      <c r="T14" s="170" t="str">
        <f t="shared" si="9"/>
        <v/>
      </c>
      <c r="U14" s="170" t="str">
        <f t="shared" si="10"/>
        <v/>
      </c>
      <c r="V14" s="262">
        <f t="shared" si="26"/>
        <v>0</v>
      </c>
      <c r="W14" s="160">
        <f t="shared" si="27"/>
        <v>0</v>
      </c>
      <c r="X14" s="160">
        <f t="shared" si="28"/>
        <v>0</v>
      </c>
      <c r="Y14" s="160">
        <f t="shared" si="29"/>
        <v>0</v>
      </c>
      <c r="Z14" s="160">
        <f t="shared" si="30"/>
        <v>0</v>
      </c>
      <c r="AA14" s="160">
        <f t="shared" si="31"/>
        <v>0</v>
      </c>
      <c r="AB14" s="160">
        <f t="shared" si="32"/>
        <v>0</v>
      </c>
      <c r="AC14" s="160">
        <f t="shared" si="33"/>
        <v>0</v>
      </c>
      <c r="AD14" s="307">
        <f t="shared" si="34"/>
        <v>0</v>
      </c>
      <c r="AE14" s="308" t="str">
        <f t="shared" si="35"/>
        <v/>
      </c>
      <c r="AF14" s="258" t="str">
        <f t="shared" si="14"/>
        <v/>
      </c>
      <c r="AG14" s="258" t="str">
        <f t="shared" si="15"/>
        <v/>
      </c>
      <c r="AH14" s="258" t="str">
        <f t="shared" si="16"/>
        <v/>
      </c>
      <c r="AI14" s="290"/>
      <c r="AJ14" s="165" t="str">
        <f t="shared" si="17"/>
        <v/>
      </c>
      <c r="AK14" s="180" t="str">
        <f t="shared" si="18"/>
        <v/>
      </c>
      <c r="AM14" s="179"/>
      <c r="AN14" s="179"/>
      <c r="AP14" s="166" t="str">
        <f t="shared" si="19"/>
        <v/>
      </c>
      <c r="AQ14" s="166" t="str">
        <f t="shared" si="20"/>
        <v/>
      </c>
      <c r="AR14" s="166" t="str">
        <f t="shared" si="21"/>
        <v/>
      </c>
    </row>
    <row r="15" spans="1:46" s="162" customFormat="1" ht="25.2" customHeight="1" x14ac:dyDescent="0.3">
      <c r="A15" s="167">
        <v>11</v>
      </c>
      <c r="B15" s="304" t="str" cm="1">
        <f t="array" ref="B15">IF($J$1="Active",IF(Salary_Master!B15="","",_xlfn.IFS(Salary_Master!M15="Working",IF(Salary_Master!H15&lt;=DATE(2025,10,31),Salary_Master!B15,""),Salary_Master!M15="Left",IF(Salary_Master!N15&gt;DATE(2025,9,30),Salary_Master!B15,""))),"")</f>
        <v/>
      </c>
      <c r="C15" s="304">
        <v>31</v>
      </c>
      <c r="D15" s="305" t="str">
        <f t="shared" si="22"/>
        <v/>
      </c>
      <c r="E15" s="177"/>
      <c r="F15" s="177"/>
      <c r="G15" s="177"/>
      <c r="H15" s="305" t="str">
        <f t="shared" si="23"/>
        <v/>
      </c>
      <c r="I15" s="177"/>
      <c r="J15" s="177"/>
      <c r="K15" s="306" t="str">
        <f t="shared" si="24"/>
        <v/>
      </c>
      <c r="L15" s="306" t="str">
        <f t="shared" si="25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8"/>
        <v/>
      </c>
      <c r="T15" s="170" t="str">
        <f t="shared" si="9"/>
        <v/>
      </c>
      <c r="U15" s="170" t="str">
        <f t="shared" si="10"/>
        <v/>
      </c>
      <c r="V15" s="262">
        <f t="shared" si="26"/>
        <v>0</v>
      </c>
      <c r="W15" s="160">
        <f t="shared" si="27"/>
        <v>0</v>
      </c>
      <c r="X15" s="160">
        <f t="shared" si="28"/>
        <v>0</v>
      </c>
      <c r="Y15" s="160">
        <f t="shared" si="29"/>
        <v>0</v>
      </c>
      <c r="Z15" s="160">
        <f t="shared" si="30"/>
        <v>0</v>
      </c>
      <c r="AA15" s="160">
        <f t="shared" si="31"/>
        <v>0</v>
      </c>
      <c r="AB15" s="160">
        <f t="shared" si="32"/>
        <v>0</v>
      </c>
      <c r="AC15" s="160">
        <f t="shared" si="33"/>
        <v>0</v>
      </c>
      <c r="AD15" s="307">
        <f t="shared" si="34"/>
        <v>0</v>
      </c>
      <c r="AE15" s="308" t="str">
        <f t="shared" si="35"/>
        <v/>
      </c>
      <c r="AF15" s="258" t="str">
        <f t="shared" si="14"/>
        <v/>
      </c>
      <c r="AG15" s="258" t="str">
        <f t="shared" si="15"/>
        <v/>
      </c>
      <c r="AH15" s="258" t="str">
        <f t="shared" si="16"/>
        <v/>
      </c>
      <c r="AI15" s="290"/>
      <c r="AJ15" s="165" t="str">
        <f t="shared" si="17"/>
        <v/>
      </c>
      <c r="AK15" s="180" t="str">
        <f t="shared" si="18"/>
        <v/>
      </c>
      <c r="AM15" s="179"/>
      <c r="AN15" s="179"/>
      <c r="AP15" s="166" t="str">
        <f t="shared" si="19"/>
        <v/>
      </c>
      <c r="AQ15" s="166" t="str">
        <f t="shared" si="20"/>
        <v/>
      </c>
      <c r="AR15" s="166" t="str">
        <f t="shared" si="21"/>
        <v/>
      </c>
    </row>
    <row r="16" spans="1:46" s="162" customFormat="1" ht="25.2" customHeight="1" x14ac:dyDescent="0.3">
      <c r="A16" s="167">
        <v>12</v>
      </c>
      <c r="B16" s="304" t="str" cm="1">
        <f t="array" ref="B16">IF($J$1="Active",IF(Salary_Master!B16="","",_xlfn.IFS(Salary_Master!M16="Working",IF(Salary_Master!H16&lt;=DATE(2025,10,31),Salary_Master!B16,""),Salary_Master!M16="Left",IF(Salary_Master!N16&gt;DATE(2025,9,30),Salary_Master!B16,""))),"")</f>
        <v/>
      </c>
      <c r="C16" s="304">
        <v>31</v>
      </c>
      <c r="D16" s="305" t="str">
        <f t="shared" si="22"/>
        <v/>
      </c>
      <c r="E16" s="177"/>
      <c r="F16" s="177"/>
      <c r="G16" s="177"/>
      <c r="H16" s="305" t="str">
        <f t="shared" si="23"/>
        <v/>
      </c>
      <c r="I16" s="177"/>
      <c r="J16" s="177"/>
      <c r="K16" s="306" t="str">
        <f t="shared" si="24"/>
        <v/>
      </c>
      <c r="L16" s="306" t="str">
        <f t="shared" si="25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8"/>
        <v/>
      </c>
      <c r="T16" s="170" t="str">
        <f t="shared" si="9"/>
        <v/>
      </c>
      <c r="U16" s="170" t="str">
        <f t="shared" si="10"/>
        <v/>
      </c>
      <c r="V16" s="262">
        <f t="shared" si="26"/>
        <v>0</v>
      </c>
      <c r="W16" s="160">
        <f t="shared" si="27"/>
        <v>0</v>
      </c>
      <c r="X16" s="160">
        <f t="shared" si="28"/>
        <v>0</v>
      </c>
      <c r="Y16" s="160">
        <f t="shared" si="29"/>
        <v>0</v>
      </c>
      <c r="Z16" s="160">
        <f t="shared" si="30"/>
        <v>0</v>
      </c>
      <c r="AA16" s="160">
        <f t="shared" si="31"/>
        <v>0</v>
      </c>
      <c r="AB16" s="160">
        <f t="shared" si="32"/>
        <v>0</v>
      </c>
      <c r="AC16" s="160">
        <f t="shared" si="33"/>
        <v>0</v>
      </c>
      <c r="AD16" s="307">
        <f t="shared" si="34"/>
        <v>0</v>
      </c>
      <c r="AE16" s="308" t="str">
        <f t="shared" si="35"/>
        <v/>
      </c>
      <c r="AF16" s="258" t="str">
        <f t="shared" si="14"/>
        <v/>
      </c>
      <c r="AG16" s="258" t="str">
        <f t="shared" si="15"/>
        <v/>
      </c>
      <c r="AH16" s="258" t="str">
        <f t="shared" si="16"/>
        <v/>
      </c>
      <c r="AI16" s="290"/>
      <c r="AJ16" s="165" t="str">
        <f t="shared" si="17"/>
        <v/>
      </c>
      <c r="AK16" s="180" t="str">
        <f t="shared" si="18"/>
        <v/>
      </c>
      <c r="AM16" s="179"/>
      <c r="AN16" s="179"/>
      <c r="AP16" s="166" t="str">
        <f t="shared" si="19"/>
        <v/>
      </c>
      <c r="AQ16" s="166" t="str">
        <f t="shared" si="20"/>
        <v/>
      </c>
      <c r="AR16" s="166" t="str">
        <f t="shared" si="21"/>
        <v/>
      </c>
    </row>
    <row r="17" spans="1:46" s="162" customFormat="1" ht="25.2" customHeight="1" x14ac:dyDescent="0.3">
      <c r="A17" s="172">
        <v>13</v>
      </c>
      <c r="B17" s="304" t="str" cm="1">
        <f t="array" ref="B17">IF($J$1="Active",IF(Salary_Master!B17="","",_xlfn.IFS(Salary_Master!M17="Working",IF(Salary_Master!H17&lt;=DATE(2025,10,31),Salary_Master!B17,""),Salary_Master!M17="Left",IF(Salary_Master!N17&gt;DATE(2025,9,30),Salary_Master!B17,""))),"")</f>
        <v/>
      </c>
      <c r="C17" s="304">
        <v>31</v>
      </c>
      <c r="D17" s="305" t="str">
        <f t="shared" si="22"/>
        <v/>
      </c>
      <c r="E17" s="177"/>
      <c r="F17" s="177"/>
      <c r="G17" s="177"/>
      <c r="H17" s="305" t="str">
        <f t="shared" si="23"/>
        <v/>
      </c>
      <c r="I17" s="177"/>
      <c r="J17" s="177"/>
      <c r="K17" s="306" t="str">
        <f t="shared" si="24"/>
        <v/>
      </c>
      <c r="L17" s="306" t="str">
        <f t="shared" si="25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8"/>
        <v/>
      </c>
      <c r="T17" s="170" t="str">
        <f t="shared" si="9"/>
        <v/>
      </c>
      <c r="U17" s="170" t="str">
        <f t="shared" si="10"/>
        <v/>
      </c>
      <c r="V17" s="262">
        <f t="shared" si="26"/>
        <v>0</v>
      </c>
      <c r="W17" s="160">
        <f t="shared" si="27"/>
        <v>0</v>
      </c>
      <c r="X17" s="160">
        <f t="shared" si="28"/>
        <v>0</v>
      </c>
      <c r="Y17" s="160">
        <f t="shared" si="29"/>
        <v>0</v>
      </c>
      <c r="Z17" s="160">
        <f t="shared" si="30"/>
        <v>0</v>
      </c>
      <c r="AA17" s="160">
        <f t="shared" si="31"/>
        <v>0</v>
      </c>
      <c r="AB17" s="160">
        <f t="shared" si="32"/>
        <v>0</v>
      </c>
      <c r="AC17" s="160">
        <f t="shared" si="33"/>
        <v>0</v>
      </c>
      <c r="AD17" s="307">
        <f t="shared" si="34"/>
        <v>0</v>
      </c>
      <c r="AE17" s="308" t="str">
        <f t="shared" si="35"/>
        <v/>
      </c>
      <c r="AF17" s="258" t="str">
        <f t="shared" si="14"/>
        <v/>
      </c>
      <c r="AG17" s="258" t="str">
        <f t="shared" si="15"/>
        <v/>
      </c>
      <c r="AH17" s="258" t="str">
        <f t="shared" si="16"/>
        <v/>
      </c>
      <c r="AI17" s="290"/>
      <c r="AJ17" s="165" t="str">
        <f t="shared" si="17"/>
        <v/>
      </c>
      <c r="AK17" s="180" t="str">
        <f t="shared" si="18"/>
        <v/>
      </c>
      <c r="AM17" s="179"/>
      <c r="AN17" s="179"/>
      <c r="AP17" s="166" t="str">
        <f t="shared" si="19"/>
        <v/>
      </c>
      <c r="AQ17" s="166" t="str">
        <f t="shared" si="20"/>
        <v/>
      </c>
      <c r="AR17" s="166" t="str">
        <f t="shared" si="21"/>
        <v/>
      </c>
    </row>
    <row r="18" spans="1:46" s="173" customFormat="1" ht="25.2" customHeight="1" x14ac:dyDescent="0.3">
      <c r="A18" s="167">
        <v>14</v>
      </c>
      <c r="B18" s="304" t="str" cm="1">
        <f t="array" ref="B18">IF($J$1="Active",IF(Salary_Master!B18="","",_xlfn.IFS(Salary_Master!M18="Working",IF(Salary_Master!H18&lt;=DATE(2025,10,31),Salary_Master!B18,""),Salary_Master!M18="Left",IF(Salary_Master!N18&gt;DATE(2025,9,30),Salary_Master!B18,""))),"")</f>
        <v/>
      </c>
      <c r="C18" s="304">
        <v>31</v>
      </c>
      <c r="D18" s="305" t="str">
        <f t="shared" si="22"/>
        <v/>
      </c>
      <c r="E18" s="177"/>
      <c r="F18" s="177"/>
      <c r="G18" s="177"/>
      <c r="H18" s="305" t="str">
        <f t="shared" si="23"/>
        <v/>
      </c>
      <c r="I18" s="177"/>
      <c r="J18" s="177"/>
      <c r="K18" s="306" t="str">
        <f t="shared" si="24"/>
        <v/>
      </c>
      <c r="L18" s="306" t="str">
        <f t="shared" si="25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8"/>
        <v/>
      </c>
      <c r="T18" s="170" t="str">
        <f t="shared" si="9"/>
        <v/>
      </c>
      <c r="U18" s="170" t="str">
        <f t="shared" si="10"/>
        <v/>
      </c>
      <c r="V18" s="262">
        <f t="shared" si="26"/>
        <v>0</v>
      </c>
      <c r="W18" s="160">
        <f t="shared" si="27"/>
        <v>0</v>
      </c>
      <c r="X18" s="160">
        <f t="shared" si="28"/>
        <v>0</v>
      </c>
      <c r="Y18" s="160">
        <f t="shared" si="29"/>
        <v>0</v>
      </c>
      <c r="Z18" s="160">
        <f t="shared" si="30"/>
        <v>0</v>
      </c>
      <c r="AA18" s="160">
        <f t="shared" si="31"/>
        <v>0</v>
      </c>
      <c r="AB18" s="160">
        <f t="shared" si="32"/>
        <v>0</v>
      </c>
      <c r="AC18" s="160">
        <f t="shared" si="33"/>
        <v>0</v>
      </c>
      <c r="AD18" s="307">
        <f t="shared" si="34"/>
        <v>0</v>
      </c>
      <c r="AE18" s="308" t="str">
        <f t="shared" si="35"/>
        <v/>
      </c>
      <c r="AF18" s="258" t="str">
        <f t="shared" si="14"/>
        <v/>
      </c>
      <c r="AG18" s="258" t="str">
        <f t="shared" si="15"/>
        <v/>
      </c>
      <c r="AH18" s="258" t="str">
        <f t="shared" si="16"/>
        <v/>
      </c>
      <c r="AI18" s="290"/>
      <c r="AJ18" s="165" t="str">
        <f t="shared" si="17"/>
        <v/>
      </c>
      <c r="AK18" s="180" t="str">
        <f t="shared" si="18"/>
        <v/>
      </c>
      <c r="AM18" s="179"/>
      <c r="AN18" s="179"/>
      <c r="AP18" s="166" t="str">
        <f t="shared" si="19"/>
        <v/>
      </c>
      <c r="AQ18" s="166" t="str">
        <f t="shared" si="20"/>
        <v/>
      </c>
      <c r="AR18" s="166" t="str">
        <f t="shared" si="21"/>
        <v/>
      </c>
      <c r="AT18" s="162"/>
    </row>
    <row r="19" spans="1:46" s="162" customFormat="1" ht="25.2" customHeight="1" x14ac:dyDescent="0.3">
      <c r="A19" s="167">
        <v>15</v>
      </c>
      <c r="B19" s="304" t="str" cm="1">
        <f t="array" ref="B19">IF($J$1="Active",IF(Salary_Master!B19="","",_xlfn.IFS(Salary_Master!M19="Working",IF(Salary_Master!H19&lt;=DATE(2025,10,31),Salary_Master!B19,""),Salary_Master!M19="Left",IF(Salary_Master!N19&gt;DATE(2025,9,30),Salary_Master!B19,""))),"")</f>
        <v/>
      </c>
      <c r="C19" s="304">
        <v>31</v>
      </c>
      <c r="D19" s="305" t="str">
        <f t="shared" si="22"/>
        <v/>
      </c>
      <c r="E19" s="177"/>
      <c r="F19" s="177"/>
      <c r="G19" s="177"/>
      <c r="H19" s="305" t="str">
        <f t="shared" si="23"/>
        <v/>
      </c>
      <c r="I19" s="177"/>
      <c r="J19" s="177"/>
      <c r="K19" s="306" t="str">
        <f t="shared" si="24"/>
        <v/>
      </c>
      <c r="L19" s="306" t="str">
        <f t="shared" si="25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8"/>
        <v/>
      </c>
      <c r="T19" s="170" t="str">
        <f t="shared" si="9"/>
        <v/>
      </c>
      <c r="U19" s="170" t="str">
        <f t="shared" si="10"/>
        <v/>
      </c>
      <c r="V19" s="262">
        <f t="shared" si="26"/>
        <v>0</v>
      </c>
      <c r="W19" s="160">
        <f t="shared" si="27"/>
        <v>0</v>
      </c>
      <c r="X19" s="160">
        <f t="shared" si="28"/>
        <v>0</v>
      </c>
      <c r="Y19" s="160">
        <f t="shared" si="29"/>
        <v>0</v>
      </c>
      <c r="Z19" s="160">
        <f t="shared" si="30"/>
        <v>0</v>
      </c>
      <c r="AA19" s="160">
        <f t="shared" si="31"/>
        <v>0</v>
      </c>
      <c r="AB19" s="160">
        <f t="shared" si="32"/>
        <v>0</v>
      </c>
      <c r="AC19" s="160">
        <f t="shared" si="33"/>
        <v>0</v>
      </c>
      <c r="AD19" s="307">
        <f t="shared" si="34"/>
        <v>0</v>
      </c>
      <c r="AE19" s="308" t="str">
        <f t="shared" si="35"/>
        <v/>
      </c>
      <c r="AF19" s="258" t="str">
        <f t="shared" si="14"/>
        <v/>
      </c>
      <c r="AG19" s="258" t="str">
        <f t="shared" si="15"/>
        <v/>
      </c>
      <c r="AH19" s="258" t="str">
        <f t="shared" si="16"/>
        <v/>
      </c>
      <c r="AI19" s="290"/>
      <c r="AJ19" s="165" t="str">
        <f t="shared" si="17"/>
        <v/>
      </c>
      <c r="AK19" s="180" t="str">
        <f t="shared" si="18"/>
        <v/>
      </c>
      <c r="AM19" s="179"/>
      <c r="AN19" s="179"/>
      <c r="AP19" s="166" t="str">
        <f t="shared" si="19"/>
        <v/>
      </c>
      <c r="AQ19" s="166" t="str">
        <f t="shared" si="20"/>
        <v/>
      </c>
      <c r="AR19" s="166" t="str">
        <f t="shared" si="21"/>
        <v/>
      </c>
    </row>
    <row r="20" spans="1:46" s="162" customFormat="1" ht="25.2" customHeight="1" x14ac:dyDescent="0.3">
      <c r="A20" s="167">
        <v>16</v>
      </c>
      <c r="B20" s="304" t="str" cm="1">
        <f t="array" ref="B20">IF($J$1="Active",IF(Salary_Master!B20="","",_xlfn.IFS(Salary_Master!M20="Working",IF(Salary_Master!H20&lt;=DATE(2025,10,31),Salary_Master!B20,""),Salary_Master!M20="Left",IF(Salary_Master!N20&gt;DATE(2025,9,30),Salary_Master!B20,""))),"")</f>
        <v/>
      </c>
      <c r="C20" s="304">
        <v>31</v>
      </c>
      <c r="D20" s="305" t="str">
        <f t="shared" si="22"/>
        <v/>
      </c>
      <c r="E20" s="177"/>
      <c r="F20" s="177"/>
      <c r="G20" s="177"/>
      <c r="H20" s="305" t="str">
        <f t="shared" si="23"/>
        <v/>
      </c>
      <c r="I20" s="177"/>
      <c r="J20" s="177"/>
      <c r="K20" s="306" t="str">
        <f t="shared" si="24"/>
        <v/>
      </c>
      <c r="L20" s="306" t="str">
        <f t="shared" si="25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8"/>
        <v/>
      </c>
      <c r="T20" s="170" t="str">
        <f t="shared" si="9"/>
        <v/>
      </c>
      <c r="U20" s="170" t="str">
        <f t="shared" si="10"/>
        <v/>
      </c>
      <c r="V20" s="262">
        <f t="shared" si="26"/>
        <v>0</v>
      </c>
      <c r="W20" s="160">
        <f t="shared" si="27"/>
        <v>0</v>
      </c>
      <c r="X20" s="160">
        <f t="shared" si="28"/>
        <v>0</v>
      </c>
      <c r="Y20" s="160">
        <f t="shared" si="29"/>
        <v>0</v>
      </c>
      <c r="Z20" s="160">
        <f t="shared" si="30"/>
        <v>0</v>
      </c>
      <c r="AA20" s="160">
        <f t="shared" si="31"/>
        <v>0</v>
      </c>
      <c r="AB20" s="160">
        <f t="shared" si="32"/>
        <v>0</v>
      </c>
      <c r="AC20" s="160">
        <f t="shared" si="33"/>
        <v>0</v>
      </c>
      <c r="AD20" s="307">
        <f t="shared" si="34"/>
        <v>0</v>
      </c>
      <c r="AE20" s="308" t="str">
        <f t="shared" si="35"/>
        <v/>
      </c>
      <c r="AF20" s="258" t="str">
        <f t="shared" si="14"/>
        <v/>
      </c>
      <c r="AG20" s="258" t="str">
        <f t="shared" si="15"/>
        <v/>
      </c>
      <c r="AH20" s="258" t="str">
        <f t="shared" si="16"/>
        <v/>
      </c>
      <c r="AI20" s="290"/>
      <c r="AJ20" s="165" t="str">
        <f t="shared" si="17"/>
        <v/>
      </c>
      <c r="AK20" s="180" t="str">
        <f t="shared" si="18"/>
        <v/>
      </c>
      <c r="AM20" s="179"/>
      <c r="AN20" s="179"/>
      <c r="AP20" s="166" t="str">
        <f t="shared" si="19"/>
        <v/>
      </c>
      <c r="AQ20" s="166" t="str">
        <f t="shared" si="20"/>
        <v/>
      </c>
      <c r="AR20" s="166" t="str">
        <f t="shared" si="21"/>
        <v/>
      </c>
    </row>
    <row r="21" spans="1:46" s="162" customFormat="1" ht="25.2" customHeight="1" x14ac:dyDescent="0.3">
      <c r="A21" s="172">
        <v>17</v>
      </c>
      <c r="B21" s="304" t="str" cm="1">
        <f t="array" ref="B21">IF($J$1="Active",IF(Salary_Master!B21="","",_xlfn.IFS(Salary_Master!M21="Working",IF(Salary_Master!H21&lt;=DATE(2025,10,31),Salary_Master!B21,""),Salary_Master!M21="Left",IF(Salary_Master!N21&gt;DATE(2025,9,30),Salary_Master!B21,""))),"")</f>
        <v/>
      </c>
      <c r="C21" s="304">
        <v>31</v>
      </c>
      <c r="D21" s="305" t="str">
        <f t="shared" si="22"/>
        <v/>
      </c>
      <c r="E21" s="177"/>
      <c r="F21" s="177"/>
      <c r="G21" s="177"/>
      <c r="H21" s="305" t="str">
        <f t="shared" si="23"/>
        <v/>
      </c>
      <c r="I21" s="177"/>
      <c r="J21" s="177"/>
      <c r="K21" s="306" t="str">
        <f t="shared" si="24"/>
        <v/>
      </c>
      <c r="L21" s="306" t="str">
        <f t="shared" si="25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8"/>
        <v/>
      </c>
      <c r="T21" s="170" t="str">
        <f t="shared" si="9"/>
        <v/>
      </c>
      <c r="U21" s="170" t="str">
        <f t="shared" si="10"/>
        <v/>
      </c>
      <c r="V21" s="262">
        <f t="shared" si="26"/>
        <v>0</v>
      </c>
      <c r="W21" s="160">
        <f t="shared" si="27"/>
        <v>0</v>
      </c>
      <c r="X21" s="160">
        <f t="shared" si="28"/>
        <v>0</v>
      </c>
      <c r="Y21" s="160">
        <f t="shared" si="29"/>
        <v>0</v>
      </c>
      <c r="Z21" s="160">
        <f t="shared" si="30"/>
        <v>0</v>
      </c>
      <c r="AA21" s="160">
        <f t="shared" si="31"/>
        <v>0</v>
      </c>
      <c r="AB21" s="160">
        <f t="shared" si="32"/>
        <v>0</v>
      </c>
      <c r="AC21" s="160">
        <f t="shared" si="33"/>
        <v>0</v>
      </c>
      <c r="AD21" s="307">
        <f t="shared" si="34"/>
        <v>0</v>
      </c>
      <c r="AE21" s="308" t="str">
        <f t="shared" si="35"/>
        <v/>
      </c>
      <c r="AF21" s="258" t="str">
        <f t="shared" si="14"/>
        <v/>
      </c>
      <c r="AG21" s="258" t="str">
        <f t="shared" si="15"/>
        <v/>
      </c>
      <c r="AH21" s="258" t="str">
        <f t="shared" si="16"/>
        <v/>
      </c>
      <c r="AI21" s="290"/>
      <c r="AJ21" s="165" t="str">
        <f t="shared" si="17"/>
        <v/>
      </c>
      <c r="AK21" s="180" t="str">
        <f t="shared" si="18"/>
        <v/>
      </c>
      <c r="AM21" s="179"/>
      <c r="AN21" s="179"/>
      <c r="AP21" s="166" t="str">
        <f t="shared" si="19"/>
        <v/>
      </c>
      <c r="AQ21" s="166" t="str">
        <f t="shared" si="20"/>
        <v/>
      </c>
      <c r="AR21" s="166" t="str">
        <f t="shared" si="21"/>
        <v/>
      </c>
    </row>
    <row r="22" spans="1:46" s="173" customFormat="1" ht="25.2" customHeight="1" x14ac:dyDescent="0.3">
      <c r="A22" s="167">
        <v>18</v>
      </c>
      <c r="B22" s="304" t="str" cm="1">
        <f t="array" ref="B22">IF($J$1="Active",IF(Salary_Master!B22="","",_xlfn.IFS(Salary_Master!M22="Working",IF(Salary_Master!H22&lt;=DATE(2025,10,31),Salary_Master!B22,""),Salary_Master!M22="Left",IF(Salary_Master!N22&gt;DATE(2025,9,30),Salary_Master!B22,""))),"")</f>
        <v/>
      </c>
      <c r="C22" s="304">
        <v>31</v>
      </c>
      <c r="D22" s="305" t="str">
        <f t="shared" si="22"/>
        <v/>
      </c>
      <c r="E22" s="177"/>
      <c r="F22" s="177"/>
      <c r="G22" s="177"/>
      <c r="H22" s="305" t="str">
        <f t="shared" si="23"/>
        <v/>
      </c>
      <c r="I22" s="177"/>
      <c r="J22" s="177"/>
      <c r="K22" s="306" t="str">
        <f t="shared" si="24"/>
        <v/>
      </c>
      <c r="L22" s="306" t="str">
        <f t="shared" si="25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8"/>
        <v/>
      </c>
      <c r="T22" s="170" t="str">
        <f t="shared" si="9"/>
        <v/>
      </c>
      <c r="U22" s="170" t="str">
        <f t="shared" si="10"/>
        <v/>
      </c>
      <c r="V22" s="262">
        <f t="shared" si="26"/>
        <v>0</v>
      </c>
      <c r="W22" s="160">
        <f t="shared" si="27"/>
        <v>0</v>
      </c>
      <c r="X22" s="160">
        <f t="shared" si="28"/>
        <v>0</v>
      </c>
      <c r="Y22" s="160">
        <f t="shared" si="29"/>
        <v>0</v>
      </c>
      <c r="Z22" s="160">
        <f t="shared" si="30"/>
        <v>0</v>
      </c>
      <c r="AA22" s="160">
        <f t="shared" si="31"/>
        <v>0</v>
      </c>
      <c r="AB22" s="160">
        <f t="shared" si="32"/>
        <v>0</v>
      </c>
      <c r="AC22" s="160">
        <f t="shared" si="33"/>
        <v>0</v>
      </c>
      <c r="AD22" s="307">
        <f t="shared" si="34"/>
        <v>0</v>
      </c>
      <c r="AE22" s="308" t="str">
        <f t="shared" si="35"/>
        <v/>
      </c>
      <c r="AF22" s="258" t="str">
        <f t="shared" si="14"/>
        <v/>
      </c>
      <c r="AG22" s="258" t="str">
        <f t="shared" si="15"/>
        <v/>
      </c>
      <c r="AH22" s="258" t="str">
        <f t="shared" si="16"/>
        <v/>
      </c>
      <c r="AI22" s="290"/>
      <c r="AJ22" s="165" t="str">
        <f t="shared" si="17"/>
        <v/>
      </c>
      <c r="AK22" s="180" t="str">
        <f t="shared" si="18"/>
        <v/>
      </c>
      <c r="AM22" s="179"/>
      <c r="AN22" s="179"/>
      <c r="AP22" s="166" t="str">
        <f t="shared" si="19"/>
        <v/>
      </c>
      <c r="AQ22" s="166" t="str">
        <f t="shared" si="20"/>
        <v/>
      </c>
      <c r="AR22" s="166" t="str">
        <f t="shared" si="21"/>
        <v/>
      </c>
      <c r="AT22" s="162"/>
    </row>
    <row r="23" spans="1:46" s="162" customFormat="1" ht="25.2" customHeight="1" x14ac:dyDescent="0.3">
      <c r="A23" s="167">
        <v>19</v>
      </c>
      <c r="B23" s="304" t="str" cm="1">
        <f t="array" ref="B23">IF($J$1="Active",IF(Salary_Master!B23="","",_xlfn.IFS(Salary_Master!M23="Working",IF(Salary_Master!H23&lt;=DATE(2025,10,31),Salary_Master!B23,""),Salary_Master!M23="Left",IF(Salary_Master!N23&gt;DATE(2025,9,30),Salary_Master!B23,""))),"")</f>
        <v/>
      </c>
      <c r="C23" s="304">
        <v>31</v>
      </c>
      <c r="D23" s="305" t="str">
        <f t="shared" si="22"/>
        <v/>
      </c>
      <c r="E23" s="177"/>
      <c r="F23" s="177"/>
      <c r="G23" s="177"/>
      <c r="H23" s="305" t="str">
        <f t="shared" si="23"/>
        <v/>
      </c>
      <c r="I23" s="177"/>
      <c r="J23" s="177"/>
      <c r="K23" s="306" t="str">
        <f t="shared" si="24"/>
        <v/>
      </c>
      <c r="L23" s="306" t="str">
        <f t="shared" si="25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8"/>
        <v/>
      </c>
      <c r="T23" s="170" t="str">
        <f t="shared" si="9"/>
        <v/>
      </c>
      <c r="U23" s="170" t="str">
        <f t="shared" si="10"/>
        <v/>
      </c>
      <c r="V23" s="262">
        <f t="shared" si="26"/>
        <v>0</v>
      </c>
      <c r="W23" s="160">
        <f t="shared" si="27"/>
        <v>0</v>
      </c>
      <c r="X23" s="160">
        <f t="shared" si="28"/>
        <v>0</v>
      </c>
      <c r="Y23" s="160">
        <f t="shared" si="29"/>
        <v>0</v>
      </c>
      <c r="Z23" s="160">
        <f t="shared" si="30"/>
        <v>0</v>
      </c>
      <c r="AA23" s="160">
        <f t="shared" si="31"/>
        <v>0</v>
      </c>
      <c r="AB23" s="160">
        <f t="shared" si="32"/>
        <v>0</v>
      </c>
      <c r="AC23" s="160">
        <f t="shared" si="33"/>
        <v>0</v>
      </c>
      <c r="AD23" s="307">
        <f t="shared" si="34"/>
        <v>0</v>
      </c>
      <c r="AE23" s="308" t="str">
        <f t="shared" si="35"/>
        <v/>
      </c>
      <c r="AF23" s="258" t="str">
        <f t="shared" si="14"/>
        <v/>
      </c>
      <c r="AG23" s="258" t="str">
        <f t="shared" si="15"/>
        <v/>
      </c>
      <c r="AH23" s="258" t="str">
        <f t="shared" si="16"/>
        <v/>
      </c>
      <c r="AI23" s="290"/>
      <c r="AJ23" s="165" t="str">
        <f t="shared" si="17"/>
        <v/>
      </c>
      <c r="AK23" s="180" t="str">
        <f t="shared" si="18"/>
        <v/>
      </c>
      <c r="AM23" s="179"/>
      <c r="AN23" s="179"/>
      <c r="AP23" s="166" t="str">
        <f t="shared" si="19"/>
        <v/>
      </c>
      <c r="AQ23" s="166" t="str">
        <f t="shared" si="20"/>
        <v/>
      </c>
      <c r="AR23" s="166" t="str">
        <f t="shared" si="21"/>
        <v/>
      </c>
    </row>
    <row r="24" spans="1:46" s="162" customFormat="1" ht="25.2" customHeight="1" x14ac:dyDescent="0.3">
      <c r="A24" s="172">
        <v>20</v>
      </c>
      <c r="B24" s="304" t="str" cm="1">
        <f t="array" ref="B24">IF($J$1="Active",IF(Salary_Master!B24="","",_xlfn.IFS(Salary_Master!M24="Working",IF(Salary_Master!H24&lt;=DATE(2025,10,31),Salary_Master!B24,""),Salary_Master!M24="Left",IF(Salary_Master!N24&gt;DATE(2025,9,30),Salary_Master!B24,""))),"")</f>
        <v/>
      </c>
      <c r="C24" s="304">
        <v>31</v>
      </c>
      <c r="D24" s="305" t="str">
        <f t="shared" si="22"/>
        <v/>
      </c>
      <c r="E24" s="177"/>
      <c r="F24" s="177"/>
      <c r="G24" s="177"/>
      <c r="H24" s="305" t="str">
        <f t="shared" si="23"/>
        <v/>
      </c>
      <c r="I24" s="177"/>
      <c r="J24" s="177"/>
      <c r="K24" s="306" t="str">
        <f t="shared" si="24"/>
        <v/>
      </c>
      <c r="L24" s="306" t="str">
        <f t="shared" si="25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8"/>
        <v/>
      </c>
      <c r="T24" s="170" t="str">
        <f t="shared" si="9"/>
        <v/>
      </c>
      <c r="U24" s="170" t="str">
        <f t="shared" si="10"/>
        <v/>
      </c>
      <c r="V24" s="262">
        <f t="shared" si="26"/>
        <v>0</v>
      </c>
      <c r="W24" s="160">
        <f t="shared" si="27"/>
        <v>0</v>
      </c>
      <c r="X24" s="160">
        <f t="shared" si="28"/>
        <v>0</v>
      </c>
      <c r="Y24" s="160">
        <f t="shared" si="29"/>
        <v>0</v>
      </c>
      <c r="Z24" s="160">
        <f t="shared" si="30"/>
        <v>0</v>
      </c>
      <c r="AA24" s="160">
        <f t="shared" si="31"/>
        <v>0</v>
      </c>
      <c r="AB24" s="160">
        <f t="shared" si="32"/>
        <v>0</v>
      </c>
      <c r="AC24" s="160">
        <f t="shared" si="33"/>
        <v>0</v>
      </c>
      <c r="AD24" s="307">
        <f t="shared" si="34"/>
        <v>0</v>
      </c>
      <c r="AE24" s="308" t="str">
        <f t="shared" si="35"/>
        <v/>
      </c>
      <c r="AF24" s="258" t="str">
        <f t="shared" si="14"/>
        <v/>
      </c>
      <c r="AG24" s="258" t="str">
        <f t="shared" si="15"/>
        <v/>
      </c>
      <c r="AH24" s="258" t="str">
        <f t="shared" si="16"/>
        <v/>
      </c>
      <c r="AI24" s="290"/>
      <c r="AJ24" s="165" t="str">
        <f t="shared" si="17"/>
        <v/>
      </c>
      <c r="AK24" s="180" t="str">
        <f t="shared" si="18"/>
        <v/>
      </c>
      <c r="AM24" s="179"/>
      <c r="AN24" s="179"/>
      <c r="AP24" s="166" t="str">
        <f t="shared" si="19"/>
        <v/>
      </c>
      <c r="AQ24" s="166" t="str">
        <f t="shared" si="20"/>
        <v/>
      </c>
      <c r="AR24" s="166" t="str">
        <f t="shared" si="21"/>
        <v/>
      </c>
    </row>
    <row r="25" spans="1:46" s="173" customFormat="1" ht="25.2" customHeight="1" x14ac:dyDescent="0.3">
      <c r="A25" s="167">
        <v>21</v>
      </c>
      <c r="B25" s="304" t="str" cm="1">
        <f t="array" ref="B25">IF($J$1="Active",IF(Salary_Master!B25="","",_xlfn.IFS(Salary_Master!M25="Working",IF(Salary_Master!H25&lt;=DATE(2025,10,31),Salary_Master!B25,""),Salary_Master!M25="Left",IF(Salary_Master!N25&gt;DATE(2025,9,30),Salary_Master!B25,""))),"")</f>
        <v/>
      </c>
      <c r="C25" s="304">
        <v>31</v>
      </c>
      <c r="D25" s="305" t="str">
        <f t="shared" si="22"/>
        <v/>
      </c>
      <c r="E25" s="177"/>
      <c r="F25" s="177"/>
      <c r="G25" s="177"/>
      <c r="H25" s="305" t="str">
        <f t="shared" si="23"/>
        <v/>
      </c>
      <c r="I25" s="177"/>
      <c r="J25" s="177"/>
      <c r="K25" s="306" t="str">
        <f t="shared" si="24"/>
        <v/>
      </c>
      <c r="L25" s="306" t="str">
        <f t="shared" si="25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8"/>
        <v/>
      </c>
      <c r="T25" s="170" t="str">
        <f t="shared" si="9"/>
        <v/>
      </c>
      <c r="U25" s="170" t="str">
        <f t="shared" si="10"/>
        <v/>
      </c>
      <c r="V25" s="262">
        <f t="shared" si="26"/>
        <v>0</v>
      </c>
      <c r="W25" s="160">
        <f t="shared" si="27"/>
        <v>0</v>
      </c>
      <c r="X25" s="160">
        <f t="shared" si="28"/>
        <v>0</v>
      </c>
      <c r="Y25" s="160">
        <f t="shared" si="29"/>
        <v>0</v>
      </c>
      <c r="Z25" s="160">
        <f t="shared" si="30"/>
        <v>0</v>
      </c>
      <c r="AA25" s="160">
        <f t="shared" si="31"/>
        <v>0</v>
      </c>
      <c r="AB25" s="160">
        <f t="shared" si="32"/>
        <v>0</v>
      </c>
      <c r="AC25" s="160">
        <f t="shared" si="33"/>
        <v>0</v>
      </c>
      <c r="AD25" s="307">
        <f t="shared" si="34"/>
        <v>0</v>
      </c>
      <c r="AE25" s="308" t="str">
        <f t="shared" si="35"/>
        <v/>
      </c>
      <c r="AF25" s="258" t="str">
        <f t="shared" si="14"/>
        <v/>
      </c>
      <c r="AG25" s="258" t="str">
        <f t="shared" si="15"/>
        <v/>
      </c>
      <c r="AH25" s="258" t="str">
        <f t="shared" si="16"/>
        <v/>
      </c>
      <c r="AI25" s="290"/>
      <c r="AJ25" s="165" t="str">
        <f t="shared" si="17"/>
        <v/>
      </c>
      <c r="AK25" s="180" t="str">
        <f t="shared" si="18"/>
        <v/>
      </c>
      <c r="AM25" s="179"/>
      <c r="AN25" s="179"/>
      <c r="AP25" s="166" t="str">
        <f t="shared" si="19"/>
        <v/>
      </c>
      <c r="AQ25" s="166" t="str">
        <f t="shared" si="20"/>
        <v/>
      </c>
      <c r="AR25" s="166" t="str">
        <f t="shared" si="21"/>
        <v/>
      </c>
      <c r="AT25" s="162"/>
    </row>
    <row r="26" spans="1:46" s="162" customFormat="1" ht="25.2" customHeight="1" x14ac:dyDescent="0.3">
      <c r="A26" s="167">
        <v>22</v>
      </c>
      <c r="B26" s="304" t="str" cm="1">
        <f t="array" ref="B26">IF($J$1="Active",IF(Salary_Master!B26="","",_xlfn.IFS(Salary_Master!M26="Working",IF(Salary_Master!H26&lt;=DATE(2025,10,31),Salary_Master!B26,""),Salary_Master!M26="Left",IF(Salary_Master!N26&gt;DATE(2025,9,30),Salary_Master!B26,""))),"")</f>
        <v/>
      </c>
      <c r="C26" s="304">
        <v>31</v>
      </c>
      <c r="D26" s="305" t="str">
        <f t="shared" si="22"/>
        <v/>
      </c>
      <c r="E26" s="177"/>
      <c r="F26" s="177"/>
      <c r="G26" s="177"/>
      <c r="H26" s="305" t="str">
        <f t="shared" si="23"/>
        <v/>
      </c>
      <c r="I26" s="177"/>
      <c r="J26" s="177"/>
      <c r="K26" s="306" t="str">
        <f t="shared" si="24"/>
        <v/>
      </c>
      <c r="L26" s="306" t="str">
        <f t="shared" si="25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8"/>
        <v/>
      </c>
      <c r="T26" s="170" t="str">
        <f t="shared" si="9"/>
        <v/>
      </c>
      <c r="U26" s="170" t="str">
        <f t="shared" si="10"/>
        <v/>
      </c>
      <c r="V26" s="262">
        <f t="shared" si="26"/>
        <v>0</v>
      </c>
      <c r="W26" s="160">
        <f t="shared" si="27"/>
        <v>0</v>
      </c>
      <c r="X26" s="160">
        <f t="shared" si="28"/>
        <v>0</v>
      </c>
      <c r="Y26" s="160">
        <f t="shared" si="29"/>
        <v>0</v>
      </c>
      <c r="Z26" s="160">
        <f t="shared" si="30"/>
        <v>0</v>
      </c>
      <c r="AA26" s="160">
        <f t="shared" si="31"/>
        <v>0</v>
      </c>
      <c r="AB26" s="160">
        <f t="shared" si="32"/>
        <v>0</v>
      </c>
      <c r="AC26" s="160">
        <f t="shared" si="33"/>
        <v>0</v>
      </c>
      <c r="AD26" s="307">
        <f t="shared" si="34"/>
        <v>0</v>
      </c>
      <c r="AE26" s="308" t="str">
        <f t="shared" si="35"/>
        <v/>
      </c>
      <c r="AF26" s="258" t="str">
        <f t="shared" si="14"/>
        <v/>
      </c>
      <c r="AG26" s="258" t="str">
        <f t="shared" si="15"/>
        <v/>
      </c>
      <c r="AH26" s="258" t="str">
        <f t="shared" si="16"/>
        <v/>
      </c>
      <c r="AI26" s="290"/>
      <c r="AJ26" s="165" t="str">
        <f t="shared" si="17"/>
        <v/>
      </c>
      <c r="AK26" s="180" t="str">
        <f t="shared" si="18"/>
        <v/>
      </c>
      <c r="AM26" s="179"/>
      <c r="AN26" s="179"/>
      <c r="AP26" s="166" t="str">
        <f t="shared" si="19"/>
        <v/>
      </c>
      <c r="AQ26" s="166" t="str">
        <f t="shared" si="20"/>
        <v/>
      </c>
      <c r="AR26" s="166" t="str">
        <f t="shared" si="21"/>
        <v/>
      </c>
    </row>
    <row r="27" spans="1:46" s="162" customFormat="1" ht="25.2" customHeight="1" x14ac:dyDescent="0.3">
      <c r="A27" s="167">
        <v>23</v>
      </c>
      <c r="B27" s="304" t="str" cm="1">
        <f t="array" ref="B27">IF($J$1="Active",IF(Salary_Master!B27="","",_xlfn.IFS(Salary_Master!M27="Working",IF(Salary_Master!H27&lt;=DATE(2025,10,31),Salary_Master!B27,""),Salary_Master!M27="Left",IF(Salary_Master!N27&gt;DATE(2025,9,30),Salary_Master!B27,""))),"")</f>
        <v/>
      </c>
      <c r="C27" s="304">
        <v>31</v>
      </c>
      <c r="D27" s="305" t="str">
        <f t="shared" si="22"/>
        <v/>
      </c>
      <c r="E27" s="177"/>
      <c r="F27" s="177"/>
      <c r="G27" s="177"/>
      <c r="H27" s="305" t="str">
        <f t="shared" si="23"/>
        <v/>
      </c>
      <c r="I27" s="177"/>
      <c r="J27" s="177"/>
      <c r="K27" s="306" t="str">
        <f t="shared" si="24"/>
        <v/>
      </c>
      <c r="L27" s="306" t="str">
        <f t="shared" si="25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8"/>
        <v/>
      </c>
      <c r="T27" s="170" t="str">
        <f t="shared" si="9"/>
        <v/>
      </c>
      <c r="U27" s="170" t="str">
        <f t="shared" si="10"/>
        <v/>
      </c>
      <c r="V27" s="262">
        <f t="shared" si="26"/>
        <v>0</v>
      </c>
      <c r="W27" s="160">
        <f t="shared" si="27"/>
        <v>0</v>
      </c>
      <c r="X27" s="160">
        <f t="shared" si="28"/>
        <v>0</v>
      </c>
      <c r="Y27" s="160">
        <f t="shared" si="29"/>
        <v>0</v>
      </c>
      <c r="Z27" s="160">
        <f t="shared" si="30"/>
        <v>0</v>
      </c>
      <c r="AA27" s="160">
        <f t="shared" si="31"/>
        <v>0</v>
      </c>
      <c r="AB27" s="160">
        <f t="shared" si="32"/>
        <v>0</v>
      </c>
      <c r="AC27" s="160">
        <f t="shared" si="33"/>
        <v>0</v>
      </c>
      <c r="AD27" s="307">
        <f t="shared" si="34"/>
        <v>0</v>
      </c>
      <c r="AE27" s="308" t="str">
        <f t="shared" si="35"/>
        <v/>
      </c>
      <c r="AF27" s="258" t="str">
        <f t="shared" si="14"/>
        <v/>
      </c>
      <c r="AG27" s="258" t="str">
        <f t="shared" si="15"/>
        <v/>
      </c>
      <c r="AH27" s="258" t="str">
        <f t="shared" si="16"/>
        <v/>
      </c>
      <c r="AI27" s="290"/>
      <c r="AJ27" s="165" t="str">
        <f t="shared" si="17"/>
        <v/>
      </c>
      <c r="AK27" s="180" t="str">
        <f t="shared" si="18"/>
        <v/>
      </c>
      <c r="AM27" s="179"/>
      <c r="AN27" s="179"/>
      <c r="AP27" s="166" t="str">
        <f t="shared" si="19"/>
        <v/>
      </c>
      <c r="AQ27" s="166" t="str">
        <f t="shared" si="20"/>
        <v/>
      </c>
      <c r="AR27" s="166" t="str">
        <f t="shared" si="21"/>
        <v/>
      </c>
    </row>
    <row r="28" spans="1:46" s="162" customFormat="1" ht="25.2" customHeight="1" x14ac:dyDescent="0.3">
      <c r="A28" s="167">
        <v>24</v>
      </c>
      <c r="B28" s="304" t="str" cm="1">
        <f t="array" ref="B28">IF($J$1="Active",IF(Salary_Master!B28="","",_xlfn.IFS(Salary_Master!M28="Working",IF(Salary_Master!H28&lt;=DATE(2025,10,31),Salary_Master!B28,""),Salary_Master!M28="Left",IF(Salary_Master!N28&gt;DATE(2025,9,30),Salary_Master!B28,""))),"")</f>
        <v/>
      </c>
      <c r="C28" s="304">
        <v>31</v>
      </c>
      <c r="D28" s="305" t="str">
        <f t="shared" si="22"/>
        <v/>
      </c>
      <c r="E28" s="177"/>
      <c r="F28" s="177"/>
      <c r="G28" s="177"/>
      <c r="H28" s="305" t="str">
        <f t="shared" si="23"/>
        <v/>
      </c>
      <c r="I28" s="177"/>
      <c r="J28" s="177"/>
      <c r="K28" s="306" t="str">
        <f t="shared" si="24"/>
        <v/>
      </c>
      <c r="L28" s="306" t="str">
        <f t="shared" si="25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8"/>
        <v/>
      </c>
      <c r="T28" s="170" t="str">
        <f t="shared" si="9"/>
        <v/>
      </c>
      <c r="U28" s="170" t="str">
        <f t="shared" si="10"/>
        <v/>
      </c>
      <c r="V28" s="262">
        <f t="shared" si="26"/>
        <v>0</v>
      </c>
      <c r="W28" s="160">
        <f t="shared" si="27"/>
        <v>0</v>
      </c>
      <c r="X28" s="160">
        <f t="shared" si="28"/>
        <v>0</v>
      </c>
      <c r="Y28" s="160">
        <f t="shared" si="29"/>
        <v>0</v>
      </c>
      <c r="Z28" s="160">
        <f t="shared" si="30"/>
        <v>0</v>
      </c>
      <c r="AA28" s="160">
        <f t="shared" si="31"/>
        <v>0</v>
      </c>
      <c r="AB28" s="160">
        <f t="shared" si="32"/>
        <v>0</v>
      </c>
      <c r="AC28" s="160">
        <f t="shared" si="33"/>
        <v>0</v>
      </c>
      <c r="AD28" s="307">
        <f t="shared" si="34"/>
        <v>0</v>
      </c>
      <c r="AE28" s="308" t="str">
        <f t="shared" si="35"/>
        <v/>
      </c>
      <c r="AF28" s="258" t="str">
        <f t="shared" si="14"/>
        <v/>
      </c>
      <c r="AG28" s="258" t="str">
        <f t="shared" si="15"/>
        <v/>
      </c>
      <c r="AH28" s="258" t="str">
        <f t="shared" si="16"/>
        <v/>
      </c>
      <c r="AI28" s="290"/>
      <c r="AJ28" s="165" t="str">
        <f t="shared" si="17"/>
        <v/>
      </c>
      <c r="AK28" s="180" t="str">
        <f t="shared" si="18"/>
        <v/>
      </c>
      <c r="AM28" s="179"/>
      <c r="AN28" s="179"/>
      <c r="AP28" s="166" t="str">
        <f t="shared" si="19"/>
        <v/>
      </c>
      <c r="AQ28" s="166" t="str">
        <f t="shared" si="20"/>
        <v/>
      </c>
      <c r="AR28" s="166" t="str">
        <f t="shared" si="21"/>
        <v/>
      </c>
    </row>
    <row r="29" spans="1:46" s="173" customFormat="1" ht="25.2" customHeight="1" x14ac:dyDescent="0.3">
      <c r="A29" s="172">
        <v>25</v>
      </c>
      <c r="B29" s="304" t="str" cm="1">
        <f t="array" ref="B29">IF($J$1="Active",IF(Salary_Master!B29="","",_xlfn.IFS(Salary_Master!M29="Working",IF(Salary_Master!H29&lt;=DATE(2025,10,31),Salary_Master!B29,""),Salary_Master!M29="Left",IF(Salary_Master!N29&gt;DATE(2025,9,30),Salary_Master!B29,""))),"")</f>
        <v/>
      </c>
      <c r="C29" s="304">
        <v>31</v>
      </c>
      <c r="D29" s="305" t="str">
        <f t="shared" si="22"/>
        <v/>
      </c>
      <c r="E29" s="177"/>
      <c r="F29" s="177"/>
      <c r="G29" s="177"/>
      <c r="H29" s="305" t="str">
        <f t="shared" si="23"/>
        <v/>
      </c>
      <c r="I29" s="177"/>
      <c r="J29" s="177"/>
      <c r="K29" s="306" t="str">
        <f t="shared" si="24"/>
        <v/>
      </c>
      <c r="L29" s="306" t="str">
        <f t="shared" si="25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8"/>
        <v/>
      </c>
      <c r="T29" s="170" t="str">
        <f t="shared" si="9"/>
        <v/>
      </c>
      <c r="U29" s="170" t="str">
        <f t="shared" si="10"/>
        <v/>
      </c>
      <c r="V29" s="262">
        <f t="shared" si="26"/>
        <v>0</v>
      </c>
      <c r="W29" s="160">
        <f t="shared" si="27"/>
        <v>0</v>
      </c>
      <c r="X29" s="160">
        <f t="shared" si="28"/>
        <v>0</v>
      </c>
      <c r="Y29" s="160">
        <f t="shared" si="29"/>
        <v>0</v>
      </c>
      <c r="Z29" s="160">
        <f t="shared" si="30"/>
        <v>0</v>
      </c>
      <c r="AA29" s="160">
        <f t="shared" si="31"/>
        <v>0</v>
      </c>
      <c r="AB29" s="160">
        <f t="shared" si="32"/>
        <v>0</v>
      </c>
      <c r="AC29" s="160">
        <f t="shared" si="33"/>
        <v>0</v>
      </c>
      <c r="AD29" s="307">
        <f t="shared" si="34"/>
        <v>0</v>
      </c>
      <c r="AE29" s="308" t="str">
        <f t="shared" si="35"/>
        <v/>
      </c>
      <c r="AF29" s="258" t="str">
        <f t="shared" si="14"/>
        <v/>
      </c>
      <c r="AG29" s="258" t="str">
        <f t="shared" si="15"/>
        <v/>
      </c>
      <c r="AH29" s="258" t="str">
        <f t="shared" si="16"/>
        <v/>
      </c>
      <c r="AI29" s="290"/>
      <c r="AJ29" s="165" t="str">
        <f t="shared" si="17"/>
        <v/>
      </c>
      <c r="AK29" s="180" t="str">
        <f t="shared" si="18"/>
        <v/>
      </c>
      <c r="AM29" s="179"/>
      <c r="AN29" s="179"/>
      <c r="AP29" s="166" t="str">
        <f t="shared" si="19"/>
        <v/>
      </c>
      <c r="AQ29" s="166" t="str">
        <f t="shared" si="20"/>
        <v/>
      </c>
      <c r="AR29" s="166" t="str">
        <f t="shared" si="21"/>
        <v/>
      </c>
      <c r="AT29" s="162"/>
    </row>
    <row r="30" spans="1:46" s="162" customFormat="1" ht="25.2" customHeight="1" x14ac:dyDescent="0.3">
      <c r="A30" s="167">
        <v>26</v>
      </c>
      <c r="B30" s="304" t="str" cm="1">
        <f t="array" ref="B30">IF($J$1="Active",IF(Salary_Master!B30="","",_xlfn.IFS(Salary_Master!M30="Working",IF(Salary_Master!H30&lt;=DATE(2025,10,31),Salary_Master!B30,""),Salary_Master!M30="Left",IF(Salary_Master!N30&gt;DATE(2025,9,30),Salary_Master!B30,""))),"")</f>
        <v/>
      </c>
      <c r="C30" s="304">
        <v>31</v>
      </c>
      <c r="D30" s="305" t="str">
        <f t="shared" si="22"/>
        <v/>
      </c>
      <c r="E30" s="177"/>
      <c r="F30" s="177"/>
      <c r="G30" s="177"/>
      <c r="H30" s="305" t="str">
        <f t="shared" si="23"/>
        <v/>
      </c>
      <c r="I30" s="177"/>
      <c r="J30" s="177"/>
      <c r="K30" s="306" t="str">
        <f t="shared" si="24"/>
        <v/>
      </c>
      <c r="L30" s="306" t="str">
        <f t="shared" si="25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8"/>
        <v/>
      </c>
      <c r="T30" s="170" t="str">
        <f t="shared" si="9"/>
        <v/>
      </c>
      <c r="U30" s="170" t="str">
        <f t="shared" si="10"/>
        <v/>
      </c>
      <c r="V30" s="262">
        <f t="shared" si="26"/>
        <v>0</v>
      </c>
      <c r="W30" s="160">
        <f t="shared" si="27"/>
        <v>0</v>
      </c>
      <c r="X30" s="160">
        <f t="shared" si="28"/>
        <v>0</v>
      </c>
      <c r="Y30" s="160">
        <f t="shared" si="29"/>
        <v>0</v>
      </c>
      <c r="Z30" s="160">
        <f t="shared" si="30"/>
        <v>0</v>
      </c>
      <c r="AA30" s="160">
        <f t="shared" si="31"/>
        <v>0</v>
      </c>
      <c r="AB30" s="160">
        <f t="shared" si="32"/>
        <v>0</v>
      </c>
      <c r="AC30" s="160">
        <f t="shared" si="33"/>
        <v>0</v>
      </c>
      <c r="AD30" s="307">
        <f t="shared" si="34"/>
        <v>0</v>
      </c>
      <c r="AE30" s="308" t="str">
        <f t="shared" si="35"/>
        <v/>
      </c>
      <c r="AF30" s="258" t="str">
        <f t="shared" si="14"/>
        <v/>
      </c>
      <c r="AG30" s="258" t="str">
        <f t="shared" si="15"/>
        <v/>
      </c>
      <c r="AH30" s="258" t="str">
        <f t="shared" si="16"/>
        <v/>
      </c>
      <c r="AI30" s="290"/>
      <c r="AJ30" s="165" t="str">
        <f t="shared" si="17"/>
        <v/>
      </c>
      <c r="AK30" s="180" t="str">
        <f t="shared" si="18"/>
        <v/>
      </c>
      <c r="AM30" s="179"/>
      <c r="AN30" s="179"/>
      <c r="AP30" s="166" t="str">
        <f t="shared" si="19"/>
        <v/>
      </c>
      <c r="AQ30" s="166" t="str">
        <f t="shared" si="20"/>
        <v/>
      </c>
      <c r="AR30" s="166" t="str">
        <f t="shared" si="21"/>
        <v/>
      </c>
    </row>
    <row r="31" spans="1:46" s="162" customFormat="1" ht="25.2" customHeight="1" x14ac:dyDescent="0.3">
      <c r="A31" s="167">
        <v>27</v>
      </c>
      <c r="B31" s="304" t="str" cm="1">
        <f t="array" ref="B31">IF($J$1="Active",IF(Salary_Master!B31="","",_xlfn.IFS(Salary_Master!M31="Working",IF(Salary_Master!H31&lt;=DATE(2025,10,31),Salary_Master!B31,""),Salary_Master!M31="Left",IF(Salary_Master!N31&gt;DATE(2025,9,30),Salary_Master!B31,""))),"")</f>
        <v/>
      </c>
      <c r="C31" s="304">
        <v>31</v>
      </c>
      <c r="D31" s="305" t="str">
        <f t="shared" si="22"/>
        <v/>
      </c>
      <c r="E31" s="177"/>
      <c r="F31" s="177"/>
      <c r="G31" s="177"/>
      <c r="H31" s="305" t="str">
        <f t="shared" si="23"/>
        <v/>
      </c>
      <c r="I31" s="177"/>
      <c r="J31" s="177"/>
      <c r="K31" s="306" t="str">
        <f t="shared" si="24"/>
        <v/>
      </c>
      <c r="L31" s="306" t="str">
        <f t="shared" si="25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8"/>
        <v/>
      </c>
      <c r="T31" s="170" t="str">
        <f t="shared" si="9"/>
        <v/>
      </c>
      <c r="U31" s="170" t="str">
        <f t="shared" si="10"/>
        <v/>
      </c>
      <c r="V31" s="262">
        <f t="shared" si="26"/>
        <v>0</v>
      </c>
      <c r="W31" s="160">
        <f t="shared" si="27"/>
        <v>0</v>
      </c>
      <c r="X31" s="160">
        <f t="shared" si="28"/>
        <v>0</v>
      </c>
      <c r="Y31" s="160">
        <f t="shared" si="29"/>
        <v>0</v>
      </c>
      <c r="Z31" s="160">
        <f t="shared" si="30"/>
        <v>0</v>
      </c>
      <c r="AA31" s="160">
        <f t="shared" si="31"/>
        <v>0</v>
      </c>
      <c r="AB31" s="160">
        <f t="shared" si="32"/>
        <v>0</v>
      </c>
      <c r="AC31" s="160">
        <f t="shared" si="33"/>
        <v>0</v>
      </c>
      <c r="AD31" s="307">
        <f t="shared" si="34"/>
        <v>0</v>
      </c>
      <c r="AE31" s="308" t="str">
        <f t="shared" si="35"/>
        <v/>
      </c>
      <c r="AF31" s="258" t="str">
        <f t="shared" si="14"/>
        <v/>
      </c>
      <c r="AG31" s="258" t="str">
        <f t="shared" si="15"/>
        <v/>
      </c>
      <c r="AH31" s="258" t="str">
        <f t="shared" si="16"/>
        <v/>
      </c>
      <c r="AI31" s="290"/>
      <c r="AJ31" s="165" t="str">
        <f t="shared" si="17"/>
        <v/>
      </c>
      <c r="AK31" s="180" t="s">
        <v>49</v>
      </c>
      <c r="AM31" s="179"/>
      <c r="AN31" s="179"/>
      <c r="AP31" s="166" t="str">
        <f t="shared" si="19"/>
        <v/>
      </c>
      <c r="AQ31" s="166" t="str">
        <f t="shared" si="20"/>
        <v/>
      </c>
      <c r="AR31" s="166" t="str">
        <f t="shared" si="21"/>
        <v/>
      </c>
    </row>
    <row r="32" spans="1:46" s="173" customFormat="1" ht="25.2" customHeight="1" x14ac:dyDescent="0.3">
      <c r="A32" s="172">
        <v>28</v>
      </c>
      <c r="B32" s="304" t="str" cm="1">
        <f t="array" ref="B32">IF($J$1="Active",IF(Salary_Master!B32="","",_xlfn.IFS(Salary_Master!M32="Working",IF(Salary_Master!H32&lt;=DATE(2025,10,31),Salary_Master!B32,""),Salary_Master!M32="Left",IF(Salary_Master!N32&gt;DATE(2025,9,30),Salary_Master!B32,""))),"")</f>
        <v/>
      </c>
      <c r="C32" s="304">
        <v>31</v>
      </c>
      <c r="D32" s="305" t="str">
        <f t="shared" si="22"/>
        <v/>
      </c>
      <c r="E32" s="177"/>
      <c r="F32" s="177"/>
      <c r="G32" s="177"/>
      <c r="H32" s="305" t="str">
        <f t="shared" si="23"/>
        <v/>
      </c>
      <c r="I32" s="177"/>
      <c r="J32" s="177"/>
      <c r="K32" s="306" t="str">
        <f t="shared" si="24"/>
        <v/>
      </c>
      <c r="L32" s="306" t="str">
        <f t="shared" si="25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8"/>
        <v/>
      </c>
      <c r="T32" s="170" t="str">
        <f t="shared" si="9"/>
        <v/>
      </c>
      <c r="U32" s="170" t="str">
        <f t="shared" si="10"/>
        <v/>
      </c>
      <c r="V32" s="262">
        <f t="shared" si="26"/>
        <v>0</v>
      </c>
      <c r="W32" s="160">
        <f t="shared" si="27"/>
        <v>0</v>
      </c>
      <c r="X32" s="160">
        <f t="shared" si="28"/>
        <v>0</v>
      </c>
      <c r="Y32" s="160">
        <f t="shared" si="29"/>
        <v>0</v>
      </c>
      <c r="Z32" s="160">
        <f t="shared" si="30"/>
        <v>0</v>
      </c>
      <c r="AA32" s="160">
        <f t="shared" si="31"/>
        <v>0</v>
      </c>
      <c r="AB32" s="160">
        <f t="shared" si="32"/>
        <v>0</v>
      </c>
      <c r="AC32" s="160">
        <f t="shared" si="33"/>
        <v>0</v>
      </c>
      <c r="AD32" s="307">
        <f t="shared" si="34"/>
        <v>0</v>
      </c>
      <c r="AE32" s="308" t="str">
        <f t="shared" si="35"/>
        <v/>
      </c>
      <c r="AF32" s="258" t="str">
        <f t="shared" si="14"/>
        <v/>
      </c>
      <c r="AG32" s="258" t="str">
        <f t="shared" si="15"/>
        <v/>
      </c>
      <c r="AH32" s="258" t="str">
        <f t="shared" si="16"/>
        <v/>
      </c>
      <c r="AI32" s="290"/>
      <c r="AJ32" s="165" t="str">
        <f t="shared" si="17"/>
        <v/>
      </c>
      <c r="AK32" s="180" t="str">
        <f t="shared" si="18"/>
        <v/>
      </c>
      <c r="AM32" s="179"/>
      <c r="AN32" s="179"/>
      <c r="AP32" s="166" t="str">
        <f t="shared" si="19"/>
        <v/>
      </c>
      <c r="AQ32" s="166" t="str">
        <f t="shared" si="20"/>
        <v/>
      </c>
      <c r="AR32" s="166" t="str">
        <f t="shared" si="21"/>
        <v/>
      </c>
      <c r="AT32" s="162"/>
    </row>
    <row r="33" spans="1:45" s="162" customFormat="1" ht="25.2" customHeight="1" x14ac:dyDescent="0.3">
      <c r="A33" s="167">
        <v>29</v>
      </c>
      <c r="B33" s="304" t="str" cm="1">
        <f t="array" ref="B33">IF($J$1="Active",IF(Salary_Master!B33="","",_xlfn.IFS(Salary_Master!M33="Working",IF(Salary_Master!H33&lt;=DATE(2025,10,31),Salary_Master!B33,""),Salary_Master!M33="Left",IF(Salary_Master!N33&gt;DATE(2025,9,30),Salary_Master!B33,""))),"")</f>
        <v/>
      </c>
      <c r="C33" s="304">
        <v>31</v>
      </c>
      <c r="D33" s="305" t="str">
        <f t="shared" si="22"/>
        <v/>
      </c>
      <c r="E33" s="177"/>
      <c r="F33" s="177"/>
      <c r="G33" s="177"/>
      <c r="H33" s="305" t="str">
        <f t="shared" si="23"/>
        <v/>
      </c>
      <c r="I33" s="177"/>
      <c r="J33" s="177"/>
      <c r="K33" s="306" t="str">
        <f t="shared" si="24"/>
        <v/>
      </c>
      <c r="L33" s="306" t="str">
        <f t="shared" si="25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6"/>
        <v>0</v>
      </c>
      <c r="W33" s="160">
        <f t="shared" si="27"/>
        <v>0</v>
      </c>
      <c r="X33" s="160">
        <f t="shared" si="28"/>
        <v>0</v>
      </c>
      <c r="Y33" s="160">
        <f t="shared" si="29"/>
        <v>0</v>
      </c>
      <c r="Z33" s="160">
        <f t="shared" si="30"/>
        <v>0</v>
      </c>
      <c r="AA33" s="160">
        <f t="shared" si="31"/>
        <v>0</v>
      </c>
      <c r="AB33" s="160">
        <f t="shared" si="32"/>
        <v>0</v>
      </c>
      <c r="AC33" s="160">
        <f t="shared" si="33"/>
        <v>0</v>
      </c>
      <c r="AD33" s="307">
        <f t="shared" si="34"/>
        <v>0</v>
      </c>
      <c r="AE33" s="308" t="str">
        <f t="shared" si="35"/>
        <v/>
      </c>
      <c r="AF33" s="258" t="str">
        <f t="shared" si="14"/>
        <v/>
      </c>
      <c r="AG33" s="258" t="str">
        <f t="shared" si="15"/>
        <v/>
      </c>
      <c r="AH33" s="258" t="str">
        <f t="shared" si="16"/>
        <v/>
      </c>
      <c r="AI33" s="290"/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19"/>
        <v/>
      </c>
      <c r="AQ33" s="166" t="str">
        <f t="shared" si="20"/>
        <v/>
      </c>
      <c r="AR33" s="166" t="str">
        <f t="shared" si="21"/>
        <v/>
      </c>
    </row>
    <row r="34" spans="1:45" s="162" customFormat="1" ht="25.2" customHeight="1" x14ac:dyDescent="0.3">
      <c r="A34" s="223">
        <v>30</v>
      </c>
      <c r="B34" s="304" t="str" cm="1">
        <f t="array" ref="B34">IF($J$1="Active",IF(Salary_Master!B34="","",_xlfn.IFS(Salary_Master!M34="Working",IF(Salary_Master!H34&lt;=DATE(2025,10,31),Salary_Master!B34,""),Salary_Master!M34="Left",IF(Salary_Master!N34&gt;DATE(2025,9,30),Salary_Master!B34,""))),"")</f>
        <v/>
      </c>
      <c r="C34" s="304">
        <v>31</v>
      </c>
      <c r="D34" s="305" t="str">
        <f t="shared" si="22"/>
        <v/>
      </c>
      <c r="E34" s="177"/>
      <c r="F34" s="177"/>
      <c r="G34" s="177"/>
      <c r="H34" s="305" t="str">
        <f t="shared" si="23"/>
        <v/>
      </c>
      <c r="I34" s="177"/>
      <c r="J34" s="177"/>
      <c r="K34" s="306" t="str">
        <f t="shared" si="24"/>
        <v/>
      </c>
      <c r="L34" s="306" t="str">
        <f t="shared" si="25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6"/>
        <v>0</v>
      </c>
      <c r="W34" s="160">
        <f t="shared" si="27"/>
        <v>0</v>
      </c>
      <c r="X34" s="160">
        <f t="shared" si="28"/>
        <v>0</v>
      </c>
      <c r="Y34" s="160">
        <f t="shared" si="29"/>
        <v>0</v>
      </c>
      <c r="Z34" s="160">
        <f t="shared" si="30"/>
        <v>0</v>
      </c>
      <c r="AA34" s="160">
        <f t="shared" si="31"/>
        <v>0</v>
      </c>
      <c r="AB34" s="160">
        <f t="shared" si="32"/>
        <v>0</v>
      </c>
      <c r="AC34" s="160">
        <f t="shared" si="33"/>
        <v>0</v>
      </c>
      <c r="AD34" s="307">
        <f t="shared" si="34"/>
        <v>0</v>
      </c>
      <c r="AE34" s="308" t="str">
        <f t="shared" si="35"/>
        <v/>
      </c>
      <c r="AF34" s="258" t="str">
        <f t="shared" si="14"/>
        <v/>
      </c>
      <c r="AG34" s="258" t="str">
        <f t="shared" si="15"/>
        <v/>
      </c>
      <c r="AH34" s="258" t="str">
        <f t="shared" si="16"/>
        <v/>
      </c>
      <c r="AI34" s="290"/>
      <c r="AJ34" s="165" t="str">
        <f t="shared" si="17"/>
        <v/>
      </c>
      <c r="AK34" s="180" t="str">
        <f t="shared" si="18"/>
        <v/>
      </c>
      <c r="AM34" s="179"/>
      <c r="AN34" s="179"/>
      <c r="AP34" s="166" t="str">
        <f t="shared" si="19"/>
        <v/>
      </c>
      <c r="AQ34" s="166" t="str">
        <f t="shared" si="20"/>
        <v/>
      </c>
      <c r="AR34" s="166" t="str">
        <f t="shared" si="21"/>
        <v/>
      </c>
    </row>
    <row r="35" spans="1:45" s="162" customFormat="1" ht="25.2" customHeight="1" x14ac:dyDescent="0.3">
      <c r="A35" s="223">
        <v>31</v>
      </c>
      <c r="B35" s="304" t="str" cm="1">
        <f t="array" ref="B35">IF($J$1="Active",IF(Salary_Master!B35="","",_xlfn.IFS(Salary_Master!M35="Working",IF(Salary_Master!H35&lt;=DATE(2025,10,31),Salary_Master!B35,""),Salary_Master!M35="Left",IF(Salary_Master!N35&gt;DATE(2025,9,30),Salary_Master!B35,""))),"")</f>
        <v/>
      </c>
      <c r="C35" s="304">
        <v>31</v>
      </c>
      <c r="D35" s="305" t="str">
        <f t="shared" si="22"/>
        <v/>
      </c>
      <c r="E35" s="177"/>
      <c r="F35" s="177"/>
      <c r="G35" s="177"/>
      <c r="H35" s="305" t="str">
        <f t="shared" si="23"/>
        <v/>
      </c>
      <c r="I35" s="177"/>
      <c r="J35" s="177"/>
      <c r="K35" s="306" t="str">
        <f t="shared" si="24"/>
        <v/>
      </c>
      <c r="L35" s="306" t="str">
        <f t="shared" si="25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6"/>
        <v>0</v>
      </c>
      <c r="W35" s="160">
        <f t="shared" si="27"/>
        <v>0</v>
      </c>
      <c r="X35" s="160">
        <f t="shared" si="28"/>
        <v>0</v>
      </c>
      <c r="Y35" s="160">
        <f t="shared" si="29"/>
        <v>0</v>
      </c>
      <c r="Z35" s="160">
        <f t="shared" si="30"/>
        <v>0</v>
      </c>
      <c r="AA35" s="160">
        <f t="shared" si="31"/>
        <v>0</v>
      </c>
      <c r="AB35" s="160">
        <f t="shared" si="32"/>
        <v>0</v>
      </c>
      <c r="AC35" s="160">
        <f t="shared" si="33"/>
        <v>0</v>
      </c>
      <c r="AD35" s="307">
        <f t="shared" si="34"/>
        <v>0</v>
      </c>
      <c r="AE35" s="308" t="str">
        <f t="shared" si="35"/>
        <v/>
      </c>
      <c r="AF35" s="258" t="str">
        <f t="shared" si="14"/>
        <v/>
      </c>
      <c r="AG35" s="258" t="str">
        <f t="shared" si="15"/>
        <v/>
      </c>
      <c r="AH35" s="258" t="str">
        <f t="shared" si="16"/>
        <v/>
      </c>
      <c r="AI35" s="290"/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19"/>
        <v/>
      </c>
      <c r="AQ35" s="166" t="str">
        <f t="shared" si="20"/>
        <v/>
      </c>
      <c r="AR35" s="166" t="str">
        <f t="shared" si="21"/>
        <v/>
      </c>
    </row>
    <row r="36" spans="1:45" s="162" customFormat="1" ht="25.2" customHeight="1" x14ac:dyDescent="0.3">
      <c r="A36" s="223">
        <v>32</v>
      </c>
      <c r="B36" s="304" t="str" cm="1">
        <f t="array" ref="B36">IF($J$1="Active",IF(Salary_Master!B36="","",_xlfn.IFS(Salary_Master!M36="Working",IF(Salary_Master!H36&lt;=DATE(2025,10,31),Salary_Master!B36,""),Salary_Master!M36="Left",IF(Salary_Master!N36&gt;DATE(2025,9,30),Salary_Master!B36,""))),"")</f>
        <v/>
      </c>
      <c r="C36" s="304">
        <v>31</v>
      </c>
      <c r="D36" s="305" t="str">
        <f t="shared" si="22"/>
        <v/>
      </c>
      <c r="E36" s="177"/>
      <c r="F36" s="177"/>
      <c r="G36" s="177"/>
      <c r="H36" s="305" t="str">
        <f t="shared" si="23"/>
        <v/>
      </c>
      <c r="I36" s="177"/>
      <c r="J36" s="177"/>
      <c r="K36" s="306" t="str">
        <f t="shared" si="24"/>
        <v/>
      </c>
      <c r="L36" s="306" t="str">
        <f t="shared" si="25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6"/>
        <v>0</v>
      </c>
      <c r="W36" s="160">
        <f t="shared" si="27"/>
        <v>0</v>
      </c>
      <c r="X36" s="160">
        <f t="shared" si="28"/>
        <v>0</v>
      </c>
      <c r="Y36" s="160">
        <f t="shared" si="29"/>
        <v>0</v>
      </c>
      <c r="Z36" s="160">
        <f t="shared" si="30"/>
        <v>0</v>
      </c>
      <c r="AA36" s="160">
        <f t="shared" si="31"/>
        <v>0</v>
      </c>
      <c r="AB36" s="160">
        <f t="shared" si="32"/>
        <v>0</v>
      </c>
      <c r="AC36" s="160">
        <f t="shared" si="33"/>
        <v>0</v>
      </c>
      <c r="AD36" s="307">
        <f t="shared" si="34"/>
        <v>0</v>
      </c>
      <c r="AE36" s="308" t="str">
        <f t="shared" si="35"/>
        <v/>
      </c>
      <c r="AF36" s="258" t="str">
        <f t="shared" si="14"/>
        <v/>
      </c>
      <c r="AG36" s="258" t="str">
        <f t="shared" si="15"/>
        <v/>
      </c>
      <c r="AH36" s="258" t="str">
        <f t="shared" si="16"/>
        <v/>
      </c>
      <c r="AI36" s="290"/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19"/>
        <v/>
      </c>
      <c r="AQ36" s="166" t="str">
        <f t="shared" si="20"/>
        <v/>
      </c>
      <c r="AR36" s="166" t="str">
        <f t="shared" si="21"/>
        <v/>
      </c>
    </row>
    <row r="37" spans="1:45" s="162" customFormat="1" ht="25.2" customHeight="1" x14ac:dyDescent="0.3">
      <c r="A37" s="223">
        <v>33</v>
      </c>
      <c r="B37" s="304" t="str" cm="1">
        <f t="array" ref="B37">IF($J$1="Active",IF(Salary_Master!B37="","",_xlfn.IFS(Salary_Master!M37="Working",IF(Salary_Master!H37&lt;=DATE(2025,10,31),Salary_Master!B37,""),Salary_Master!M37="Left",IF(Salary_Master!N37&gt;DATE(2025,9,30),Salary_Master!B37,""))),"")</f>
        <v/>
      </c>
      <c r="C37" s="304">
        <v>31</v>
      </c>
      <c r="D37" s="305" t="str">
        <f t="shared" si="22"/>
        <v/>
      </c>
      <c r="E37" s="177"/>
      <c r="F37" s="177"/>
      <c r="G37" s="177"/>
      <c r="H37" s="305" t="str">
        <f t="shared" si="23"/>
        <v/>
      </c>
      <c r="I37" s="177"/>
      <c r="J37" s="177"/>
      <c r="K37" s="306" t="str">
        <f t="shared" si="24"/>
        <v/>
      </c>
      <c r="L37" s="306" t="str">
        <f t="shared" si="25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6"/>
        <v>0</v>
      </c>
      <c r="W37" s="160">
        <f t="shared" si="27"/>
        <v>0</v>
      </c>
      <c r="X37" s="160">
        <f t="shared" si="28"/>
        <v>0</v>
      </c>
      <c r="Y37" s="160">
        <f t="shared" si="29"/>
        <v>0</v>
      </c>
      <c r="Z37" s="160">
        <f t="shared" si="30"/>
        <v>0</v>
      </c>
      <c r="AA37" s="160">
        <f t="shared" si="31"/>
        <v>0</v>
      </c>
      <c r="AB37" s="160">
        <f t="shared" si="32"/>
        <v>0</v>
      </c>
      <c r="AC37" s="160">
        <f t="shared" si="33"/>
        <v>0</v>
      </c>
      <c r="AD37" s="307">
        <f t="shared" si="34"/>
        <v>0</v>
      </c>
      <c r="AE37" s="308" t="str">
        <f t="shared" si="35"/>
        <v/>
      </c>
      <c r="AF37" s="258" t="str">
        <f t="shared" si="14"/>
        <v/>
      </c>
      <c r="AG37" s="258" t="str">
        <f t="shared" si="15"/>
        <v/>
      </c>
      <c r="AH37" s="258" t="str">
        <f t="shared" si="16"/>
        <v/>
      </c>
      <c r="AI37" s="290"/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19"/>
        <v/>
      </c>
      <c r="AQ37" s="166" t="str">
        <f t="shared" si="20"/>
        <v/>
      </c>
      <c r="AR37" s="166" t="str">
        <f t="shared" si="21"/>
        <v/>
      </c>
    </row>
    <row r="38" spans="1:45" s="162" customFormat="1" ht="25.2" customHeight="1" x14ac:dyDescent="0.3">
      <c r="A38" s="223">
        <v>34</v>
      </c>
      <c r="B38" s="304" t="str" cm="1">
        <f t="array" ref="B38">IF($J$1="Active",IF(Salary_Master!B38="","",_xlfn.IFS(Salary_Master!M38="Working",IF(Salary_Master!H38&lt;=DATE(2025,10,31),Salary_Master!B38,""),Salary_Master!M38="Left",IF(Salary_Master!N38&gt;DATE(2025,9,30),Salary_Master!B38,""))),"")</f>
        <v/>
      </c>
      <c r="C38" s="304">
        <v>31</v>
      </c>
      <c r="D38" s="305" t="str">
        <f t="shared" si="22"/>
        <v/>
      </c>
      <c r="E38" s="177"/>
      <c r="F38" s="177"/>
      <c r="G38" s="177"/>
      <c r="H38" s="305" t="str">
        <f t="shared" si="23"/>
        <v/>
      </c>
      <c r="I38" s="177"/>
      <c r="J38" s="177"/>
      <c r="K38" s="306" t="str">
        <f t="shared" si="24"/>
        <v/>
      </c>
      <c r="L38" s="306" t="str">
        <f t="shared" si="25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6"/>
        <v>0</v>
      </c>
      <c r="W38" s="160">
        <f t="shared" si="27"/>
        <v>0</v>
      </c>
      <c r="X38" s="160">
        <f t="shared" si="28"/>
        <v>0</v>
      </c>
      <c r="Y38" s="160">
        <f t="shared" si="29"/>
        <v>0</v>
      </c>
      <c r="Z38" s="160">
        <f t="shared" si="30"/>
        <v>0</v>
      </c>
      <c r="AA38" s="160">
        <f t="shared" si="31"/>
        <v>0</v>
      </c>
      <c r="AB38" s="160">
        <f t="shared" si="32"/>
        <v>0</v>
      </c>
      <c r="AC38" s="160">
        <f t="shared" si="33"/>
        <v>0</v>
      </c>
      <c r="AD38" s="307">
        <f t="shared" si="34"/>
        <v>0</v>
      </c>
      <c r="AE38" s="308" t="str">
        <f t="shared" si="35"/>
        <v/>
      </c>
      <c r="AF38" s="258" t="str">
        <f t="shared" si="14"/>
        <v/>
      </c>
      <c r="AG38" s="258" t="str">
        <f t="shared" si="15"/>
        <v/>
      </c>
      <c r="AH38" s="258" t="str">
        <f t="shared" si="16"/>
        <v/>
      </c>
      <c r="AI38" s="290"/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19"/>
        <v/>
      </c>
      <c r="AQ38" s="166" t="str">
        <f t="shared" si="20"/>
        <v/>
      </c>
      <c r="AR38" s="166" t="str">
        <f t="shared" si="21"/>
        <v/>
      </c>
    </row>
    <row r="39" spans="1:45" s="162" customFormat="1" ht="25.2" customHeight="1" thickBot="1" x14ac:dyDescent="0.35">
      <c r="A39" s="174">
        <v>35</v>
      </c>
      <c r="B39" s="309" t="str" cm="1">
        <f t="array" ref="B39">IF($J$1="Active",IF(Salary_Master!B39="","",_xlfn.IFS(Salary_Master!M39="Working",IF(Salary_Master!H39&lt;=DATE(2025,10,31),Salary_Master!B39,""),Salary_Master!M39="Left",IF(Salary_Master!N39&gt;DATE(2025,9,30),Salary_Master!B39,""))),"")</f>
        <v/>
      </c>
      <c r="C39" s="309">
        <v>31</v>
      </c>
      <c r="D39" s="310" t="str">
        <f t="shared" si="22"/>
        <v/>
      </c>
      <c r="E39" s="311"/>
      <c r="F39" s="311"/>
      <c r="G39" s="311"/>
      <c r="H39" s="310" t="str">
        <f t="shared" si="23"/>
        <v/>
      </c>
      <c r="I39" s="311"/>
      <c r="J39" s="311"/>
      <c r="K39" s="312" t="str">
        <f t="shared" si="24"/>
        <v/>
      </c>
      <c r="L39" s="312" t="str">
        <f t="shared" si="25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6"/>
        <v>0</v>
      </c>
      <c r="W39" s="297">
        <f t="shared" si="27"/>
        <v>0</v>
      </c>
      <c r="X39" s="297">
        <f t="shared" si="28"/>
        <v>0</v>
      </c>
      <c r="Y39" s="297">
        <f t="shared" si="29"/>
        <v>0</v>
      </c>
      <c r="Z39" s="297">
        <f t="shared" si="30"/>
        <v>0</v>
      </c>
      <c r="AA39" s="297">
        <f t="shared" si="31"/>
        <v>0</v>
      </c>
      <c r="AB39" s="297">
        <f t="shared" si="32"/>
        <v>0</v>
      </c>
      <c r="AC39" s="297">
        <f t="shared" si="33"/>
        <v>0</v>
      </c>
      <c r="AD39" s="317">
        <f t="shared" si="34"/>
        <v>0</v>
      </c>
      <c r="AE39" s="318" t="str">
        <f t="shared" si="35"/>
        <v/>
      </c>
      <c r="AF39" s="258" t="str">
        <f t="shared" si="14"/>
        <v/>
      </c>
      <c r="AG39" s="258" t="str">
        <f t="shared" si="15"/>
        <v/>
      </c>
      <c r="AH39" s="258" t="str">
        <f t="shared" si="16"/>
        <v/>
      </c>
      <c r="AI39" s="292"/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19"/>
        <v/>
      </c>
      <c r="AQ39" s="166" t="str">
        <f t="shared" si="20"/>
        <v/>
      </c>
      <c r="AR39" s="166" t="str">
        <f t="shared" si="21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6">SUM(W5:W39)</f>
        <v>0</v>
      </c>
      <c r="X40" s="183">
        <f t="shared" si="36"/>
        <v>0</v>
      </c>
      <c r="Y40" s="183">
        <f t="shared" si="36"/>
        <v>0</v>
      </c>
      <c r="Z40" s="183">
        <f t="shared" si="36"/>
        <v>0</v>
      </c>
      <c r="AA40" s="183">
        <f t="shared" si="36"/>
        <v>0</v>
      </c>
      <c r="AB40" s="183">
        <f t="shared" si="36"/>
        <v>0</v>
      </c>
      <c r="AC40" s="183">
        <f t="shared" si="36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mergeCells count="3">
    <mergeCell ref="J1:K1"/>
    <mergeCell ref="AP2:AR2"/>
    <mergeCell ref="A40:U40"/>
  </mergeCells>
  <conditionalFormatting sqref="H5:H39">
    <cfRule type="cellIs" dxfId="17" priority="2" operator="greaterThan">
      <formula>32</formula>
    </cfRule>
    <cfRule type="cellIs" dxfId="16" priority="3" operator="greaterThan">
      <formula>31</formula>
    </cfRule>
  </conditionalFormatting>
  <conditionalFormatting sqref="H5:H39">
    <cfRule type="cellIs" dxfId="15" priority="1" operator="greaterThan">
      <formula>32</formula>
    </cfRule>
  </conditionalFormatting>
  <dataValidations count="6">
    <dataValidation type="list" allowBlank="1" showInputMessage="1" showErrorMessage="1" sqref="J1:K1" xr:uid="{B926AD96-E4B2-4BBA-A881-38C9F6414082}">
      <formula1>"Active,Non-Active"</formula1>
    </dataValidation>
    <dataValidation type="list" allowBlank="1" showInputMessage="1" showErrorMessage="1" sqref="AK5:AK39 AL40 M5:M39" xr:uid="{D23AF445-702C-459E-83EF-B6C0E2C2678B}">
      <formula1>"Yes,No"</formula1>
    </dataValidation>
    <dataValidation type="list" allowBlank="1" sqref="K5:L39" xr:uid="{71009E6B-2A9F-4D5A-9FEC-887E0CECD48C}">
      <formula1>"Yes,No"</formula1>
    </dataValidation>
    <dataValidation type="custom" allowBlank="1" showInputMessage="1" showErrorMessage="1" errorTitle="Below Limit !!!" error="Total leaves are going negative if this value is entered. Try to enter less value." sqref="G5:G39" xr:uid="{E5FD5FA8-74B9-4C2E-9940-C72583C84755}">
      <formula1>$AP5&lt;=7</formula1>
    </dataValidation>
    <dataValidation type="custom" allowBlank="1" showInputMessage="1" showErrorMessage="1" errorTitle="Below Limit !!!" error="Total leaves are going negative if this value is entered. Try to enter less value." sqref="F5:F39" xr:uid="{7DDD20CA-15AE-4400-8659-F5C4D50DEB5D}">
      <formula1>$AO5&lt;=7</formula1>
    </dataValidation>
    <dataValidation type="custom" allowBlank="1" showInputMessage="1" showErrorMessage="1" errorTitle="Below Limit !!!" error="Total leaves are going negative if this value is entered. Try to enter less value." sqref="E5:E39" xr:uid="{668425AD-FBE9-4AC5-B394-1291A28B12EE}">
      <formula1>$AN5&lt;=7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B5C75-FB2B-4508-B94B-1C2281A3122F}">
  <sheetPr codeName="Sheet43">
    <tabColor rgb="FF92D050"/>
  </sheetPr>
  <dimension ref="A1:AT40"/>
  <sheetViews>
    <sheetView workbookViewId="0">
      <pane xSplit="13" ySplit="4" topLeftCell="AA31" activePane="bottomRight" state="frozen"/>
      <selection activeCell="J1" sqref="J1:K1"/>
      <selection pane="topRight" activeCell="J1" sqref="J1:K1"/>
      <selection pane="bottomLeft" activeCell="J1" sqref="J1:K1"/>
      <selection pane="bottomRight" activeCell="J1" sqref="J1:K1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10937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193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IF($J$1="Active",IF(Salary_Master!B5="","",_xlfn.IFS(Salary_Master!M5="Working",IF(Salary_Master!H5&lt;=DATE(2025,11,30),Salary_Master!B5,""),Salary_Master!M5="Left",IF(Salary_Master!N5&gt;DATE(2025,10,31),Salary_Master!B5,""))),"")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" si="1">IF($J$1="Active",IF(B5="","",VLOOKUP(B5,Salary_Master,14,FALSE)),"")</f>
        <v/>
      </c>
      <c r="L5" s="158" t="str">
        <f t="shared" ref="L5" si="2">IF($J$1="Active",IF(B5="","",VLOOKUP(B5,Salary_Master,15,FALSE)),"")</f>
        <v/>
      </c>
      <c r="M5" s="159"/>
      <c r="N5" s="169" t="str">
        <f t="shared" ref="N5:N39" si="3">IFERROR(ROUND(IF($B5="","",SUM(VLOOKUP($B5,Salary_Master,17,FALSE)/31*$H5)),0),"")</f>
        <v/>
      </c>
      <c r="O5" s="170" t="str">
        <f t="shared" ref="O5:O39" si="4">IFERROR(ROUND(IF($B5="","",SUM(VLOOKUP($B5,Salary_Master,18,FALSE)/31*$H5)),0),"")</f>
        <v/>
      </c>
      <c r="P5" s="170" t="str">
        <f t="shared" ref="P5:P39" si="5">IFERROR(ROUND(IF($B5="","",SUM(VLOOKUP($B5,Salary_Master,19,FALSE)/31*$H5)),0),"")</f>
        <v/>
      </c>
      <c r="Q5" s="170" t="str">
        <f t="shared" ref="Q5:Q39" si="6">IFERROR(ROUND(IF($B5="","",SUM(VLOOKUP($B5,Salary_Master,20,FALSE)/31*$H5)),0),"")</f>
        <v/>
      </c>
      <c r="R5" s="170" t="str">
        <f t="shared" ref="R5:R39" si="7">IFERROR(ROUND(IF($B5="","",SUM(VLOOKUP($B5,Salary_Master,21,FALSE)/31*$H5)),0),"")</f>
        <v/>
      </c>
      <c r="S5" s="170" t="str">
        <f t="shared" ref="S5:S39" si="8">IFERROR(ROUND(IF($B5="","",SUM(VLOOKUP($B5,Salary_Master,22,FALSE)/31*$H5)),0),"")</f>
        <v/>
      </c>
      <c r="T5" s="170" t="str">
        <f t="shared" ref="T5:T39" si="9">IFERROR(ROUND(IF($B5="","",SUM(VLOOKUP($B5,Salary_Master,23,FALSE)/31*$H5)),0),"")</f>
        <v/>
      </c>
      <c r="U5" s="170" t="str">
        <f t="shared" ref="U5:U39" si="10">IFERROR(ROUND(IF($B5="","",SUM(VLOOKUP($B5,Salary_Master,24,FALSE)/31*$H5)),0),"")</f>
        <v/>
      </c>
      <c r="V5" s="261">
        <f>ROUND(SUM(N5:U5),0)</f>
        <v>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" si="13">IF(B5="","",VLOOKUP(B5,Salary_Master,8,FALSE))</f>
        <v/>
      </c>
      <c r="AF5" s="164" t="str">
        <f t="shared" ref="AF5:AF39" si="14">IFERROR(IF($J$1="Non-Active","",IF(VLOOKUP($B5,Octt25,36,FALSE)="No",IF($AK5="Yes",MROUND($AJ5/3,0.5)-$E5,""),IF(VLOOKUP($B5,Octt25,36,FALSE)="Yes",(VLOOKUP($B5,Octt25,31,FALSE)-$E5),""))),"")</f>
        <v/>
      </c>
      <c r="AG5" s="164" t="str">
        <f t="shared" ref="AG5:AG39" si="15">IFERROR(IF($J$1="Non-Active","",IF(VLOOKUP($B5,Octt25,36,FALSE)="No",IF($AK5="Yes",MROUND($AJ5/3,0.5)-$F5,""),IF(VLOOKUP($B5,Octt25,36,FALSE)="Yes",(VLOOKUP($B5,Octt25,32,FALSE)-$F5),""))),"")</f>
        <v/>
      </c>
      <c r="AH5" s="164" t="str">
        <f t="shared" ref="AH5:AH39" si="16">IFERROR(IF($J$1="Non-Active","",IF(VLOOKUP($B5,Octt25,36,FALSE)="No",IF($AK5="Yes",($AJ5-(AF5+AG5)-(E5+F5))-$G5,""),IF(VLOOKUP($B5,Octt25,36,FALSE)="Yes",(VLOOKUP($B5,Octt25,33,FALSE)-$G5),""))),"")</f>
        <v/>
      </c>
      <c r="AI5" s="289"/>
      <c r="AJ5" s="296" t="str">
        <f t="shared" ref="AJ5:AJ39" si="17">IF(AK5="Yes",IF(VLOOKUP($B5,Octt25,36,FALSE)="No",MROUND(SUM(21/12*6),0.5),""),"")</f>
        <v/>
      </c>
      <c r="AK5" s="287" t="str">
        <f t="shared" ref="AK5:AK39" si="18">IF($J$1="Non-Active","",IF($B5="","",VLOOKUP($B5,Octt25,36,FALSE)))</f>
        <v/>
      </c>
      <c r="AM5" s="179"/>
      <c r="AN5" s="179"/>
      <c r="AP5" s="166" t="str">
        <f t="shared" ref="AP5:AP39" si="19">IFERROR(IF($B5="","",(VLOOKUP($B5,Aprr25,4,FALSE)+VLOOKUP($B5,Mayy25,4,FALSE)+VLOOKUP($B5,Junn25,4,FALSE)+VLOOKUP($B5,Jull25,4,FALSE)+VLOOKUP($B5,Augg25,4,FALSE)+VLOOKUP($B5,Sepp25,4,FALSE)+VLOOKUP($B5,Octt25,4,FALSE)+VLOOKUP($B5,Novv25,4,FALSE))),0)</f>
        <v/>
      </c>
      <c r="AQ5" s="166" t="str">
        <f t="shared" ref="AQ5:AQ39" si="20">IFERROR(IF($B5="","",(VLOOKUP($B5,Aprr25,5,FALSE)+VLOOKUP($B5,Mayy25,5,FALSE)+VLOOKUP($B5,Junn25,5,FALSE)+VLOOKUP($B5,Jull25,5,FALSE)+VLOOKUP($B5,Augg25,5,FALSE)+VLOOKUP($B5,Sepp25,5,FALSE)+VLOOKUP($B5,Octt25,5,FALSE)+VLOOKUP($B5,Novv25,5,FALSE))),0)</f>
        <v/>
      </c>
      <c r="AR5" s="166" t="str">
        <f t="shared" ref="AR5:AR39" si="21">IFERROR(IF($B5="","",(VLOOKUP($B5,Aprr25,6,FALSE)+VLOOKUP($B5,Mayy25,6,FALSE)+VLOOKUP($B5,Junn25,6,FALSE)+VLOOKUP($B5,Jull25,6,FALSE)+VLOOKUP($B5,Augg25,6,FALSE)+VLOOKUP($B5,Sepp25,6,FALSE)+VLOOKUP($B5,Octt25,6,FALSE)+VLOOKUP($B5,Novv25,6,FALSE))),0)</f>
        <v/>
      </c>
    </row>
    <row r="6" spans="1:46" s="162" customFormat="1" ht="25.2" customHeight="1" x14ac:dyDescent="0.3">
      <c r="A6" s="167">
        <v>2</v>
      </c>
      <c r="B6" s="304" t="str" cm="1">
        <f t="array" ref="B6">IF($J$1="Active",IF(Salary_Master!B6="","",_xlfn.IFS(Salary_Master!M6="Working",IF(Salary_Master!H6&lt;=DATE(2025,11,30),Salary_Master!B6,""),Salary_Master!M6="Left",IF(Salary_Master!N6&gt;DATE(2025,10,31),Salary_Master!B6,""))),"")</f>
        <v/>
      </c>
      <c r="C6" s="304">
        <v>31</v>
      </c>
      <c r="D6" s="305" t="str">
        <f t="shared" ref="D6:D39" si="22">IF($J$1="Active",IF(B6="","",C6-SUM(E6:G6)-I6),"")</f>
        <v/>
      </c>
      <c r="E6" s="177"/>
      <c r="F6" s="177"/>
      <c r="G6" s="177"/>
      <c r="H6" s="305" t="str">
        <f t="shared" ref="H6:H39" si="23">IF(SUM(D6:G6)=0,"",SUM(D6:G6))</f>
        <v/>
      </c>
      <c r="I6" s="177"/>
      <c r="J6" s="177"/>
      <c r="K6" s="306" t="str">
        <f t="shared" ref="K6:K39" si="24">IF($J$1="Active",IF(B6="","",VLOOKUP(B6,Salary_Master,14,FALSE)),"")</f>
        <v/>
      </c>
      <c r="L6" s="306" t="str">
        <f t="shared" ref="L6:L39" si="25">IF($J$1="Active",IF(B6="","",VLOOKUP(B6,Salary_Master,15,FALSE)),"")</f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si="8"/>
        <v/>
      </c>
      <c r="T6" s="170" t="str">
        <f t="shared" si="9"/>
        <v/>
      </c>
      <c r="U6" s="170" t="str">
        <f t="shared" si="10"/>
        <v/>
      </c>
      <c r="V6" s="262">
        <f t="shared" ref="V6:V39" si="26">ROUND(SUM(N6:U6),0)</f>
        <v>0</v>
      </c>
      <c r="W6" s="160">
        <f t="shared" ref="W6:W39" si="27">IFERROR(ROUND(IF(K6="Yes",IF((V6-O6)&gt;15000,1800,SUM(V6-O6)*12%),),),"")</f>
        <v>0</v>
      </c>
      <c r="X6" s="160">
        <f t="shared" ref="X6:X39" si="28">IF(B6="Sagar Kadam",0,IF(B6="Rahul Jadhav",0,IF(W6="","",W6)))</f>
        <v>0</v>
      </c>
      <c r="Y6" s="160">
        <f t="shared" ref="Y6:Y39" si="29">ROUND(IF(L6="Yes",V6*0.75%,0),0)</f>
        <v>0</v>
      </c>
      <c r="Z6" s="160">
        <f t="shared" ref="Z6:Z39" si="30">IF(B6="Sagar Kadam",0,IF(B6="Rahul Jadhav",0,ROUND(IF(L6="Yes",V6*3.25%,0),0)))</f>
        <v>0</v>
      </c>
      <c r="AA6" s="160">
        <f t="shared" ref="AA6:AA39" si="31">IF(AE6="Female",IF(V6&gt;24999,200,0),IF(V6&gt;7500,200,0))</f>
        <v>0</v>
      </c>
      <c r="AB6" s="160">
        <f t="shared" ref="AB6:AB39" si="32">AM6</f>
        <v>0</v>
      </c>
      <c r="AC6" s="160">
        <f t="shared" ref="AC6:AC39" si="33">AN6</f>
        <v>0</v>
      </c>
      <c r="AD6" s="307">
        <f t="shared" ref="AD6:AD39" si="34">ROUND(V6-SUM(W6:AC6),0)</f>
        <v>0</v>
      </c>
      <c r="AE6" s="308" t="str">
        <f t="shared" ref="AE6:AE39" si="35">IF(B6="","",VLOOKUP(B6,Salary_Master,8,FALSE))</f>
        <v/>
      </c>
      <c r="AF6" s="163" t="str">
        <f t="shared" si="14"/>
        <v/>
      </c>
      <c r="AG6" s="163" t="str">
        <f t="shared" si="15"/>
        <v/>
      </c>
      <c r="AH6" s="163" t="str">
        <f t="shared" si="16"/>
        <v/>
      </c>
      <c r="AI6" s="290"/>
      <c r="AJ6" s="165" t="str">
        <f t="shared" si="17"/>
        <v/>
      </c>
      <c r="AK6" s="180" t="str">
        <f t="shared" si="18"/>
        <v/>
      </c>
      <c r="AM6" s="179"/>
      <c r="AN6" s="179"/>
      <c r="AP6" s="166" t="str">
        <f t="shared" si="19"/>
        <v/>
      </c>
      <c r="AQ6" s="166" t="str">
        <f t="shared" si="20"/>
        <v/>
      </c>
      <c r="AR6" s="166" t="str">
        <f t="shared" si="21"/>
        <v/>
      </c>
    </row>
    <row r="7" spans="1:46" s="162" customFormat="1" ht="25.2" customHeight="1" x14ac:dyDescent="0.3">
      <c r="A7" s="167">
        <v>3</v>
      </c>
      <c r="B7" s="304" t="str" cm="1">
        <f t="array" ref="B7">IF($J$1="Active",IF(Salary_Master!B7="","",_xlfn.IFS(Salary_Master!M7="Working",IF(Salary_Master!H7&lt;=DATE(2025,11,30),Salary_Master!B7,""),Salary_Master!M7="Left",IF(Salary_Master!N7&gt;DATE(2025,10,31),Salary_Master!B7,""))),"")</f>
        <v/>
      </c>
      <c r="C7" s="304">
        <v>31</v>
      </c>
      <c r="D7" s="305" t="str">
        <f t="shared" si="22"/>
        <v/>
      </c>
      <c r="E7" s="177"/>
      <c r="F7" s="177"/>
      <c r="G7" s="177"/>
      <c r="H7" s="305" t="str">
        <f t="shared" si="23"/>
        <v/>
      </c>
      <c r="I7" s="177"/>
      <c r="J7" s="177"/>
      <c r="K7" s="306" t="str">
        <f t="shared" si="24"/>
        <v/>
      </c>
      <c r="L7" s="306" t="str">
        <f t="shared" si="25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8"/>
        <v/>
      </c>
      <c r="T7" s="170" t="str">
        <f t="shared" si="9"/>
        <v/>
      </c>
      <c r="U7" s="170" t="str">
        <f t="shared" si="10"/>
        <v/>
      </c>
      <c r="V7" s="262">
        <f t="shared" si="26"/>
        <v>0</v>
      </c>
      <c r="W7" s="160">
        <f t="shared" si="27"/>
        <v>0</v>
      </c>
      <c r="X7" s="160">
        <f t="shared" si="28"/>
        <v>0</v>
      </c>
      <c r="Y7" s="160">
        <f t="shared" si="29"/>
        <v>0</v>
      </c>
      <c r="Z7" s="160">
        <f t="shared" si="30"/>
        <v>0</v>
      </c>
      <c r="AA7" s="160">
        <f t="shared" si="31"/>
        <v>0</v>
      </c>
      <c r="AB7" s="160">
        <f t="shared" si="32"/>
        <v>0</v>
      </c>
      <c r="AC7" s="160">
        <f t="shared" si="33"/>
        <v>0</v>
      </c>
      <c r="AD7" s="307">
        <f t="shared" si="34"/>
        <v>0</v>
      </c>
      <c r="AE7" s="308" t="str">
        <f t="shared" si="35"/>
        <v/>
      </c>
      <c r="AF7" s="163" t="str">
        <f t="shared" si="14"/>
        <v/>
      </c>
      <c r="AG7" s="163" t="str">
        <f t="shared" si="15"/>
        <v/>
      </c>
      <c r="AH7" s="163" t="str">
        <f t="shared" si="16"/>
        <v/>
      </c>
      <c r="AI7" s="290"/>
      <c r="AJ7" s="165" t="str">
        <f t="shared" si="17"/>
        <v/>
      </c>
      <c r="AK7" s="180" t="str">
        <f t="shared" si="18"/>
        <v/>
      </c>
      <c r="AM7" s="179"/>
      <c r="AN7" s="179"/>
      <c r="AP7" s="166" t="str">
        <f t="shared" si="19"/>
        <v/>
      </c>
      <c r="AQ7" s="166" t="str">
        <f t="shared" si="20"/>
        <v/>
      </c>
      <c r="AR7" s="166" t="str">
        <f t="shared" si="21"/>
        <v/>
      </c>
    </row>
    <row r="8" spans="1:46" s="162" customFormat="1" ht="25.2" customHeight="1" x14ac:dyDescent="0.3">
      <c r="A8" s="167">
        <v>4</v>
      </c>
      <c r="B8" s="304" t="str" cm="1">
        <f t="array" ref="B8">IF($J$1="Active",IF(Salary_Master!B8="","",_xlfn.IFS(Salary_Master!M8="Working",IF(Salary_Master!H8&lt;=DATE(2025,11,30),Salary_Master!B8,""),Salary_Master!M8="Left",IF(Salary_Master!N8&gt;DATE(2025,10,31),Salary_Master!B8,""))),"")</f>
        <v/>
      </c>
      <c r="C8" s="304">
        <v>31</v>
      </c>
      <c r="D8" s="305" t="str">
        <f t="shared" si="22"/>
        <v/>
      </c>
      <c r="E8" s="177"/>
      <c r="F8" s="177"/>
      <c r="G8" s="177"/>
      <c r="H8" s="305" t="str">
        <f t="shared" si="23"/>
        <v/>
      </c>
      <c r="I8" s="177"/>
      <c r="J8" s="177"/>
      <c r="K8" s="306" t="str">
        <f t="shared" si="24"/>
        <v/>
      </c>
      <c r="L8" s="306" t="str">
        <f t="shared" si="25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8"/>
        <v/>
      </c>
      <c r="T8" s="170" t="str">
        <f t="shared" si="9"/>
        <v/>
      </c>
      <c r="U8" s="170" t="str">
        <f t="shared" si="10"/>
        <v/>
      </c>
      <c r="V8" s="262">
        <f t="shared" si="26"/>
        <v>0</v>
      </c>
      <c r="W8" s="160">
        <f t="shared" si="27"/>
        <v>0</v>
      </c>
      <c r="X8" s="160">
        <f t="shared" si="28"/>
        <v>0</v>
      </c>
      <c r="Y8" s="160">
        <f t="shared" si="29"/>
        <v>0</v>
      </c>
      <c r="Z8" s="160">
        <f t="shared" si="30"/>
        <v>0</v>
      </c>
      <c r="AA8" s="160">
        <f t="shared" si="31"/>
        <v>0</v>
      </c>
      <c r="AB8" s="160">
        <f t="shared" si="32"/>
        <v>0</v>
      </c>
      <c r="AC8" s="160">
        <f t="shared" si="33"/>
        <v>0</v>
      </c>
      <c r="AD8" s="307">
        <f t="shared" si="34"/>
        <v>0</v>
      </c>
      <c r="AE8" s="308" t="str">
        <f t="shared" si="35"/>
        <v/>
      </c>
      <c r="AF8" s="163" t="str">
        <f t="shared" si="14"/>
        <v/>
      </c>
      <c r="AG8" s="163" t="str">
        <f t="shared" si="15"/>
        <v/>
      </c>
      <c r="AH8" s="163" t="str">
        <f t="shared" si="16"/>
        <v/>
      </c>
      <c r="AI8" s="290"/>
      <c r="AJ8" s="165" t="str">
        <f t="shared" si="17"/>
        <v/>
      </c>
      <c r="AK8" s="180" t="str">
        <f t="shared" si="18"/>
        <v/>
      </c>
      <c r="AM8" s="179"/>
      <c r="AN8" s="179"/>
      <c r="AP8" s="166" t="str">
        <f t="shared" si="19"/>
        <v/>
      </c>
      <c r="AQ8" s="166" t="str">
        <f t="shared" si="20"/>
        <v/>
      </c>
      <c r="AR8" s="166" t="str">
        <f t="shared" si="21"/>
        <v/>
      </c>
    </row>
    <row r="9" spans="1:46" s="162" customFormat="1" ht="25.2" customHeight="1" x14ac:dyDescent="0.3">
      <c r="A9" s="167">
        <v>5</v>
      </c>
      <c r="B9" s="304" t="str" cm="1">
        <f t="array" ref="B9">IF($J$1="Active",IF(Salary_Master!B9="","",_xlfn.IFS(Salary_Master!M9="Working",IF(Salary_Master!H9&lt;=DATE(2025,11,30),Salary_Master!B9,""),Salary_Master!M9="Left",IF(Salary_Master!N9&gt;DATE(2025,10,31),Salary_Master!B9,""))),"")</f>
        <v/>
      </c>
      <c r="C9" s="304">
        <v>31</v>
      </c>
      <c r="D9" s="305" t="str">
        <f t="shared" si="22"/>
        <v/>
      </c>
      <c r="E9" s="177"/>
      <c r="F9" s="177"/>
      <c r="G9" s="177"/>
      <c r="H9" s="305" t="str">
        <f t="shared" si="23"/>
        <v/>
      </c>
      <c r="I9" s="177"/>
      <c r="J9" s="177"/>
      <c r="K9" s="306" t="str">
        <f t="shared" si="24"/>
        <v/>
      </c>
      <c r="L9" s="306" t="str">
        <f t="shared" si="25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8"/>
        <v/>
      </c>
      <c r="T9" s="170" t="str">
        <f t="shared" si="9"/>
        <v/>
      </c>
      <c r="U9" s="170" t="str">
        <f t="shared" si="10"/>
        <v/>
      </c>
      <c r="V9" s="262">
        <f t="shared" si="26"/>
        <v>0</v>
      </c>
      <c r="W9" s="160">
        <f t="shared" si="27"/>
        <v>0</v>
      </c>
      <c r="X9" s="160">
        <f t="shared" si="28"/>
        <v>0</v>
      </c>
      <c r="Y9" s="160">
        <f t="shared" si="29"/>
        <v>0</v>
      </c>
      <c r="Z9" s="160">
        <f t="shared" si="30"/>
        <v>0</v>
      </c>
      <c r="AA9" s="160">
        <f t="shared" si="31"/>
        <v>0</v>
      </c>
      <c r="AB9" s="160">
        <f t="shared" si="32"/>
        <v>0</v>
      </c>
      <c r="AC9" s="160">
        <f t="shared" si="33"/>
        <v>0</v>
      </c>
      <c r="AD9" s="307">
        <f t="shared" si="34"/>
        <v>0</v>
      </c>
      <c r="AE9" s="308" t="str">
        <f t="shared" si="35"/>
        <v/>
      </c>
      <c r="AF9" s="163" t="str">
        <f t="shared" si="14"/>
        <v/>
      </c>
      <c r="AG9" s="163" t="str">
        <f t="shared" si="15"/>
        <v/>
      </c>
      <c r="AH9" s="163" t="str">
        <f t="shared" si="16"/>
        <v/>
      </c>
      <c r="AI9" s="290"/>
      <c r="AJ9" s="165" t="str">
        <f t="shared" si="17"/>
        <v/>
      </c>
      <c r="AK9" s="180" t="str">
        <f t="shared" si="18"/>
        <v/>
      </c>
      <c r="AM9" s="179"/>
      <c r="AN9" s="179"/>
      <c r="AP9" s="166" t="str">
        <f t="shared" si="19"/>
        <v/>
      </c>
      <c r="AQ9" s="166" t="str">
        <f t="shared" si="20"/>
        <v/>
      </c>
      <c r="AR9" s="166" t="str">
        <f t="shared" si="21"/>
        <v/>
      </c>
    </row>
    <row r="10" spans="1:46" s="162" customFormat="1" ht="25.2" customHeight="1" x14ac:dyDescent="0.3">
      <c r="A10" s="167">
        <v>6</v>
      </c>
      <c r="B10" s="304" t="str" cm="1">
        <f t="array" ref="B10">IF($J$1="Active",IF(Salary_Master!B10="","",_xlfn.IFS(Salary_Master!M10="Working",IF(Salary_Master!H10&lt;=DATE(2025,11,30),Salary_Master!B10,""),Salary_Master!M10="Left",IF(Salary_Master!N10&gt;DATE(2025,10,31),Salary_Master!B10,""))),"")</f>
        <v/>
      </c>
      <c r="C10" s="304">
        <v>31</v>
      </c>
      <c r="D10" s="305" t="str">
        <f t="shared" si="22"/>
        <v/>
      </c>
      <c r="E10" s="177"/>
      <c r="F10" s="177"/>
      <c r="G10" s="177"/>
      <c r="H10" s="305" t="str">
        <f t="shared" si="23"/>
        <v/>
      </c>
      <c r="I10" s="177"/>
      <c r="J10" s="177"/>
      <c r="K10" s="306" t="str">
        <f t="shared" si="24"/>
        <v/>
      </c>
      <c r="L10" s="306" t="str">
        <f t="shared" si="25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8"/>
        <v/>
      </c>
      <c r="T10" s="170" t="str">
        <f t="shared" si="9"/>
        <v/>
      </c>
      <c r="U10" s="170" t="str">
        <f t="shared" si="10"/>
        <v/>
      </c>
      <c r="V10" s="262">
        <f t="shared" si="26"/>
        <v>0</v>
      </c>
      <c r="W10" s="160">
        <f t="shared" si="27"/>
        <v>0</v>
      </c>
      <c r="X10" s="160">
        <f t="shared" si="28"/>
        <v>0</v>
      </c>
      <c r="Y10" s="160">
        <f t="shared" si="29"/>
        <v>0</v>
      </c>
      <c r="Z10" s="160">
        <f t="shared" si="30"/>
        <v>0</v>
      </c>
      <c r="AA10" s="160">
        <f t="shared" si="31"/>
        <v>0</v>
      </c>
      <c r="AB10" s="160">
        <f t="shared" si="32"/>
        <v>0</v>
      </c>
      <c r="AC10" s="160">
        <f t="shared" si="33"/>
        <v>0</v>
      </c>
      <c r="AD10" s="307">
        <f t="shared" si="34"/>
        <v>0</v>
      </c>
      <c r="AE10" s="308" t="str">
        <f t="shared" si="35"/>
        <v/>
      </c>
      <c r="AF10" s="163" t="str">
        <f t="shared" si="14"/>
        <v/>
      </c>
      <c r="AG10" s="163" t="str">
        <f t="shared" si="15"/>
        <v/>
      </c>
      <c r="AH10" s="163" t="str">
        <f t="shared" si="16"/>
        <v/>
      </c>
      <c r="AI10" s="290"/>
      <c r="AJ10" s="165" t="str">
        <f t="shared" si="17"/>
        <v/>
      </c>
      <c r="AK10" s="180" t="str">
        <f t="shared" si="18"/>
        <v/>
      </c>
      <c r="AM10" s="179"/>
      <c r="AN10" s="179"/>
      <c r="AP10" s="166" t="str">
        <f t="shared" si="19"/>
        <v/>
      </c>
      <c r="AQ10" s="166" t="str">
        <f t="shared" si="20"/>
        <v/>
      </c>
      <c r="AR10" s="166" t="str">
        <f t="shared" si="21"/>
        <v/>
      </c>
    </row>
    <row r="11" spans="1:46" s="162" customFormat="1" ht="25.2" customHeight="1" x14ac:dyDescent="0.3">
      <c r="A11" s="167">
        <v>7</v>
      </c>
      <c r="B11" s="304" t="str" cm="1">
        <f t="array" ref="B11">IF($J$1="Active",IF(Salary_Master!B11="","",_xlfn.IFS(Salary_Master!M11="Working",IF(Salary_Master!H11&lt;=DATE(2025,11,30),Salary_Master!B11,""),Salary_Master!M11="Left",IF(Salary_Master!N11&gt;DATE(2025,10,31),Salary_Master!B11,""))),"")</f>
        <v/>
      </c>
      <c r="C11" s="304">
        <v>31</v>
      </c>
      <c r="D11" s="305" t="str">
        <f t="shared" si="22"/>
        <v/>
      </c>
      <c r="E11" s="177"/>
      <c r="F11" s="177"/>
      <c r="G11" s="177"/>
      <c r="H11" s="305" t="str">
        <f t="shared" si="23"/>
        <v/>
      </c>
      <c r="I11" s="177"/>
      <c r="J11" s="177"/>
      <c r="K11" s="306" t="str">
        <f t="shared" si="24"/>
        <v/>
      </c>
      <c r="L11" s="306" t="str">
        <f t="shared" si="25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8"/>
        <v/>
      </c>
      <c r="T11" s="170" t="str">
        <f t="shared" si="9"/>
        <v/>
      </c>
      <c r="U11" s="170" t="str">
        <f t="shared" si="10"/>
        <v/>
      </c>
      <c r="V11" s="262">
        <f t="shared" si="26"/>
        <v>0</v>
      </c>
      <c r="W11" s="160">
        <f t="shared" si="27"/>
        <v>0</v>
      </c>
      <c r="X11" s="160">
        <f t="shared" si="28"/>
        <v>0</v>
      </c>
      <c r="Y11" s="160">
        <f t="shared" si="29"/>
        <v>0</v>
      </c>
      <c r="Z11" s="160">
        <f t="shared" si="30"/>
        <v>0</v>
      </c>
      <c r="AA11" s="160">
        <f t="shared" si="31"/>
        <v>0</v>
      </c>
      <c r="AB11" s="160">
        <f t="shared" si="32"/>
        <v>0</v>
      </c>
      <c r="AC11" s="160">
        <f t="shared" si="33"/>
        <v>0</v>
      </c>
      <c r="AD11" s="307">
        <f t="shared" si="34"/>
        <v>0</v>
      </c>
      <c r="AE11" s="308" t="str">
        <f t="shared" si="35"/>
        <v/>
      </c>
      <c r="AF11" s="163" t="str">
        <f t="shared" si="14"/>
        <v/>
      </c>
      <c r="AG11" s="163" t="str">
        <f t="shared" si="15"/>
        <v/>
      </c>
      <c r="AH11" s="163" t="str">
        <f t="shared" si="16"/>
        <v/>
      </c>
      <c r="AI11" s="290"/>
      <c r="AJ11" s="165" t="str">
        <f t="shared" si="17"/>
        <v/>
      </c>
      <c r="AK11" s="180" t="str">
        <f t="shared" si="18"/>
        <v/>
      </c>
      <c r="AM11" s="179"/>
      <c r="AN11" s="179"/>
      <c r="AP11" s="166" t="str">
        <f t="shared" si="19"/>
        <v/>
      </c>
      <c r="AQ11" s="166" t="str">
        <f t="shared" si="20"/>
        <v/>
      </c>
      <c r="AR11" s="166" t="str">
        <f t="shared" si="21"/>
        <v/>
      </c>
    </row>
    <row r="12" spans="1:46" s="173" customFormat="1" ht="25.2" customHeight="1" x14ac:dyDescent="0.3">
      <c r="A12" s="172">
        <v>8</v>
      </c>
      <c r="B12" s="304" t="str" cm="1">
        <f t="array" ref="B12">IF($J$1="Active",IF(Salary_Master!B12="","",_xlfn.IFS(Salary_Master!M12="Working",IF(Salary_Master!H12&lt;=DATE(2025,11,30),Salary_Master!B12,""),Salary_Master!M12="Left",IF(Salary_Master!N12&gt;DATE(2025,10,31),Salary_Master!B12,""))),"")</f>
        <v/>
      </c>
      <c r="C12" s="304">
        <v>31</v>
      </c>
      <c r="D12" s="305" t="str">
        <f t="shared" si="22"/>
        <v/>
      </c>
      <c r="E12" s="177"/>
      <c r="F12" s="177"/>
      <c r="G12" s="177"/>
      <c r="H12" s="305" t="str">
        <f t="shared" si="23"/>
        <v/>
      </c>
      <c r="I12" s="177"/>
      <c r="J12" s="177"/>
      <c r="K12" s="306" t="str">
        <f t="shared" si="24"/>
        <v/>
      </c>
      <c r="L12" s="306" t="str">
        <f t="shared" si="25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8"/>
        <v/>
      </c>
      <c r="T12" s="170" t="str">
        <f t="shared" si="9"/>
        <v/>
      </c>
      <c r="U12" s="170" t="str">
        <f t="shared" si="10"/>
        <v/>
      </c>
      <c r="V12" s="262">
        <f t="shared" si="26"/>
        <v>0</v>
      </c>
      <c r="W12" s="160">
        <f t="shared" si="27"/>
        <v>0</v>
      </c>
      <c r="X12" s="160">
        <f t="shared" si="28"/>
        <v>0</v>
      </c>
      <c r="Y12" s="160">
        <f t="shared" si="29"/>
        <v>0</v>
      </c>
      <c r="Z12" s="160">
        <f t="shared" si="30"/>
        <v>0</v>
      </c>
      <c r="AA12" s="160">
        <f t="shared" si="31"/>
        <v>0</v>
      </c>
      <c r="AB12" s="160">
        <f t="shared" si="32"/>
        <v>0</v>
      </c>
      <c r="AC12" s="160">
        <f t="shared" si="33"/>
        <v>0</v>
      </c>
      <c r="AD12" s="307">
        <f t="shared" si="34"/>
        <v>0</v>
      </c>
      <c r="AE12" s="308" t="str">
        <f t="shared" si="35"/>
        <v/>
      </c>
      <c r="AF12" s="163" t="str">
        <f t="shared" si="14"/>
        <v/>
      </c>
      <c r="AG12" s="163" t="str">
        <f t="shared" si="15"/>
        <v/>
      </c>
      <c r="AH12" s="163" t="str">
        <f t="shared" si="16"/>
        <v/>
      </c>
      <c r="AI12" s="290"/>
      <c r="AJ12" s="165" t="str">
        <f t="shared" si="17"/>
        <v/>
      </c>
      <c r="AK12" s="180" t="str">
        <f t="shared" si="18"/>
        <v/>
      </c>
      <c r="AM12" s="179"/>
      <c r="AN12" s="179"/>
      <c r="AP12" s="166" t="str">
        <f t="shared" si="19"/>
        <v/>
      </c>
      <c r="AQ12" s="166" t="str">
        <f t="shared" si="20"/>
        <v/>
      </c>
      <c r="AR12" s="166" t="str">
        <f t="shared" si="21"/>
        <v/>
      </c>
      <c r="AT12" s="162"/>
    </row>
    <row r="13" spans="1:46" s="173" customFormat="1" ht="25.2" customHeight="1" x14ac:dyDescent="0.3">
      <c r="A13" s="172">
        <v>9</v>
      </c>
      <c r="B13" s="304" t="str" cm="1">
        <f t="array" ref="B13">IF($J$1="Active",IF(Salary_Master!B13="","",_xlfn.IFS(Salary_Master!M13="Working",IF(Salary_Master!H13&lt;=DATE(2025,11,30),Salary_Master!B13,""),Salary_Master!M13="Left",IF(Salary_Master!N13&gt;DATE(2025,10,31),Salary_Master!B13,""))),"")</f>
        <v/>
      </c>
      <c r="C13" s="304">
        <v>31</v>
      </c>
      <c r="D13" s="305" t="str">
        <f t="shared" si="22"/>
        <v/>
      </c>
      <c r="E13" s="177"/>
      <c r="F13" s="177"/>
      <c r="G13" s="177"/>
      <c r="H13" s="305" t="str">
        <f t="shared" si="23"/>
        <v/>
      </c>
      <c r="I13" s="177"/>
      <c r="J13" s="177"/>
      <c r="K13" s="306" t="str">
        <f t="shared" si="24"/>
        <v/>
      </c>
      <c r="L13" s="306" t="str">
        <f t="shared" si="25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8"/>
        <v/>
      </c>
      <c r="T13" s="170" t="str">
        <f t="shared" si="9"/>
        <v/>
      </c>
      <c r="U13" s="170" t="str">
        <f t="shared" si="10"/>
        <v/>
      </c>
      <c r="V13" s="262">
        <f t="shared" si="26"/>
        <v>0</v>
      </c>
      <c r="W13" s="160">
        <f t="shared" si="27"/>
        <v>0</v>
      </c>
      <c r="X13" s="160">
        <f t="shared" si="28"/>
        <v>0</v>
      </c>
      <c r="Y13" s="160">
        <f t="shared" si="29"/>
        <v>0</v>
      </c>
      <c r="Z13" s="160">
        <f t="shared" si="30"/>
        <v>0</v>
      </c>
      <c r="AA13" s="160">
        <f t="shared" si="31"/>
        <v>0</v>
      </c>
      <c r="AB13" s="160">
        <f t="shared" si="32"/>
        <v>0</v>
      </c>
      <c r="AC13" s="160">
        <f t="shared" si="33"/>
        <v>0</v>
      </c>
      <c r="AD13" s="307">
        <f t="shared" si="34"/>
        <v>0</v>
      </c>
      <c r="AE13" s="308" t="str">
        <f t="shared" si="35"/>
        <v/>
      </c>
      <c r="AF13" s="163" t="str">
        <f t="shared" si="14"/>
        <v/>
      </c>
      <c r="AG13" s="163" t="str">
        <f t="shared" si="15"/>
        <v/>
      </c>
      <c r="AH13" s="163" t="str">
        <f t="shared" si="16"/>
        <v/>
      </c>
      <c r="AI13" s="290"/>
      <c r="AJ13" s="165" t="str">
        <f t="shared" si="17"/>
        <v/>
      </c>
      <c r="AK13" s="180" t="str">
        <f t="shared" si="18"/>
        <v/>
      </c>
      <c r="AM13" s="179"/>
      <c r="AN13" s="179"/>
      <c r="AP13" s="166" t="str">
        <f t="shared" si="19"/>
        <v/>
      </c>
      <c r="AQ13" s="166" t="str">
        <f t="shared" si="20"/>
        <v/>
      </c>
      <c r="AR13" s="166" t="str">
        <f t="shared" si="21"/>
        <v/>
      </c>
      <c r="AT13" s="162"/>
    </row>
    <row r="14" spans="1:46" s="162" customFormat="1" ht="25.2" customHeight="1" x14ac:dyDescent="0.3">
      <c r="A14" s="167">
        <v>10</v>
      </c>
      <c r="B14" s="304" t="str" cm="1">
        <f t="array" ref="B14">IF($J$1="Active",IF(Salary_Master!B14="","",_xlfn.IFS(Salary_Master!M14="Working",IF(Salary_Master!H14&lt;=DATE(2025,11,30),Salary_Master!B14,""),Salary_Master!M14="Left",IF(Salary_Master!N14&gt;DATE(2025,10,31),Salary_Master!B14,""))),"")</f>
        <v/>
      </c>
      <c r="C14" s="304">
        <v>31</v>
      </c>
      <c r="D14" s="305" t="str">
        <f t="shared" si="22"/>
        <v/>
      </c>
      <c r="E14" s="177"/>
      <c r="F14" s="177"/>
      <c r="G14" s="177"/>
      <c r="H14" s="305" t="str">
        <f t="shared" si="23"/>
        <v/>
      </c>
      <c r="I14" s="177"/>
      <c r="J14" s="177"/>
      <c r="K14" s="306" t="str">
        <f t="shared" si="24"/>
        <v/>
      </c>
      <c r="L14" s="306" t="str">
        <f t="shared" si="25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8"/>
        <v/>
      </c>
      <c r="T14" s="170" t="str">
        <f t="shared" si="9"/>
        <v/>
      </c>
      <c r="U14" s="170" t="str">
        <f t="shared" si="10"/>
        <v/>
      </c>
      <c r="V14" s="262">
        <f t="shared" si="26"/>
        <v>0</v>
      </c>
      <c r="W14" s="160">
        <f t="shared" si="27"/>
        <v>0</v>
      </c>
      <c r="X14" s="160">
        <f t="shared" si="28"/>
        <v>0</v>
      </c>
      <c r="Y14" s="160">
        <f t="shared" si="29"/>
        <v>0</v>
      </c>
      <c r="Z14" s="160">
        <f t="shared" si="30"/>
        <v>0</v>
      </c>
      <c r="AA14" s="160">
        <f t="shared" si="31"/>
        <v>0</v>
      </c>
      <c r="AB14" s="160">
        <f t="shared" si="32"/>
        <v>0</v>
      </c>
      <c r="AC14" s="160">
        <f t="shared" si="33"/>
        <v>0</v>
      </c>
      <c r="AD14" s="307">
        <f t="shared" si="34"/>
        <v>0</v>
      </c>
      <c r="AE14" s="308" t="str">
        <f t="shared" si="35"/>
        <v/>
      </c>
      <c r="AF14" s="163" t="str">
        <f t="shared" si="14"/>
        <v/>
      </c>
      <c r="AG14" s="163" t="str">
        <f t="shared" si="15"/>
        <v/>
      </c>
      <c r="AH14" s="163" t="str">
        <f t="shared" si="16"/>
        <v/>
      </c>
      <c r="AI14" s="290"/>
      <c r="AJ14" s="165" t="str">
        <f t="shared" si="17"/>
        <v/>
      </c>
      <c r="AK14" s="180" t="str">
        <f t="shared" si="18"/>
        <v/>
      </c>
      <c r="AM14" s="179"/>
      <c r="AN14" s="179"/>
      <c r="AP14" s="166" t="str">
        <f t="shared" si="19"/>
        <v/>
      </c>
      <c r="AQ14" s="166" t="str">
        <f t="shared" si="20"/>
        <v/>
      </c>
      <c r="AR14" s="166" t="str">
        <f t="shared" si="21"/>
        <v/>
      </c>
    </row>
    <row r="15" spans="1:46" s="162" customFormat="1" ht="25.2" customHeight="1" x14ac:dyDescent="0.3">
      <c r="A15" s="167">
        <v>11</v>
      </c>
      <c r="B15" s="304" t="str" cm="1">
        <f t="array" ref="B15">IF($J$1="Active",IF(Salary_Master!B15="","",_xlfn.IFS(Salary_Master!M15="Working",IF(Salary_Master!H15&lt;=DATE(2025,11,30),Salary_Master!B15,""),Salary_Master!M15="Left",IF(Salary_Master!N15&gt;DATE(2025,10,31),Salary_Master!B15,""))),"")</f>
        <v/>
      </c>
      <c r="C15" s="304">
        <v>31</v>
      </c>
      <c r="D15" s="305" t="str">
        <f t="shared" si="22"/>
        <v/>
      </c>
      <c r="E15" s="177"/>
      <c r="F15" s="177"/>
      <c r="G15" s="177"/>
      <c r="H15" s="305" t="str">
        <f t="shared" si="23"/>
        <v/>
      </c>
      <c r="I15" s="177"/>
      <c r="J15" s="177"/>
      <c r="K15" s="306" t="str">
        <f t="shared" si="24"/>
        <v/>
      </c>
      <c r="L15" s="306" t="str">
        <f t="shared" si="25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8"/>
        <v/>
      </c>
      <c r="T15" s="170" t="str">
        <f t="shared" si="9"/>
        <v/>
      </c>
      <c r="U15" s="170" t="str">
        <f t="shared" si="10"/>
        <v/>
      </c>
      <c r="V15" s="262">
        <f t="shared" si="26"/>
        <v>0</v>
      </c>
      <c r="W15" s="160">
        <f t="shared" si="27"/>
        <v>0</v>
      </c>
      <c r="X15" s="160">
        <f t="shared" si="28"/>
        <v>0</v>
      </c>
      <c r="Y15" s="160">
        <f t="shared" si="29"/>
        <v>0</v>
      </c>
      <c r="Z15" s="160">
        <f t="shared" si="30"/>
        <v>0</v>
      </c>
      <c r="AA15" s="160">
        <f t="shared" si="31"/>
        <v>0</v>
      </c>
      <c r="AB15" s="160">
        <f t="shared" si="32"/>
        <v>0</v>
      </c>
      <c r="AC15" s="160">
        <f t="shared" si="33"/>
        <v>0</v>
      </c>
      <c r="AD15" s="307">
        <f t="shared" si="34"/>
        <v>0</v>
      </c>
      <c r="AE15" s="308" t="str">
        <f t="shared" si="35"/>
        <v/>
      </c>
      <c r="AF15" s="163" t="str">
        <f t="shared" si="14"/>
        <v/>
      </c>
      <c r="AG15" s="163" t="str">
        <f t="shared" si="15"/>
        <v/>
      </c>
      <c r="AH15" s="163" t="str">
        <f t="shared" si="16"/>
        <v/>
      </c>
      <c r="AI15" s="290"/>
      <c r="AJ15" s="165" t="str">
        <f t="shared" si="17"/>
        <v/>
      </c>
      <c r="AK15" s="180" t="str">
        <f t="shared" si="18"/>
        <v/>
      </c>
      <c r="AM15" s="179"/>
      <c r="AN15" s="179"/>
      <c r="AP15" s="166" t="str">
        <f t="shared" si="19"/>
        <v/>
      </c>
      <c r="AQ15" s="166" t="str">
        <f t="shared" si="20"/>
        <v/>
      </c>
      <c r="AR15" s="166" t="str">
        <f t="shared" si="21"/>
        <v/>
      </c>
    </row>
    <row r="16" spans="1:46" s="162" customFormat="1" ht="25.2" customHeight="1" x14ac:dyDescent="0.3">
      <c r="A16" s="167">
        <v>12</v>
      </c>
      <c r="B16" s="304" t="str" cm="1">
        <f t="array" ref="B16">IF($J$1="Active",IF(Salary_Master!B16="","",_xlfn.IFS(Salary_Master!M16="Working",IF(Salary_Master!H16&lt;=DATE(2025,11,30),Salary_Master!B16,""),Salary_Master!M16="Left",IF(Salary_Master!N16&gt;DATE(2025,10,31),Salary_Master!B16,""))),"")</f>
        <v/>
      </c>
      <c r="C16" s="304">
        <v>31</v>
      </c>
      <c r="D16" s="305" t="str">
        <f t="shared" si="22"/>
        <v/>
      </c>
      <c r="E16" s="177"/>
      <c r="F16" s="177"/>
      <c r="G16" s="177"/>
      <c r="H16" s="305" t="str">
        <f t="shared" si="23"/>
        <v/>
      </c>
      <c r="I16" s="177"/>
      <c r="J16" s="177"/>
      <c r="K16" s="306" t="str">
        <f t="shared" si="24"/>
        <v/>
      </c>
      <c r="L16" s="306" t="str">
        <f t="shared" si="25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8"/>
        <v/>
      </c>
      <c r="T16" s="170" t="str">
        <f t="shared" si="9"/>
        <v/>
      </c>
      <c r="U16" s="170" t="str">
        <f t="shared" si="10"/>
        <v/>
      </c>
      <c r="V16" s="262">
        <f t="shared" si="26"/>
        <v>0</v>
      </c>
      <c r="W16" s="160">
        <f t="shared" si="27"/>
        <v>0</v>
      </c>
      <c r="X16" s="160">
        <f t="shared" si="28"/>
        <v>0</v>
      </c>
      <c r="Y16" s="160">
        <f t="shared" si="29"/>
        <v>0</v>
      </c>
      <c r="Z16" s="160">
        <f t="shared" si="30"/>
        <v>0</v>
      </c>
      <c r="AA16" s="160">
        <f t="shared" si="31"/>
        <v>0</v>
      </c>
      <c r="AB16" s="160">
        <f t="shared" si="32"/>
        <v>0</v>
      </c>
      <c r="AC16" s="160">
        <f t="shared" si="33"/>
        <v>0</v>
      </c>
      <c r="AD16" s="307">
        <f t="shared" si="34"/>
        <v>0</v>
      </c>
      <c r="AE16" s="308" t="str">
        <f t="shared" si="35"/>
        <v/>
      </c>
      <c r="AF16" s="163" t="str">
        <f t="shared" si="14"/>
        <v/>
      </c>
      <c r="AG16" s="163" t="str">
        <f t="shared" si="15"/>
        <v/>
      </c>
      <c r="AH16" s="163" t="str">
        <f t="shared" si="16"/>
        <v/>
      </c>
      <c r="AI16" s="290"/>
      <c r="AJ16" s="165" t="str">
        <f t="shared" si="17"/>
        <v/>
      </c>
      <c r="AK16" s="180" t="str">
        <f t="shared" si="18"/>
        <v/>
      </c>
      <c r="AM16" s="179"/>
      <c r="AN16" s="179"/>
      <c r="AP16" s="166" t="str">
        <f t="shared" si="19"/>
        <v/>
      </c>
      <c r="AQ16" s="166" t="str">
        <f t="shared" si="20"/>
        <v/>
      </c>
      <c r="AR16" s="166" t="str">
        <f t="shared" si="21"/>
        <v/>
      </c>
    </row>
    <row r="17" spans="1:46" s="162" customFormat="1" ht="25.2" customHeight="1" x14ac:dyDescent="0.3">
      <c r="A17" s="172">
        <v>13</v>
      </c>
      <c r="B17" s="304" t="str" cm="1">
        <f t="array" ref="B17">IF($J$1="Active",IF(Salary_Master!B17="","",_xlfn.IFS(Salary_Master!M17="Working",IF(Salary_Master!H17&lt;=DATE(2025,11,30),Salary_Master!B17,""),Salary_Master!M17="Left",IF(Salary_Master!N17&gt;DATE(2025,10,31),Salary_Master!B17,""))),"")</f>
        <v/>
      </c>
      <c r="C17" s="304">
        <v>31</v>
      </c>
      <c r="D17" s="305" t="str">
        <f t="shared" si="22"/>
        <v/>
      </c>
      <c r="E17" s="177"/>
      <c r="F17" s="177"/>
      <c r="G17" s="177"/>
      <c r="H17" s="305" t="str">
        <f t="shared" si="23"/>
        <v/>
      </c>
      <c r="I17" s="177"/>
      <c r="J17" s="177"/>
      <c r="K17" s="306" t="str">
        <f t="shared" si="24"/>
        <v/>
      </c>
      <c r="L17" s="306" t="str">
        <f t="shared" si="25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8"/>
        <v/>
      </c>
      <c r="T17" s="170" t="str">
        <f t="shared" si="9"/>
        <v/>
      </c>
      <c r="U17" s="170" t="str">
        <f t="shared" si="10"/>
        <v/>
      </c>
      <c r="V17" s="262">
        <f t="shared" si="26"/>
        <v>0</v>
      </c>
      <c r="W17" s="160">
        <f t="shared" si="27"/>
        <v>0</v>
      </c>
      <c r="X17" s="160">
        <f t="shared" si="28"/>
        <v>0</v>
      </c>
      <c r="Y17" s="160">
        <f t="shared" si="29"/>
        <v>0</v>
      </c>
      <c r="Z17" s="160">
        <f t="shared" si="30"/>
        <v>0</v>
      </c>
      <c r="AA17" s="160">
        <f t="shared" si="31"/>
        <v>0</v>
      </c>
      <c r="AB17" s="160">
        <f t="shared" si="32"/>
        <v>0</v>
      </c>
      <c r="AC17" s="160">
        <f t="shared" si="33"/>
        <v>0</v>
      </c>
      <c r="AD17" s="307">
        <f t="shared" si="34"/>
        <v>0</v>
      </c>
      <c r="AE17" s="308" t="str">
        <f t="shared" si="35"/>
        <v/>
      </c>
      <c r="AF17" s="163" t="str">
        <f t="shared" si="14"/>
        <v/>
      </c>
      <c r="AG17" s="163" t="str">
        <f t="shared" si="15"/>
        <v/>
      </c>
      <c r="AH17" s="163" t="str">
        <f t="shared" si="16"/>
        <v/>
      </c>
      <c r="AI17" s="290"/>
      <c r="AJ17" s="165" t="str">
        <f t="shared" si="17"/>
        <v/>
      </c>
      <c r="AK17" s="180" t="str">
        <f t="shared" si="18"/>
        <v/>
      </c>
      <c r="AM17" s="179"/>
      <c r="AN17" s="179"/>
      <c r="AP17" s="166" t="str">
        <f t="shared" si="19"/>
        <v/>
      </c>
      <c r="AQ17" s="166" t="str">
        <f t="shared" si="20"/>
        <v/>
      </c>
      <c r="AR17" s="166" t="str">
        <f t="shared" si="21"/>
        <v/>
      </c>
    </row>
    <row r="18" spans="1:46" s="173" customFormat="1" ht="25.2" customHeight="1" x14ac:dyDescent="0.3">
      <c r="A18" s="167">
        <v>14</v>
      </c>
      <c r="B18" s="304" t="str" cm="1">
        <f t="array" ref="B18">IF($J$1="Active",IF(Salary_Master!B18="","",_xlfn.IFS(Salary_Master!M18="Working",IF(Salary_Master!H18&lt;=DATE(2025,11,30),Salary_Master!B18,""),Salary_Master!M18="Left",IF(Salary_Master!N18&gt;DATE(2025,10,31),Salary_Master!B18,""))),"")</f>
        <v/>
      </c>
      <c r="C18" s="304">
        <v>31</v>
      </c>
      <c r="D18" s="305" t="str">
        <f t="shared" si="22"/>
        <v/>
      </c>
      <c r="E18" s="177"/>
      <c r="F18" s="177"/>
      <c r="G18" s="177"/>
      <c r="H18" s="305" t="str">
        <f t="shared" si="23"/>
        <v/>
      </c>
      <c r="I18" s="177"/>
      <c r="J18" s="177"/>
      <c r="K18" s="306" t="str">
        <f t="shared" si="24"/>
        <v/>
      </c>
      <c r="L18" s="306" t="str">
        <f t="shared" si="25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8"/>
        <v/>
      </c>
      <c r="T18" s="170" t="str">
        <f t="shared" si="9"/>
        <v/>
      </c>
      <c r="U18" s="170" t="str">
        <f t="shared" si="10"/>
        <v/>
      </c>
      <c r="V18" s="262">
        <f t="shared" si="26"/>
        <v>0</v>
      </c>
      <c r="W18" s="160">
        <f t="shared" si="27"/>
        <v>0</v>
      </c>
      <c r="X18" s="160">
        <f t="shared" si="28"/>
        <v>0</v>
      </c>
      <c r="Y18" s="160">
        <f t="shared" si="29"/>
        <v>0</v>
      </c>
      <c r="Z18" s="160">
        <f t="shared" si="30"/>
        <v>0</v>
      </c>
      <c r="AA18" s="160">
        <f t="shared" si="31"/>
        <v>0</v>
      </c>
      <c r="AB18" s="160">
        <f t="shared" si="32"/>
        <v>0</v>
      </c>
      <c r="AC18" s="160">
        <f t="shared" si="33"/>
        <v>0</v>
      </c>
      <c r="AD18" s="307">
        <f t="shared" si="34"/>
        <v>0</v>
      </c>
      <c r="AE18" s="308" t="str">
        <f t="shared" si="35"/>
        <v/>
      </c>
      <c r="AF18" s="163" t="str">
        <f t="shared" si="14"/>
        <v/>
      </c>
      <c r="AG18" s="163" t="str">
        <f t="shared" si="15"/>
        <v/>
      </c>
      <c r="AH18" s="163" t="str">
        <f t="shared" si="16"/>
        <v/>
      </c>
      <c r="AI18" s="290"/>
      <c r="AJ18" s="165" t="str">
        <f t="shared" si="17"/>
        <v/>
      </c>
      <c r="AK18" s="180" t="str">
        <f t="shared" si="18"/>
        <v/>
      </c>
      <c r="AM18" s="179"/>
      <c r="AN18" s="179"/>
      <c r="AP18" s="166" t="str">
        <f t="shared" si="19"/>
        <v/>
      </c>
      <c r="AQ18" s="166" t="str">
        <f t="shared" si="20"/>
        <v/>
      </c>
      <c r="AR18" s="166" t="str">
        <f t="shared" si="21"/>
        <v/>
      </c>
      <c r="AT18" s="162"/>
    </row>
    <row r="19" spans="1:46" s="162" customFormat="1" ht="25.2" customHeight="1" x14ac:dyDescent="0.3">
      <c r="A19" s="167">
        <v>15</v>
      </c>
      <c r="B19" s="304" t="str" cm="1">
        <f t="array" ref="B19">IF($J$1="Active",IF(Salary_Master!B19="","",_xlfn.IFS(Salary_Master!M19="Working",IF(Salary_Master!H19&lt;=DATE(2025,11,30),Salary_Master!B19,""),Salary_Master!M19="Left",IF(Salary_Master!N19&gt;DATE(2025,10,31),Salary_Master!B19,""))),"")</f>
        <v/>
      </c>
      <c r="C19" s="304">
        <v>31</v>
      </c>
      <c r="D19" s="305" t="str">
        <f t="shared" si="22"/>
        <v/>
      </c>
      <c r="E19" s="177"/>
      <c r="F19" s="177"/>
      <c r="G19" s="177"/>
      <c r="H19" s="305" t="str">
        <f t="shared" si="23"/>
        <v/>
      </c>
      <c r="I19" s="177"/>
      <c r="J19" s="177"/>
      <c r="K19" s="306" t="str">
        <f t="shared" si="24"/>
        <v/>
      </c>
      <c r="L19" s="306" t="str">
        <f t="shared" si="25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8"/>
        <v/>
      </c>
      <c r="T19" s="170" t="str">
        <f t="shared" si="9"/>
        <v/>
      </c>
      <c r="U19" s="170" t="str">
        <f t="shared" si="10"/>
        <v/>
      </c>
      <c r="V19" s="262">
        <f t="shared" si="26"/>
        <v>0</v>
      </c>
      <c r="W19" s="160">
        <f t="shared" si="27"/>
        <v>0</v>
      </c>
      <c r="X19" s="160">
        <f t="shared" si="28"/>
        <v>0</v>
      </c>
      <c r="Y19" s="160">
        <f t="shared" si="29"/>
        <v>0</v>
      </c>
      <c r="Z19" s="160">
        <f t="shared" si="30"/>
        <v>0</v>
      </c>
      <c r="AA19" s="160">
        <f t="shared" si="31"/>
        <v>0</v>
      </c>
      <c r="AB19" s="160">
        <f t="shared" si="32"/>
        <v>0</v>
      </c>
      <c r="AC19" s="160">
        <f t="shared" si="33"/>
        <v>0</v>
      </c>
      <c r="AD19" s="307">
        <f t="shared" si="34"/>
        <v>0</v>
      </c>
      <c r="AE19" s="308" t="str">
        <f t="shared" si="35"/>
        <v/>
      </c>
      <c r="AF19" s="163" t="str">
        <f t="shared" si="14"/>
        <v/>
      </c>
      <c r="AG19" s="163" t="str">
        <f t="shared" si="15"/>
        <v/>
      </c>
      <c r="AH19" s="163" t="str">
        <f t="shared" si="16"/>
        <v/>
      </c>
      <c r="AI19" s="290"/>
      <c r="AJ19" s="165" t="str">
        <f t="shared" si="17"/>
        <v/>
      </c>
      <c r="AK19" s="180" t="str">
        <f t="shared" si="18"/>
        <v/>
      </c>
      <c r="AM19" s="179"/>
      <c r="AN19" s="179"/>
      <c r="AP19" s="166" t="str">
        <f t="shared" si="19"/>
        <v/>
      </c>
      <c r="AQ19" s="166" t="str">
        <f t="shared" si="20"/>
        <v/>
      </c>
      <c r="AR19" s="166" t="str">
        <f t="shared" si="21"/>
        <v/>
      </c>
    </row>
    <row r="20" spans="1:46" s="162" customFormat="1" ht="25.2" customHeight="1" x14ac:dyDescent="0.3">
      <c r="A20" s="167">
        <v>16</v>
      </c>
      <c r="B20" s="304" t="str" cm="1">
        <f t="array" ref="B20">IF($J$1="Active",IF(Salary_Master!B20="","",_xlfn.IFS(Salary_Master!M20="Working",IF(Salary_Master!H20&lt;=DATE(2025,11,30),Salary_Master!B20,""),Salary_Master!M20="Left",IF(Salary_Master!N20&gt;DATE(2025,10,31),Salary_Master!B20,""))),"")</f>
        <v/>
      </c>
      <c r="C20" s="304">
        <v>31</v>
      </c>
      <c r="D20" s="305" t="str">
        <f t="shared" si="22"/>
        <v/>
      </c>
      <c r="E20" s="177"/>
      <c r="F20" s="177"/>
      <c r="G20" s="177"/>
      <c r="H20" s="305" t="str">
        <f t="shared" si="23"/>
        <v/>
      </c>
      <c r="I20" s="177"/>
      <c r="J20" s="177"/>
      <c r="K20" s="306" t="str">
        <f t="shared" si="24"/>
        <v/>
      </c>
      <c r="L20" s="306" t="str">
        <f t="shared" si="25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8"/>
        <v/>
      </c>
      <c r="T20" s="170" t="str">
        <f t="shared" si="9"/>
        <v/>
      </c>
      <c r="U20" s="170" t="str">
        <f t="shared" si="10"/>
        <v/>
      </c>
      <c r="V20" s="262">
        <f t="shared" si="26"/>
        <v>0</v>
      </c>
      <c r="W20" s="160">
        <f t="shared" si="27"/>
        <v>0</v>
      </c>
      <c r="X20" s="160">
        <f t="shared" si="28"/>
        <v>0</v>
      </c>
      <c r="Y20" s="160">
        <f t="shared" si="29"/>
        <v>0</v>
      </c>
      <c r="Z20" s="160">
        <f t="shared" si="30"/>
        <v>0</v>
      </c>
      <c r="AA20" s="160">
        <f t="shared" si="31"/>
        <v>0</v>
      </c>
      <c r="AB20" s="160">
        <f t="shared" si="32"/>
        <v>0</v>
      </c>
      <c r="AC20" s="160">
        <f t="shared" si="33"/>
        <v>0</v>
      </c>
      <c r="AD20" s="307">
        <f t="shared" si="34"/>
        <v>0</v>
      </c>
      <c r="AE20" s="308" t="str">
        <f t="shared" si="35"/>
        <v/>
      </c>
      <c r="AF20" s="163" t="str">
        <f t="shared" si="14"/>
        <v/>
      </c>
      <c r="AG20" s="163" t="str">
        <f t="shared" si="15"/>
        <v/>
      </c>
      <c r="AH20" s="163" t="str">
        <f t="shared" si="16"/>
        <v/>
      </c>
      <c r="AI20" s="290"/>
      <c r="AJ20" s="165" t="str">
        <f t="shared" si="17"/>
        <v/>
      </c>
      <c r="AK20" s="180" t="str">
        <f t="shared" si="18"/>
        <v/>
      </c>
      <c r="AM20" s="179"/>
      <c r="AN20" s="179"/>
      <c r="AP20" s="166" t="str">
        <f t="shared" si="19"/>
        <v/>
      </c>
      <c r="AQ20" s="166" t="str">
        <f t="shared" si="20"/>
        <v/>
      </c>
      <c r="AR20" s="166" t="str">
        <f t="shared" si="21"/>
        <v/>
      </c>
    </row>
    <row r="21" spans="1:46" s="162" customFormat="1" ht="25.2" customHeight="1" x14ac:dyDescent="0.3">
      <c r="A21" s="172">
        <v>17</v>
      </c>
      <c r="B21" s="304" t="str" cm="1">
        <f t="array" ref="B21">IF($J$1="Active",IF(Salary_Master!B21="","",_xlfn.IFS(Salary_Master!M21="Working",IF(Salary_Master!H21&lt;=DATE(2025,11,30),Salary_Master!B21,""),Salary_Master!M21="Left",IF(Salary_Master!N21&gt;DATE(2025,10,31),Salary_Master!B21,""))),"")</f>
        <v/>
      </c>
      <c r="C21" s="304">
        <v>31</v>
      </c>
      <c r="D21" s="305" t="str">
        <f t="shared" si="22"/>
        <v/>
      </c>
      <c r="E21" s="177"/>
      <c r="F21" s="177"/>
      <c r="G21" s="177"/>
      <c r="H21" s="305" t="str">
        <f t="shared" si="23"/>
        <v/>
      </c>
      <c r="I21" s="177"/>
      <c r="J21" s="177"/>
      <c r="K21" s="306" t="str">
        <f t="shared" si="24"/>
        <v/>
      </c>
      <c r="L21" s="306" t="str">
        <f t="shared" si="25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8"/>
        <v/>
      </c>
      <c r="T21" s="170" t="str">
        <f t="shared" si="9"/>
        <v/>
      </c>
      <c r="U21" s="170" t="str">
        <f t="shared" si="10"/>
        <v/>
      </c>
      <c r="V21" s="262">
        <f t="shared" si="26"/>
        <v>0</v>
      </c>
      <c r="W21" s="160">
        <f t="shared" si="27"/>
        <v>0</v>
      </c>
      <c r="X21" s="160">
        <f t="shared" si="28"/>
        <v>0</v>
      </c>
      <c r="Y21" s="160">
        <f t="shared" si="29"/>
        <v>0</v>
      </c>
      <c r="Z21" s="160">
        <f t="shared" si="30"/>
        <v>0</v>
      </c>
      <c r="AA21" s="160">
        <f t="shared" si="31"/>
        <v>0</v>
      </c>
      <c r="AB21" s="160">
        <f t="shared" si="32"/>
        <v>0</v>
      </c>
      <c r="AC21" s="160">
        <f t="shared" si="33"/>
        <v>0</v>
      </c>
      <c r="AD21" s="307">
        <f t="shared" si="34"/>
        <v>0</v>
      </c>
      <c r="AE21" s="308" t="str">
        <f t="shared" si="35"/>
        <v/>
      </c>
      <c r="AF21" s="163" t="str">
        <f t="shared" si="14"/>
        <v/>
      </c>
      <c r="AG21" s="163" t="str">
        <f t="shared" si="15"/>
        <v/>
      </c>
      <c r="AH21" s="163" t="str">
        <f t="shared" si="16"/>
        <v/>
      </c>
      <c r="AI21" s="290"/>
      <c r="AJ21" s="165" t="str">
        <f t="shared" si="17"/>
        <v/>
      </c>
      <c r="AK21" s="180" t="str">
        <f t="shared" si="18"/>
        <v/>
      </c>
      <c r="AM21" s="179"/>
      <c r="AN21" s="179"/>
      <c r="AP21" s="166" t="str">
        <f t="shared" si="19"/>
        <v/>
      </c>
      <c r="AQ21" s="166" t="str">
        <f t="shared" si="20"/>
        <v/>
      </c>
      <c r="AR21" s="166" t="str">
        <f t="shared" si="21"/>
        <v/>
      </c>
    </row>
    <row r="22" spans="1:46" s="173" customFormat="1" ht="25.2" customHeight="1" x14ac:dyDescent="0.3">
      <c r="A22" s="167">
        <v>18</v>
      </c>
      <c r="B22" s="304" t="str" cm="1">
        <f t="array" ref="B22">IF($J$1="Active",IF(Salary_Master!B22="","",_xlfn.IFS(Salary_Master!M22="Working",IF(Salary_Master!H22&lt;=DATE(2025,11,30),Salary_Master!B22,""),Salary_Master!M22="Left",IF(Salary_Master!N22&gt;DATE(2025,10,31),Salary_Master!B22,""))),"")</f>
        <v/>
      </c>
      <c r="C22" s="304">
        <v>31</v>
      </c>
      <c r="D22" s="305" t="str">
        <f t="shared" si="22"/>
        <v/>
      </c>
      <c r="E22" s="177"/>
      <c r="F22" s="177"/>
      <c r="G22" s="177"/>
      <c r="H22" s="305" t="str">
        <f t="shared" si="23"/>
        <v/>
      </c>
      <c r="I22" s="177"/>
      <c r="J22" s="177"/>
      <c r="K22" s="306" t="str">
        <f t="shared" si="24"/>
        <v/>
      </c>
      <c r="L22" s="306" t="str">
        <f t="shared" si="25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8"/>
        <v/>
      </c>
      <c r="T22" s="170" t="str">
        <f t="shared" si="9"/>
        <v/>
      </c>
      <c r="U22" s="170" t="str">
        <f t="shared" si="10"/>
        <v/>
      </c>
      <c r="V22" s="262">
        <f t="shared" si="26"/>
        <v>0</v>
      </c>
      <c r="W22" s="160">
        <f t="shared" si="27"/>
        <v>0</v>
      </c>
      <c r="X22" s="160">
        <f t="shared" si="28"/>
        <v>0</v>
      </c>
      <c r="Y22" s="160">
        <f t="shared" si="29"/>
        <v>0</v>
      </c>
      <c r="Z22" s="160">
        <f t="shared" si="30"/>
        <v>0</v>
      </c>
      <c r="AA22" s="160">
        <f t="shared" si="31"/>
        <v>0</v>
      </c>
      <c r="AB22" s="160">
        <f t="shared" si="32"/>
        <v>0</v>
      </c>
      <c r="AC22" s="160">
        <f t="shared" si="33"/>
        <v>0</v>
      </c>
      <c r="AD22" s="307">
        <f t="shared" si="34"/>
        <v>0</v>
      </c>
      <c r="AE22" s="308" t="str">
        <f t="shared" si="35"/>
        <v/>
      </c>
      <c r="AF22" s="163" t="str">
        <f t="shared" si="14"/>
        <v/>
      </c>
      <c r="AG22" s="163" t="str">
        <f t="shared" si="15"/>
        <v/>
      </c>
      <c r="AH22" s="163" t="str">
        <f t="shared" si="16"/>
        <v/>
      </c>
      <c r="AI22" s="290"/>
      <c r="AJ22" s="165" t="str">
        <f t="shared" si="17"/>
        <v/>
      </c>
      <c r="AK22" s="180" t="str">
        <f t="shared" si="18"/>
        <v/>
      </c>
      <c r="AM22" s="179"/>
      <c r="AN22" s="179"/>
      <c r="AP22" s="166" t="str">
        <f t="shared" si="19"/>
        <v/>
      </c>
      <c r="AQ22" s="166" t="str">
        <f t="shared" si="20"/>
        <v/>
      </c>
      <c r="AR22" s="166" t="str">
        <f t="shared" si="21"/>
        <v/>
      </c>
      <c r="AT22" s="162"/>
    </row>
    <row r="23" spans="1:46" s="162" customFormat="1" ht="25.2" customHeight="1" x14ac:dyDescent="0.3">
      <c r="A23" s="167">
        <v>19</v>
      </c>
      <c r="B23" s="304" t="str" cm="1">
        <f t="array" ref="B23">IF($J$1="Active",IF(Salary_Master!B23="","",_xlfn.IFS(Salary_Master!M23="Working",IF(Salary_Master!H23&lt;=DATE(2025,11,30),Salary_Master!B23,""),Salary_Master!M23="Left",IF(Salary_Master!N23&gt;DATE(2025,10,31),Salary_Master!B23,""))),"")</f>
        <v/>
      </c>
      <c r="C23" s="304">
        <v>31</v>
      </c>
      <c r="D23" s="305" t="str">
        <f t="shared" si="22"/>
        <v/>
      </c>
      <c r="E23" s="177"/>
      <c r="F23" s="177"/>
      <c r="G23" s="177"/>
      <c r="H23" s="305" t="str">
        <f t="shared" si="23"/>
        <v/>
      </c>
      <c r="I23" s="177"/>
      <c r="J23" s="177"/>
      <c r="K23" s="306" t="str">
        <f t="shared" si="24"/>
        <v/>
      </c>
      <c r="L23" s="306" t="str">
        <f t="shared" si="25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8"/>
        <v/>
      </c>
      <c r="T23" s="170" t="str">
        <f t="shared" si="9"/>
        <v/>
      </c>
      <c r="U23" s="170" t="str">
        <f t="shared" si="10"/>
        <v/>
      </c>
      <c r="V23" s="262">
        <f t="shared" si="26"/>
        <v>0</v>
      </c>
      <c r="W23" s="160">
        <f t="shared" si="27"/>
        <v>0</v>
      </c>
      <c r="X23" s="160">
        <f t="shared" si="28"/>
        <v>0</v>
      </c>
      <c r="Y23" s="160">
        <f t="shared" si="29"/>
        <v>0</v>
      </c>
      <c r="Z23" s="160">
        <f t="shared" si="30"/>
        <v>0</v>
      </c>
      <c r="AA23" s="160">
        <f t="shared" si="31"/>
        <v>0</v>
      </c>
      <c r="AB23" s="160">
        <f t="shared" si="32"/>
        <v>0</v>
      </c>
      <c r="AC23" s="160">
        <f t="shared" si="33"/>
        <v>0</v>
      </c>
      <c r="AD23" s="307">
        <f t="shared" si="34"/>
        <v>0</v>
      </c>
      <c r="AE23" s="308" t="str">
        <f t="shared" si="35"/>
        <v/>
      </c>
      <c r="AF23" s="163" t="str">
        <f t="shared" si="14"/>
        <v/>
      </c>
      <c r="AG23" s="163" t="str">
        <f t="shared" si="15"/>
        <v/>
      </c>
      <c r="AH23" s="163" t="str">
        <f t="shared" si="16"/>
        <v/>
      </c>
      <c r="AI23" s="290"/>
      <c r="AJ23" s="165" t="str">
        <f t="shared" si="17"/>
        <v/>
      </c>
      <c r="AK23" s="180" t="str">
        <f t="shared" si="18"/>
        <v/>
      </c>
      <c r="AM23" s="179"/>
      <c r="AN23" s="179"/>
      <c r="AP23" s="166" t="str">
        <f t="shared" si="19"/>
        <v/>
      </c>
      <c r="AQ23" s="166" t="str">
        <f t="shared" si="20"/>
        <v/>
      </c>
      <c r="AR23" s="166" t="str">
        <f t="shared" si="21"/>
        <v/>
      </c>
    </row>
    <row r="24" spans="1:46" s="162" customFormat="1" ht="25.2" customHeight="1" x14ac:dyDescent="0.3">
      <c r="A24" s="172">
        <v>20</v>
      </c>
      <c r="B24" s="304" t="str" cm="1">
        <f t="array" ref="B24">IF($J$1="Active",IF(Salary_Master!B24="","",_xlfn.IFS(Salary_Master!M24="Working",IF(Salary_Master!H24&lt;=DATE(2025,11,30),Salary_Master!B24,""),Salary_Master!M24="Left",IF(Salary_Master!N24&gt;DATE(2025,10,31),Salary_Master!B24,""))),"")</f>
        <v/>
      </c>
      <c r="C24" s="304">
        <v>31</v>
      </c>
      <c r="D24" s="305" t="str">
        <f t="shared" si="22"/>
        <v/>
      </c>
      <c r="E24" s="177"/>
      <c r="F24" s="177"/>
      <c r="G24" s="177"/>
      <c r="H24" s="305" t="str">
        <f t="shared" si="23"/>
        <v/>
      </c>
      <c r="I24" s="177"/>
      <c r="J24" s="177"/>
      <c r="K24" s="306" t="str">
        <f t="shared" si="24"/>
        <v/>
      </c>
      <c r="L24" s="306" t="str">
        <f t="shared" si="25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8"/>
        <v/>
      </c>
      <c r="T24" s="170" t="str">
        <f t="shared" si="9"/>
        <v/>
      </c>
      <c r="U24" s="170" t="str">
        <f t="shared" si="10"/>
        <v/>
      </c>
      <c r="V24" s="262">
        <f t="shared" si="26"/>
        <v>0</v>
      </c>
      <c r="W24" s="160">
        <f t="shared" si="27"/>
        <v>0</v>
      </c>
      <c r="X24" s="160">
        <f t="shared" si="28"/>
        <v>0</v>
      </c>
      <c r="Y24" s="160">
        <f t="shared" si="29"/>
        <v>0</v>
      </c>
      <c r="Z24" s="160">
        <f t="shared" si="30"/>
        <v>0</v>
      </c>
      <c r="AA24" s="160">
        <f t="shared" si="31"/>
        <v>0</v>
      </c>
      <c r="AB24" s="160">
        <f t="shared" si="32"/>
        <v>0</v>
      </c>
      <c r="AC24" s="160">
        <f t="shared" si="33"/>
        <v>0</v>
      </c>
      <c r="AD24" s="307">
        <f t="shared" si="34"/>
        <v>0</v>
      </c>
      <c r="AE24" s="308" t="str">
        <f t="shared" si="35"/>
        <v/>
      </c>
      <c r="AF24" s="163" t="str">
        <f t="shared" si="14"/>
        <v/>
      </c>
      <c r="AG24" s="163" t="str">
        <f t="shared" si="15"/>
        <v/>
      </c>
      <c r="AH24" s="163" t="str">
        <f t="shared" si="16"/>
        <v/>
      </c>
      <c r="AI24" s="290"/>
      <c r="AJ24" s="165" t="str">
        <f t="shared" si="17"/>
        <v/>
      </c>
      <c r="AK24" s="180" t="str">
        <f t="shared" si="18"/>
        <v/>
      </c>
      <c r="AM24" s="179"/>
      <c r="AN24" s="179"/>
      <c r="AP24" s="166" t="str">
        <f t="shared" si="19"/>
        <v/>
      </c>
      <c r="AQ24" s="166" t="str">
        <f t="shared" si="20"/>
        <v/>
      </c>
      <c r="AR24" s="166" t="str">
        <f t="shared" si="21"/>
        <v/>
      </c>
    </row>
    <row r="25" spans="1:46" s="173" customFormat="1" ht="25.2" customHeight="1" x14ac:dyDescent="0.3">
      <c r="A25" s="167">
        <v>21</v>
      </c>
      <c r="B25" s="304" t="str" cm="1">
        <f t="array" ref="B25">IF($J$1="Active",IF(Salary_Master!B25="","",_xlfn.IFS(Salary_Master!M25="Working",IF(Salary_Master!H25&lt;=DATE(2025,11,30),Salary_Master!B25,""),Salary_Master!M25="Left",IF(Salary_Master!N25&gt;DATE(2025,10,31),Salary_Master!B25,""))),"")</f>
        <v/>
      </c>
      <c r="C25" s="304">
        <v>31</v>
      </c>
      <c r="D25" s="305" t="str">
        <f t="shared" si="22"/>
        <v/>
      </c>
      <c r="E25" s="177"/>
      <c r="F25" s="177"/>
      <c r="G25" s="177"/>
      <c r="H25" s="305" t="str">
        <f t="shared" si="23"/>
        <v/>
      </c>
      <c r="I25" s="177"/>
      <c r="J25" s="177"/>
      <c r="K25" s="306" t="str">
        <f t="shared" si="24"/>
        <v/>
      </c>
      <c r="L25" s="306" t="str">
        <f t="shared" si="25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8"/>
        <v/>
      </c>
      <c r="T25" s="170" t="str">
        <f t="shared" si="9"/>
        <v/>
      </c>
      <c r="U25" s="170" t="str">
        <f t="shared" si="10"/>
        <v/>
      </c>
      <c r="V25" s="262">
        <f t="shared" si="26"/>
        <v>0</v>
      </c>
      <c r="W25" s="160">
        <f t="shared" si="27"/>
        <v>0</v>
      </c>
      <c r="X25" s="160">
        <f t="shared" si="28"/>
        <v>0</v>
      </c>
      <c r="Y25" s="160">
        <f t="shared" si="29"/>
        <v>0</v>
      </c>
      <c r="Z25" s="160">
        <f t="shared" si="30"/>
        <v>0</v>
      </c>
      <c r="AA25" s="160">
        <f t="shared" si="31"/>
        <v>0</v>
      </c>
      <c r="AB25" s="160">
        <f t="shared" si="32"/>
        <v>0</v>
      </c>
      <c r="AC25" s="160">
        <f t="shared" si="33"/>
        <v>0</v>
      </c>
      <c r="AD25" s="307">
        <f t="shared" si="34"/>
        <v>0</v>
      </c>
      <c r="AE25" s="308" t="str">
        <f t="shared" si="35"/>
        <v/>
      </c>
      <c r="AF25" s="163" t="str">
        <f t="shared" si="14"/>
        <v/>
      </c>
      <c r="AG25" s="163" t="str">
        <f t="shared" si="15"/>
        <v/>
      </c>
      <c r="AH25" s="163" t="str">
        <f t="shared" si="16"/>
        <v/>
      </c>
      <c r="AI25" s="290"/>
      <c r="AJ25" s="165" t="str">
        <f t="shared" si="17"/>
        <v/>
      </c>
      <c r="AK25" s="180" t="str">
        <f t="shared" si="18"/>
        <v/>
      </c>
      <c r="AM25" s="179"/>
      <c r="AN25" s="179"/>
      <c r="AP25" s="166" t="str">
        <f t="shared" si="19"/>
        <v/>
      </c>
      <c r="AQ25" s="166" t="str">
        <f t="shared" si="20"/>
        <v/>
      </c>
      <c r="AR25" s="166" t="str">
        <f t="shared" si="21"/>
        <v/>
      </c>
      <c r="AT25" s="162"/>
    </row>
    <row r="26" spans="1:46" s="162" customFormat="1" ht="25.2" customHeight="1" x14ac:dyDescent="0.3">
      <c r="A26" s="167">
        <v>22</v>
      </c>
      <c r="B26" s="304" t="str" cm="1">
        <f t="array" ref="B26">IF($J$1="Active",IF(Salary_Master!B26="","",_xlfn.IFS(Salary_Master!M26="Working",IF(Salary_Master!H26&lt;=DATE(2025,11,30),Salary_Master!B26,""),Salary_Master!M26="Left",IF(Salary_Master!N26&gt;DATE(2025,10,31),Salary_Master!B26,""))),"")</f>
        <v/>
      </c>
      <c r="C26" s="304">
        <v>31</v>
      </c>
      <c r="D26" s="305" t="str">
        <f t="shared" si="22"/>
        <v/>
      </c>
      <c r="E26" s="177"/>
      <c r="F26" s="177"/>
      <c r="G26" s="177"/>
      <c r="H26" s="305" t="str">
        <f t="shared" si="23"/>
        <v/>
      </c>
      <c r="I26" s="177"/>
      <c r="J26" s="177"/>
      <c r="K26" s="306" t="str">
        <f t="shared" si="24"/>
        <v/>
      </c>
      <c r="L26" s="306" t="str">
        <f t="shared" si="25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8"/>
        <v/>
      </c>
      <c r="T26" s="170" t="str">
        <f t="shared" si="9"/>
        <v/>
      </c>
      <c r="U26" s="170" t="str">
        <f t="shared" si="10"/>
        <v/>
      </c>
      <c r="V26" s="262">
        <f t="shared" si="26"/>
        <v>0</v>
      </c>
      <c r="W26" s="160">
        <f t="shared" si="27"/>
        <v>0</v>
      </c>
      <c r="X26" s="160">
        <f t="shared" si="28"/>
        <v>0</v>
      </c>
      <c r="Y26" s="160">
        <f t="shared" si="29"/>
        <v>0</v>
      </c>
      <c r="Z26" s="160">
        <f t="shared" si="30"/>
        <v>0</v>
      </c>
      <c r="AA26" s="160">
        <f t="shared" si="31"/>
        <v>0</v>
      </c>
      <c r="AB26" s="160">
        <f t="shared" si="32"/>
        <v>0</v>
      </c>
      <c r="AC26" s="160">
        <f t="shared" si="33"/>
        <v>0</v>
      </c>
      <c r="AD26" s="307">
        <f t="shared" si="34"/>
        <v>0</v>
      </c>
      <c r="AE26" s="308" t="str">
        <f t="shared" si="35"/>
        <v/>
      </c>
      <c r="AF26" s="163" t="str">
        <f t="shared" si="14"/>
        <v/>
      </c>
      <c r="AG26" s="163" t="str">
        <f t="shared" si="15"/>
        <v/>
      </c>
      <c r="AH26" s="163" t="str">
        <f t="shared" si="16"/>
        <v/>
      </c>
      <c r="AI26" s="290"/>
      <c r="AJ26" s="165" t="str">
        <f t="shared" si="17"/>
        <v/>
      </c>
      <c r="AK26" s="180" t="str">
        <f t="shared" si="18"/>
        <v/>
      </c>
      <c r="AM26" s="179"/>
      <c r="AN26" s="179"/>
      <c r="AP26" s="166" t="str">
        <f t="shared" si="19"/>
        <v/>
      </c>
      <c r="AQ26" s="166" t="str">
        <f t="shared" si="20"/>
        <v/>
      </c>
      <c r="AR26" s="166" t="str">
        <f t="shared" si="21"/>
        <v/>
      </c>
    </row>
    <row r="27" spans="1:46" s="162" customFormat="1" ht="25.2" customHeight="1" x14ac:dyDescent="0.3">
      <c r="A27" s="167">
        <v>23</v>
      </c>
      <c r="B27" s="304" t="str" cm="1">
        <f t="array" ref="B27">IF($J$1="Active",IF(Salary_Master!B27="","",_xlfn.IFS(Salary_Master!M27="Working",IF(Salary_Master!H27&lt;=DATE(2025,11,30),Salary_Master!B27,""),Salary_Master!M27="Left",IF(Salary_Master!N27&gt;DATE(2025,10,31),Salary_Master!B27,""))),"")</f>
        <v/>
      </c>
      <c r="C27" s="304">
        <v>31</v>
      </c>
      <c r="D27" s="305" t="str">
        <f t="shared" si="22"/>
        <v/>
      </c>
      <c r="E27" s="177"/>
      <c r="F27" s="177"/>
      <c r="G27" s="177"/>
      <c r="H27" s="305" t="str">
        <f t="shared" si="23"/>
        <v/>
      </c>
      <c r="I27" s="177"/>
      <c r="J27" s="177"/>
      <c r="K27" s="306" t="str">
        <f t="shared" si="24"/>
        <v/>
      </c>
      <c r="L27" s="306" t="str">
        <f t="shared" si="25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8"/>
        <v/>
      </c>
      <c r="T27" s="170" t="str">
        <f t="shared" si="9"/>
        <v/>
      </c>
      <c r="U27" s="170" t="str">
        <f t="shared" si="10"/>
        <v/>
      </c>
      <c r="V27" s="262">
        <f t="shared" si="26"/>
        <v>0</v>
      </c>
      <c r="W27" s="160">
        <f t="shared" si="27"/>
        <v>0</v>
      </c>
      <c r="X27" s="160">
        <f t="shared" si="28"/>
        <v>0</v>
      </c>
      <c r="Y27" s="160">
        <f t="shared" si="29"/>
        <v>0</v>
      </c>
      <c r="Z27" s="160">
        <f t="shared" si="30"/>
        <v>0</v>
      </c>
      <c r="AA27" s="160">
        <f t="shared" si="31"/>
        <v>0</v>
      </c>
      <c r="AB27" s="160">
        <f t="shared" si="32"/>
        <v>0</v>
      </c>
      <c r="AC27" s="160">
        <f t="shared" si="33"/>
        <v>0</v>
      </c>
      <c r="AD27" s="307">
        <f t="shared" si="34"/>
        <v>0</v>
      </c>
      <c r="AE27" s="308" t="str">
        <f t="shared" si="35"/>
        <v/>
      </c>
      <c r="AF27" s="163" t="str">
        <f t="shared" si="14"/>
        <v/>
      </c>
      <c r="AG27" s="163" t="str">
        <f t="shared" si="15"/>
        <v/>
      </c>
      <c r="AH27" s="163" t="str">
        <f t="shared" si="16"/>
        <v/>
      </c>
      <c r="AI27" s="290"/>
      <c r="AJ27" s="165" t="str">
        <f t="shared" si="17"/>
        <v/>
      </c>
      <c r="AK27" s="180" t="str">
        <f t="shared" si="18"/>
        <v/>
      </c>
      <c r="AM27" s="179"/>
      <c r="AN27" s="179"/>
      <c r="AP27" s="166" t="str">
        <f t="shared" si="19"/>
        <v/>
      </c>
      <c r="AQ27" s="166" t="str">
        <f t="shared" si="20"/>
        <v/>
      </c>
      <c r="AR27" s="166" t="str">
        <f t="shared" si="21"/>
        <v/>
      </c>
    </row>
    <row r="28" spans="1:46" s="162" customFormat="1" ht="25.2" customHeight="1" x14ac:dyDescent="0.3">
      <c r="A28" s="167">
        <v>24</v>
      </c>
      <c r="B28" s="304" t="str" cm="1">
        <f t="array" ref="B28">IF($J$1="Active",IF(Salary_Master!B28="","",_xlfn.IFS(Salary_Master!M28="Working",IF(Salary_Master!H28&lt;=DATE(2025,11,30),Salary_Master!B28,""),Salary_Master!M28="Left",IF(Salary_Master!N28&gt;DATE(2025,10,31),Salary_Master!B28,""))),"")</f>
        <v/>
      </c>
      <c r="C28" s="304">
        <v>31</v>
      </c>
      <c r="D28" s="305" t="str">
        <f t="shared" si="22"/>
        <v/>
      </c>
      <c r="E28" s="177"/>
      <c r="F28" s="177"/>
      <c r="G28" s="177"/>
      <c r="H28" s="305" t="str">
        <f t="shared" si="23"/>
        <v/>
      </c>
      <c r="I28" s="177"/>
      <c r="J28" s="177"/>
      <c r="K28" s="306" t="str">
        <f t="shared" si="24"/>
        <v/>
      </c>
      <c r="L28" s="306" t="str">
        <f t="shared" si="25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8"/>
        <v/>
      </c>
      <c r="T28" s="170" t="str">
        <f t="shared" si="9"/>
        <v/>
      </c>
      <c r="U28" s="170" t="str">
        <f t="shared" si="10"/>
        <v/>
      </c>
      <c r="V28" s="262">
        <f t="shared" si="26"/>
        <v>0</v>
      </c>
      <c r="W28" s="160">
        <f t="shared" si="27"/>
        <v>0</v>
      </c>
      <c r="X28" s="160">
        <f t="shared" si="28"/>
        <v>0</v>
      </c>
      <c r="Y28" s="160">
        <f t="shared" si="29"/>
        <v>0</v>
      </c>
      <c r="Z28" s="160">
        <f t="shared" si="30"/>
        <v>0</v>
      </c>
      <c r="AA28" s="160">
        <f t="shared" si="31"/>
        <v>0</v>
      </c>
      <c r="AB28" s="160">
        <f t="shared" si="32"/>
        <v>0</v>
      </c>
      <c r="AC28" s="160">
        <f t="shared" si="33"/>
        <v>0</v>
      </c>
      <c r="AD28" s="307">
        <f t="shared" si="34"/>
        <v>0</v>
      </c>
      <c r="AE28" s="308" t="str">
        <f t="shared" si="35"/>
        <v/>
      </c>
      <c r="AF28" s="163" t="str">
        <f t="shared" si="14"/>
        <v/>
      </c>
      <c r="AG28" s="163" t="str">
        <f t="shared" si="15"/>
        <v/>
      </c>
      <c r="AH28" s="163" t="str">
        <f t="shared" si="16"/>
        <v/>
      </c>
      <c r="AI28" s="290"/>
      <c r="AJ28" s="165" t="str">
        <f t="shared" si="17"/>
        <v/>
      </c>
      <c r="AK28" s="180" t="str">
        <f t="shared" si="18"/>
        <v/>
      </c>
      <c r="AM28" s="179"/>
      <c r="AN28" s="179"/>
      <c r="AP28" s="166" t="str">
        <f t="shared" si="19"/>
        <v/>
      </c>
      <c r="AQ28" s="166" t="str">
        <f t="shared" si="20"/>
        <v/>
      </c>
      <c r="AR28" s="166" t="str">
        <f t="shared" si="21"/>
        <v/>
      </c>
    </row>
    <row r="29" spans="1:46" s="173" customFormat="1" ht="25.2" customHeight="1" x14ac:dyDescent="0.3">
      <c r="A29" s="172">
        <v>25</v>
      </c>
      <c r="B29" s="304" t="str" cm="1">
        <f t="array" ref="B29">IF($J$1="Active",IF(Salary_Master!B29="","",_xlfn.IFS(Salary_Master!M29="Working",IF(Salary_Master!H29&lt;=DATE(2025,11,30),Salary_Master!B29,""),Salary_Master!M29="Left",IF(Salary_Master!N29&gt;DATE(2025,10,31),Salary_Master!B29,""))),"")</f>
        <v/>
      </c>
      <c r="C29" s="304">
        <v>31</v>
      </c>
      <c r="D29" s="305" t="str">
        <f t="shared" si="22"/>
        <v/>
      </c>
      <c r="E29" s="177"/>
      <c r="F29" s="177"/>
      <c r="G29" s="177"/>
      <c r="H29" s="305" t="str">
        <f t="shared" si="23"/>
        <v/>
      </c>
      <c r="I29" s="177"/>
      <c r="J29" s="177"/>
      <c r="K29" s="306" t="str">
        <f t="shared" si="24"/>
        <v/>
      </c>
      <c r="L29" s="306" t="str">
        <f t="shared" si="25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8"/>
        <v/>
      </c>
      <c r="T29" s="170" t="str">
        <f t="shared" si="9"/>
        <v/>
      </c>
      <c r="U29" s="170" t="str">
        <f t="shared" si="10"/>
        <v/>
      </c>
      <c r="V29" s="262">
        <f t="shared" si="26"/>
        <v>0</v>
      </c>
      <c r="W29" s="160">
        <f t="shared" si="27"/>
        <v>0</v>
      </c>
      <c r="X29" s="160">
        <f t="shared" si="28"/>
        <v>0</v>
      </c>
      <c r="Y29" s="160">
        <f t="shared" si="29"/>
        <v>0</v>
      </c>
      <c r="Z29" s="160">
        <f t="shared" si="30"/>
        <v>0</v>
      </c>
      <c r="AA29" s="160">
        <f t="shared" si="31"/>
        <v>0</v>
      </c>
      <c r="AB29" s="160">
        <f t="shared" si="32"/>
        <v>0</v>
      </c>
      <c r="AC29" s="160">
        <f t="shared" si="33"/>
        <v>0</v>
      </c>
      <c r="AD29" s="307">
        <f t="shared" si="34"/>
        <v>0</v>
      </c>
      <c r="AE29" s="308" t="str">
        <f t="shared" si="35"/>
        <v/>
      </c>
      <c r="AF29" s="163" t="str">
        <f t="shared" si="14"/>
        <v/>
      </c>
      <c r="AG29" s="163" t="str">
        <f t="shared" si="15"/>
        <v/>
      </c>
      <c r="AH29" s="163" t="str">
        <f t="shared" si="16"/>
        <v/>
      </c>
      <c r="AI29" s="290"/>
      <c r="AJ29" s="165" t="str">
        <f t="shared" si="17"/>
        <v/>
      </c>
      <c r="AK29" s="180" t="str">
        <f t="shared" si="18"/>
        <v/>
      </c>
      <c r="AM29" s="179"/>
      <c r="AN29" s="179"/>
      <c r="AP29" s="166" t="str">
        <f t="shared" si="19"/>
        <v/>
      </c>
      <c r="AQ29" s="166" t="str">
        <f t="shared" si="20"/>
        <v/>
      </c>
      <c r="AR29" s="166" t="str">
        <f t="shared" si="21"/>
        <v/>
      </c>
      <c r="AT29" s="162"/>
    </row>
    <row r="30" spans="1:46" s="162" customFormat="1" ht="25.2" customHeight="1" x14ac:dyDescent="0.3">
      <c r="A30" s="167">
        <v>26</v>
      </c>
      <c r="B30" s="304" t="str" cm="1">
        <f t="array" ref="B30">IF($J$1="Active",IF(Salary_Master!B30="","",_xlfn.IFS(Salary_Master!M30="Working",IF(Salary_Master!H30&lt;=DATE(2025,11,30),Salary_Master!B30,""),Salary_Master!M30="Left",IF(Salary_Master!N30&gt;DATE(2025,10,31),Salary_Master!B30,""))),"")</f>
        <v/>
      </c>
      <c r="C30" s="304">
        <v>31</v>
      </c>
      <c r="D30" s="305" t="str">
        <f t="shared" si="22"/>
        <v/>
      </c>
      <c r="E30" s="177"/>
      <c r="F30" s="177"/>
      <c r="G30" s="177"/>
      <c r="H30" s="305" t="str">
        <f t="shared" si="23"/>
        <v/>
      </c>
      <c r="I30" s="177"/>
      <c r="J30" s="177"/>
      <c r="K30" s="306" t="str">
        <f t="shared" si="24"/>
        <v/>
      </c>
      <c r="L30" s="306" t="str">
        <f t="shared" si="25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8"/>
        <v/>
      </c>
      <c r="T30" s="170" t="str">
        <f t="shared" si="9"/>
        <v/>
      </c>
      <c r="U30" s="170" t="str">
        <f t="shared" si="10"/>
        <v/>
      </c>
      <c r="V30" s="262">
        <f t="shared" si="26"/>
        <v>0</v>
      </c>
      <c r="W30" s="160">
        <f t="shared" si="27"/>
        <v>0</v>
      </c>
      <c r="X30" s="160">
        <f t="shared" si="28"/>
        <v>0</v>
      </c>
      <c r="Y30" s="160">
        <f t="shared" si="29"/>
        <v>0</v>
      </c>
      <c r="Z30" s="160">
        <f t="shared" si="30"/>
        <v>0</v>
      </c>
      <c r="AA30" s="160">
        <f t="shared" si="31"/>
        <v>0</v>
      </c>
      <c r="AB30" s="160">
        <f t="shared" si="32"/>
        <v>0</v>
      </c>
      <c r="AC30" s="160">
        <f t="shared" si="33"/>
        <v>0</v>
      </c>
      <c r="AD30" s="307">
        <f t="shared" si="34"/>
        <v>0</v>
      </c>
      <c r="AE30" s="308" t="str">
        <f t="shared" si="35"/>
        <v/>
      </c>
      <c r="AF30" s="163" t="str">
        <f t="shared" si="14"/>
        <v/>
      </c>
      <c r="AG30" s="163" t="str">
        <f t="shared" si="15"/>
        <v/>
      </c>
      <c r="AH30" s="163" t="str">
        <f t="shared" si="16"/>
        <v/>
      </c>
      <c r="AI30" s="290"/>
      <c r="AJ30" s="165" t="str">
        <f t="shared" si="17"/>
        <v/>
      </c>
      <c r="AK30" s="180" t="str">
        <f t="shared" si="18"/>
        <v/>
      </c>
      <c r="AM30" s="179"/>
      <c r="AN30" s="179"/>
      <c r="AP30" s="166" t="str">
        <f t="shared" si="19"/>
        <v/>
      </c>
      <c r="AQ30" s="166" t="str">
        <f t="shared" si="20"/>
        <v/>
      </c>
      <c r="AR30" s="166" t="str">
        <f t="shared" si="21"/>
        <v/>
      </c>
    </row>
    <row r="31" spans="1:46" s="162" customFormat="1" ht="25.2" customHeight="1" x14ac:dyDescent="0.3">
      <c r="A31" s="167">
        <v>27</v>
      </c>
      <c r="B31" s="304" t="str" cm="1">
        <f t="array" ref="B31">IF($J$1="Active",IF(Salary_Master!B31="","",_xlfn.IFS(Salary_Master!M31="Working",IF(Salary_Master!H31&lt;=DATE(2025,11,30),Salary_Master!B31,""),Salary_Master!M31="Left",IF(Salary_Master!N31&gt;DATE(2025,10,31),Salary_Master!B31,""))),"")</f>
        <v/>
      </c>
      <c r="C31" s="304">
        <v>31</v>
      </c>
      <c r="D31" s="305" t="str">
        <f t="shared" si="22"/>
        <v/>
      </c>
      <c r="E31" s="177"/>
      <c r="F31" s="177"/>
      <c r="G31" s="177"/>
      <c r="H31" s="305" t="str">
        <f t="shared" si="23"/>
        <v/>
      </c>
      <c r="I31" s="177"/>
      <c r="J31" s="177"/>
      <c r="K31" s="306" t="str">
        <f t="shared" si="24"/>
        <v/>
      </c>
      <c r="L31" s="306" t="str">
        <f t="shared" si="25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8"/>
        <v/>
      </c>
      <c r="T31" s="170" t="str">
        <f t="shared" si="9"/>
        <v/>
      </c>
      <c r="U31" s="170" t="str">
        <f t="shared" si="10"/>
        <v/>
      </c>
      <c r="V31" s="262">
        <f t="shared" si="26"/>
        <v>0</v>
      </c>
      <c r="W31" s="160">
        <f t="shared" si="27"/>
        <v>0</v>
      </c>
      <c r="X31" s="160">
        <f t="shared" si="28"/>
        <v>0</v>
      </c>
      <c r="Y31" s="160">
        <f t="shared" si="29"/>
        <v>0</v>
      </c>
      <c r="Z31" s="160">
        <f t="shared" si="30"/>
        <v>0</v>
      </c>
      <c r="AA31" s="160">
        <f t="shared" si="31"/>
        <v>0</v>
      </c>
      <c r="AB31" s="160">
        <f t="shared" si="32"/>
        <v>0</v>
      </c>
      <c r="AC31" s="160">
        <f t="shared" si="33"/>
        <v>0</v>
      </c>
      <c r="AD31" s="307">
        <f t="shared" si="34"/>
        <v>0</v>
      </c>
      <c r="AE31" s="308" t="str">
        <f t="shared" si="35"/>
        <v/>
      </c>
      <c r="AF31" s="163" t="str">
        <f t="shared" si="14"/>
        <v/>
      </c>
      <c r="AG31" s="163" t="str">
        <f t="shared" si="15"/>
        <v/>
      </c>
      <c r="AH31" s="163" t="str">
        <f t="shared" si="16"/>
        <v/>
      </c>
      <c r="AI31" s="290"/>
      <c r="AJ31" s="165" t="str">
        <f t="shared" si="17"/>
        <v/>
      </c>
      <c r="AK31" s="180" t="str">
        <f t="shared" si="18"/>
        <v/>
      </c>
      <c r="AM31" s="179"/>
      <c r="AN31" s="179"/>
      <c r="AP31" s="166" t="str">
        <f t="shared" si="19"/>
        <v/>
      </c>
      <c r="AQ31" s="166" t="str">
        <f t="shared" si="20"/>
        <v/>
      </c>
      <c r="AR31" s="166" t="str">
        <f t="shared" si="21"/>
        <v/>
      </c>
    </row>
    <row r="32" spans="1:46" s="173" customFormat="1" ht="25.2" customHeight="1" x14ac:dyDescent="0.3">
      <c r="A32" s="172">
        <v>28</v>
      </c>
      <c r="B32" s="304" t="str" cm="1">
        <f t="array" ref="B32">IF($J$1="Active",IF(Salary_Master!B32="","",_xlfn.IFS(Salary_Master!M32="Working",IF(Salary_Master!H32&lt;=DATE(2025,11,30),Salary_Master!B32,""),Salary_Master!M32="Left",IF(Salary_Master!N32&gt;DATE(2025,10,31),Salary_Master!B32,""))),"")</f>
        <v/>
      </c>
      <c r="C32" s="304">
        <v>31</v>
      </c>
      <c r="D32" s="305" t="str">
        <f t="shared" si="22"/>
        <v/>
      </c>
      <c r="E32" s="177"/>
      <c r="F32" s="177"/>
      <c r="G32" s="177"/>
      <c r="H32" s="305" t="str">
        <f t="shared" si="23"/>
        <v/>
      </c>
      <c r="I32" s="177"/>
      <c r="J32" s="177"/>
      <c r="K32" s="306" t="str">
        <f t="shared" si="24"/>
        <v/>
      </c>
      <c r="L32" s="306" t="str">
        <f t="shared" si="25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8"/>
        <v/>
      </c>
      <c r="T32" s="170" t="str">
        <f t="shared" si="9"/>
        <v/>
      </c>
      <c r="U32" s="170" t="str">
        <f t="shared" si="10"/>
        <v/>
      </c>
      <c r="V32" s="262">
        <f t="shared" si="26"/>
        <v>0</v>
      </c>
      <c r="W32" s="160">
        <f t="shared" si="27"/>
        <v>0</v>
      </c>
      <c r="X32" s="160">
        <f t="shared" si="28"/>
        <v>0</v>
      </c>
      <c r="Y32" s="160">
        <f t="shared" si="29"/>
        <v>0</v>
      </c>
      <c r="Z32" s="160">
        <f t="shared" si="30"/>
        <v>0</v>
      </c>
      <c r="AA32" s="160">
        <f t="shared" si="31"/>
        <v>0</v>
      </c>
      <c r="AB32" s="160">
        <f t="shared" si="32"/>
        <v>0</v>
      </c>
      <c r="AC32" s="160">
        <f t="shared" si="33"/>
        <v>0</v>
      </c>
      <c r="AD32" s="307">
        <f t="shared" si="34"/>
        <v>0</v>
      </c>
      <c r="AE32" s="308" t="str">
        <f t="shared" si="35"/>
        <v/>
      </c>
      <c r="AF32" s="163" t="str">
        <f t="shared" si="14"/>
        <v/>
      </c>
      <c r="AG32" s="163" t="str">
        <f t="shared" si="15"/>
        <v/>
      </c>
      <c r="AH32" s="163" t="str">
        <f t="shared" si="16"/>
        <v/>
      </c>
      <c r="AI32" s="290"/>
      <c r="AJ32" s="165" t="str">
        <f t="shared" si="17"/>
        <v/>
      </c>
      <c r="AK32" s="180" t="str">
        <f t="shared" si="18"/>
        <v/>
      </c>
      <c r="AM32" s="179"/>
      <c r="AN32" s="179"/>
      <c r="AP32" s="166" t="str">
        <f t="shared" si="19"/>
        <v/>
      </c>
      <c r="AQ32" s="166" t="str">
        <f t="shared" si="20"/>
        <v/>
      </c>
      <c r="AR32" s="166" t="str">
        <f t="shared" si="21"/>
        <v/>
      </c>
      <c r="AT32" s="162"/>
    </row>
    <row r="33" spans="1:45" s="162" customFormat="1" ht="25.2" customHeight="1" x14ac:dyDescent="0.3">
      <c r="A33" s="167">
        <v>29</v>
      </c>
      <c r="B33" s="304" t="str" cm="1">
        <f t="array" ref="B33">IF($J$1="Active",IF(Salary_Master!B33="","",_xlfn.IFS(Salary_Master!M33="Working",IF(Salary_Master!H33&lt;=DATE(2025,11,30),Salary_Master!B33,""),Salary_Master!M33="Left",IF(Salary_Master!N33&gt;DATE(2025,10,31),Salary_Master!B33,""))),"")</f>
        <v/>
      </c>
      <c r="C33" s="304">
        <v>31</v>
      </c>
      <c r="D33" s="305" t="str">
        <f t="shared" si="22"/>
        <v/>
      </c>
      <c r="E33" s="177"/>
      <c r="F33" s="177"/>
      <c r="G33" s="177"/>
      <c r="H33" s="305" t="str">
        <f t="shared" si="23"/>
        <v/>
      </c>
      <c r="I33" s="177"/>
      <c r="J33" s="177"/>
      <c r="K33" s="306" t="str">
        <f t="shared" si="24"/>
        <v/>
      </c>
      <c r="L33" s="306" t="str">
        <f t="shared" si="25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6"/>
        <v>0</v>
      </c>
      <c r="W33" s="160">
        <f t="shared" si="27"/>
        <v>0</v>
      </c>
      <c r="X33" s="160">
        <f t="shared" si="28"/>
        <v>0</v>
      </c>
      <c r="Y33" s="160">
        <f t="shared" si="29"/>
        <v>0</v>
      </c>
      <c r="Z33" s="160">
        <f t="shared" si="30"/>
        <v>0</v>
      </c>
      <c r="AA33" s="160">
        <f t="shared" si="31"/>
        <v>0</v>
      </c>
      <c r="AB33" s="160">
        <f t="shared" si="32"/>
        <v>0</v>
      </c>
      <c r="AC33" s="160">
        <f t="shared" si="33"/>
        <v>0</v>
      </c>
      <c r="AD33" s="307">
        <f t="shared" si="34"/>
        <v>0</v>
      </c>
      <c r="AE33" s="308" t="str">
        <f t="shared" si="35"/>
        <v/>
      </c>
      <c r="AF33" s="163" t="str">
        <f t="shared" si="14"/>
        <v/>
      </c>
      <c r="AG33" s="163" t="str">
        <f t="shared" si="15"/>
        <v/>
      </c>
      <c r="AH33" s="163" t="str">
        <f t="shared" si="16"/>
        <v/>
      </c>
      <c r="AI33" s="290"/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19"/>
        <v/>
      </c>
      <c r="AQ33" s="166" t="str">
        <f t="shared" si="20"/>
        <v/>
      </c>
      <c r="AR33" s="166" t="str">
        <f t="shared" si="21"/>
        <v/>
      </c>
    </row>
    <row r="34" spans="1:45" s="162" customFormat="1" ht="25.2" customHeight="1" x14ac:dyDescent="0.3">
      <c r="A34" s="223">
        <v>30</v>
      </c>
      <c r="B34" s="304" t="str" cm="1">
        <f t="array" ref="B34">IF($J$1="Active",IF(Salary_Master!B34="","",_xlfn.IFS(Salary_Master!M34="Working",IF(Salary_Master!H34&lt;=DATE(2025,11,30),Salary_Master!B34,""),Salary_Master!M34="Left",IF(Salary_Master!N34&gt;DATE(2025,10,31),Salary_Master!B34,""))),"")</f>
        <v/>
      </c>
      <c r="C34" s="304">
        <v>31</v>
      </c>
      <c r="D34" s="305" t="str">
        <f t="shared" si="22"/>
        <v/>
      </c>
      <c r="E34" s="177"/>
      <c r="F34" s="177"/>
      <c r="G34" s="177"/>
      <c r="H34" s="305" t="str">
        <f t="shared" si="23"/>
        <v/>
      </c>
      <c r="I34" s="177"/>
      <c r="J34" s="177"/>
      <c r="K34" s="306" t="str">
        <f t="shared" si="24"/>
        <v/>
      </c>
      <c r="L34" s="306" t="str">
        <f t="shared" si="25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6"/>
        <v>0</v>
      </c>
      <c r="W34" s="160">
        <f t="shared" si="27"/>
        <v>0</v>
      </c>
      <c r="X34" s="160">
        <f t="shared" si="28"/>
        <v>0</v>
      </c>
      <c r="Y34" s="160">
        <f t="shared" si="29"/>
        <v>0</v>
      </c>
      <c r="Z34" s="160">
        <f t="shared" si="30"/>
        <v>0</v>
      </c>
      <c r="AA34" s="160">
        <f t="shared" si="31"/>
        <v>0</v>
      </c>
      <c r="AB34" s="160">
        <f t="shared" si="32"/>
        <v>0</v>
      </c>
      <c r="AC34" s="160">
        <f t="shared" si="33"/>
        <v>0</v>
      </c>
      <c r="AD34" s="307">
        <f t="shared" si="34"/>
        <v>0</v>
      </c>
      <c r="AE34" s="308" t="str">
        <f t="shared" si="35"/>
        <v/>
      </c>
      <c r="AF34" s="163" t="str">
        <f t="shared" si="14"/>
        <v/>
      </c>
      <c r="AG34" s="163" t="str">
        <f t="shared" si="15"/>
        <v/>
      </c>
      <c r="AH34" s="163" t="str">
        <f t="shared" si="16"/>
        <v/>
      </c>
      <c r="AI34" s="290"/>
      <c r="AJ34" s="165" t="str">
        <f t="shared" si="17"/>
        <v/>
      </c>
      <c r="AK34" s="180"/>
      <c r="AM34" s="179"/>
      <c r="AN34" s="179"/>
      <c r="AP34" s="166" t="str">
        <f t="shared" si="19"/>
        <v/>
      </c>
      <c r="AQ34" s="166" t="str">
        <f t="shared" si="20"/>
        <v/>
      </c>
      <c r="AR34" s="166" t="str">
        <f t="shared" si="21"/>
        <v/>
      </c>
    </row>
    <row r="35" spans="1:45" s="162" customFormat="1" ht="25.2" customHeight="1" x14ac:dyDescent="0.3">
      <c r="A35" s="223">
        <v>31</v>
      </c>
      <c r="B35" s="304" t="str" cm="1">
        <f t="array" ref="B35">IF($J$1="Active",IF(Salary_Master!B35="","",_xlfn.IFS(Salary_Master!M35="Working",IF(Salary_Master!H35&lt;=DATE(2025,11,30),Salary_Master!B35,""),Salary_Master!M35="Left",IF(Salary_Master!N35&gt;DATE(2025,10,31),Salary_Master!B35,""))),"")</f>
        <v/>
      </c>
      <c r="C35" s="304">
        <v>31</v>
      </c>
      <c r="D35" s="305" t="str">
        <f t="shared" si="22"/>
        <v/>
      </c>
      <c r="E35" s="177"/>
      <c r="F35" s="177"/>
      <c r="G35" s="177"/>
      <c r="H35" s="305" t="str">
        <f t="shared" si="23"/>
        <v/>
      </c>
      <c r="I35" s="177"/>
      <c r="J35" s="177"/>
      <c r="K35" s="306" t="str">
        <f t="shared" si="24"/>
        <v/>
      </c>
      <c r="L35" s="306" t="str">
        <f t="shared" si="25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6"/>
        <v>0</v>
      </c>
      <c r="W35" s="160">
        <f t="shared" si="27"/>
        <v>0</v>
      </c>
      <c r="X35" s="160">
        <f t="shared" si="28"/>
        <v>0</v>
      </c>
      <c r="Y35" s="160">
        <f t="shared" si="29"/>
        <v>0</v>
      </c>
      <c r="Z35" s="160">
        <f t="shared" si="30"/>
        <v>0</v>
      </c>
      <c r="AA35" s="160">
        <f t="shared" si="31"/>
        <v>0</v>
      </c>
      <c r="AB35" s="160">
        <f t="shared" si="32"/>
        <v>0</v>
      </c>
      <c r="AC35" s="160">
        <f t="shared" si="33"/>
        <v>0</v>
      </c>
      <c r="AD35" s="307">
        <f t="shared" si="34"/>
        <v>0</v>
      </c>
      <c r="AE35" s="308" t="str">
        <f t="shared" si="35"/>
        <v/>
      </c>
      <c r="AF35" s="163" t="str">
        <f t="shared" si="14"/>
        <v/>
      </c>
      <c r="AG35" s="163" t="str">
        <f t="shared" si="15"/>
        <v/>
      </c>
      <c r="AH35" s="163" t="str">
        <f t="shared" si="16"/>
        <v/>
      </c>
      <c r="AI35" s="290"/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19"/>
        <v/>
      </c>
      <c r="AQ35" s="166" t="str">
        <f t="shared" si="20"/>
        <v/>
      </c>
      <c r="AR35" s="166" t="str">
        <f t="shared" si="21"/>
        <v/>
      </c>
    </row>
    <row r="36" spans="1:45" s="162" customFormat="1" ht="25.2" customHeight="1" x14ac:dyDescent="0.3">
      <c r="A36" s="223">
        <v>32</v>
      </c>
      <c r="B36" s="304" t="str" cm="1">
        <f t="array" ref="B36">IF($J$1="Active",IF(Salary_Master!B36="","",_xlfn.IFS(Salary_Master!M36="Working",IF(Salary_Master!H36&lt;=DATE(2025,11,30),Salary_Master!B36,""),Salary_Master!M36="Left",IF(Salary_Master!N36&gt;DATE(2025,10,31),Salary_Master!B36,""))),"")</f>
        <v/>
      </c>
      <c r="C36" s="304">
        <v>31</v>
      </c>
      <c r="D36" s="305" t="str">
        <f t="shared" si="22"/>
        <v/>
      </c>
      <c r="E36" s="177"/>
      <c r="F36" s="177"/>
      <c r="G36" s="177"/>
      <c r="H36" s="305" t="str">
        <f t="shared" si="23"/>
        <v/>
      </c>
      <c r="I36" s="177"/>
      <c r="J36" s="177"/>
      <c r="K36" s="306" t="str">
        <f t="shared" si="24"/>
        <v/>
      </c>
      <c r="L36" s="306" t="str">
        <f t="shared" si="25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6"/>
        <v>0</v>
      </c>
      <c r="W36" s="160">
        <f t="shared" si="27"/>
        <v>0</v>
      </c>
      <c r="X36" s="160">
        <f t="shared" si="28"/>
        <v>0</v>
      </c>
      <c r="Y36" s="160">
        <f t="shared" si="29"/>
        <v>0</v>
      </c>
      <c r="Z36" s="160">
        <f t="shared" si="30"/>
        <v>0</v>
      </c>
      <c r="AA36" s="160">
        <f t="shared" si="31"/>
        <v>0</v>
      </c>
      <c r="AB36" s="160">
        <f t="shared" si="32"/>
        <v>0</v>
      </c>
      <c r="AC36" s="160">
        <f t="shared" si="33"/>
        <v>0</v>
      </c>
      <c r="AD36" s="307">
        <f t="shared" si="34"/>
        <v>0</v>
      </c>
      <c r="AE36" s="308" t="str">
        <f t="shared" si="35"/>
        <v/>
      </c>
      <c r="AF36" s="163" t="str">
        <f t="shared" si="14"/>
        <v/>
      </c>
      <c r="AG36" s="163" t="str">
        <f t="shared" si="15"/>
        <v/>
      </c>
      <c r="AH36" s="163" t="str">
        <f t="shared" si="16"/>
        <v/>
      </c>
      <c r="AI36" s="290"/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19"/>
        <v/>
      </c>
      <c r="AQ36" s="166" t="str">
        <f t="shared" si="20"/>
        <v/>
      </c>
      <c r="AR36" s="166" t="str">
        <f t="shared" si="21"/>
        <v/>
      </c>
    </row>
    <row r="37" spans="1:45" s="162" customFormat="1" ht="25.2" customHeight="1" x14ac:dyDescent="0.3">
      <c r="A37" s="223">
        <v>33</v>
      </c>
      <c r="B37" s="304" t="str" cm="1">
        <f t="array" ref="B37">IF($J$1="Active",IF(Salary_Master!B37="","",_xlfn.IFS(Salary_Master!M37="Working",IF(Salary_Master!H37&lt;=DATE(2025,11,30),Salary_Master!B37,""),Salary_Master!M37="Left",IF(Salary_Master!N37&gt;DATE(2025,10,31),Salary_Master!B37,""))),"")</f>
        <v/>
      </c>
      <c r="C37" s="304">
        <v>31</v>
      </c>
      <c r="D37" s="305" t="str">
        <f t="shared" si="22"/>
        <v/>
      </c>
      <c r="E37" s="177"/>
      <c r="F37" s="177"/>
      <c r="G37" s="177"/>
      <c r="H37" s="305" t="str">
        <f t="shared" si="23"/>
        <v/>
      </c>
      <c r="I37" s="177"/>
      <c r="J37" s="177"/>
      <c r="K37" s="306" t="str">
        <f t="shared" si="24"/>
        <v/>
      </c>
      <c r="L37" s="306" t="str">
        <f t="shared" si="25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6"/>
        <v>0</v>
      </c>
      <c r="W37" s="160">
        <f t="shared" si="27"/>
        <v>0</v>
      </c>
      <c r="X37" s="160">
        <f t="shared" si="28"/>
        <v>0</v>
      </c>
      <c r="Y37" s="160">
        <f t="shared" si="29"/>
        <v>0</v>
      </c>
      <c r="Z37" s="160">
        <f t="shared" si="30"/>
        <v>0</v>
      </c>
      <c r="AA37" s="160">
        <f t="shared" si="31"/>
        <v>0</v>
      </c>
      <c r="AB37" s="160">
        <f t="shared" si="32"/>
        <v>0</v>
      </c>
      <c r="AC37" s="160">
        <f t="shared" si="33"/>
        <v>0</v>
      </c>
      <c r="AD37" s="307">
        <f t="shared" si="34"/>
        <v>0</v>
      </c>
      <c r="AE37" s="308" t="str">
        <f t="shared" si="35"/>
        <v/>
      </c>
      <c r="AF37" s="163" t="str">
        <f t="shared" si="14"/>
        <v/>
      </c>
      <c r="AG37" s="163" t="str">
        <f t="shared" si="15"/>
        <v/>
      </c>
      <c r="AH37" s="163" t="str">
        <f t="shared" si="16"/>
        <v/>
      </c>
      <c r="AI37" s="290"/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19"/>
        <v/>
      </c>
      <c r="AQ37" s="166" t="str">
        <f t="shared" si="20"/>
        <v/>
      </c>
      <c r="AR37" s="166" t="str">
        <f t="shared" si="21"/>
        <v/>
      </c>
    </row>
    <row r="38" spans="1:45" s="162" customFormat="1" ht="25.2" customHeight="1" x14ac:dyDescent="0.3">
      <c r="A38" s="223">
        <v>34</v>
      </c>
      <c r="B38" s="304" t="str" cm="1">
        <f t="array" ref="B38">IF($J$1="Active",IF(Salary_Master!B38="","",_xlfn.IFS(Salary_Master!M38="Working",IF(Salary_Master!H38&lt;=DATE(2025,11,30),Salary_Master!B38,""),Salary_Master!M38="Left",IF(Salary_Master!N38&gt;DATE(2025,10,31),Salary_Master!B38,""))),"")</f>
        <v/>
      </c>
      <c r="C38" s="304">
        <v>31</v>
      </c>
      <c r="D38" s="305" t="str">
        <f t="shared" si="22"/>
        <v/>
      </c>
      <c r="E38" s="177"/>
      <c r="F38" s="177"/>
      <c r="G38" s="177"/>
      <c r="H38" s="305" t="str">
        <f t="shared" si="23"/>
        <v/>
      </c>
      <c r="I38" s="177"/>
      <c r="J38" s="177"/>
      <c r="K38" s="306" t="str">
        <f t="shared" si="24"/>
        <v/>
      </c>
      <c r="L38" s="306" t="str">
        <f t="shared" si="25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6"/>
        <v>0</v>
      </c>
      <c r="W38" s="160">
        <f t="shared" si="27"/>
        <v>0</v>
      </c>
      <c r="X38" s="160">
        <f t="shared" si="28"/>
        <v>0</v>
      </c>
      <c r="Y38" s="160">
        <f t="shared" si="29"/>
        <v>0</v>
      </c>
      <c r="Z38" s="160">
        <f t="shared" si="30"/>
        <v>0</v>
      </c>
      <c r="AA38" s="160">
        <f t="shared" si="31"/>
        <v>0</v>
      </c>
      <c r="AB38" s="160">
        <f t="shared" si="32"/>
        <v>0</v>
      </c>
      <c r="AC38" s="160">
        <f t="shared" si="33"/>
        <v>0</v>
      </c>
      <c r="AD38" s="307">
        <f t="shared" si="34"/>
        <v>0</v>
      </c>
      <c r="AE38" s="308" t="str">
        <f t="shared" si="35"/>
        <v/>
      </c>
      <c r="AF38" s="163" t="str">
        <f t="shared" si="14"/>
        <v/>
      </c>
      <c r="AG38" s="163" t="str">
        <f t="shared" si="15"/>
        <v/>
      </c>
      <c r="AH38" s="163" t="str">
        <f t="shared" si="16"/>
        <v/>
      </c>
      <c r="AI38" s="290"/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19"/>
        <v/>
      </c>
      <c r="AQ38" s="166" t="str">
        <f t="shared" si="20"/>
        <v/>
      </c>
      <c r="AR38" s="166" t="str">
        <f t="shared" si="21"/>
        <v/>
      </c>
    </row>
    <row r="39" spans="1:45" s="162" customFormat="1" ht="25.2" customHeight="1" thickBot="1" x14ac:dyDescent="0.35">
      <c r="A39" s="174">
        <v>35</v>
      </c>
      <c r="B39" s="309" t="str" cm="1">
        <f t="array" ref="B39">IF($J$1="Active",IF(Salary_Master!B39="","",_xlfn.IFS(Salary_Master!M39="Working",IF(Salary_Master!H39&lt;=DATE(2025,11,30),Salary_Master!B39,""),Salary_Master!M39="Left",IF(Salary_Master!N39&gt;DATE(2025,10,31),Salary_Master!B39,""))),"")</f>
        <v/>
      </c>
      <c r="C39" s="309">
        <v>31</v>
      </c>
      <c r="D39" s="310" t="str">
        <f t="shared" si="22"/>
        <v/>
      </c>
      <c r="E39" s="311"/>
      <c r="F39" s="311"/>
      <c r="G39" s="311"/>
      <c r="H39" s="310" t="str">
        <f t="shared" si="23"/>
        <v/>
      </c>
      <c r="I39" s="311"/>
      <c r="J39" s="311"/>
      <c r="K39" s="312" t="str">
        <f t="shared" si="24"/>
        <v/>
      </c>
      <c r="L39" s="312" t="str">
        <f t="shared" si="25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6"/>
        <v>0</v>
      </c>
      <c r="W39" s="297">
        <f t="shared" si="27"/>
        <v>0</v>
      </c>
      <c r="X39" s="297">
        <f t="shared" si="28"/>
        <v>0</v>
      </c>
      <c r="Y39" s="297">
        <f t="shared" si="29"/>
        <v>0</v>
      </c>
      <c r="Z39" s="297">
        <f t="shared" si="30"/>
        <v>0</v>
      </c>
      <c r="AA39" s="297">
        <f t="shared" si="31"/>
        <v>0</v>
      </c>
      <c r="AB39" s="297">
        <f t="shared" si="32"/>
        <v>0</v>
      </c>
      <c r="AC39" s="297">
        <f t="shared" si="33"/>
        <v>0</v>
      </c>
      <c r="AD39" s="317">
        <f t="shared" si="34"/>
        <v>0</v>
      </c>
      <c r="AE39" s="318" t="str">
        <f t="shared" si="35"/>
        <v/>
      </c>
      <c r="AF39" s="163" t="str">
        <f t="shared" si="14"/>
        <v/>
      </c>
      <c r="AG39" s="163" t="str">
        <f t="shared" si="15"/>
        <v/>
      </c>
      <c r="AH39" s="163" t="str">
        <f t="shared" si="16"/>
        <v/>
      </c>
      <c r="AI39" s="292"/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19"/>
        <v/>
      </c>
      <c r="AQ39" s="166" t="str">
        <f t="shared" si="20"/>
        <v/>
      </c>
      <c r="AR39" s="166" t="str">
        <f t="shared" si="21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6">SUM(W5:W39)</f>
        <v>0</v>
      </c>
      <c r="X40" s="183">
        <f t="shared" si="36"/>
        <v>0</v>
      </c>
      <c r="Y40" s="183">
        <f t="shared" si="36"/>
        <v>0</v>
      </c>
      <c r="Z40" s="183">
        <f t="shared" si="36"/>
        <v>0</v>
      </c>
      <c r="AA40" s="183">
        <f t="shared" si="36"/>
        <v>0</v>
      </c>
      <c r="AB40" s="183">
        <f t="shared" si="36"/>
        <v>0</v>
      </c>
      <c r="AC40" s="183">
        <f t="shared" si="36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mergeCells count="3">
    <mergeCell ref="J1:K1"/>
    <mergeCell ref="AP2:AR2"/>
    <mergeCell ref="A40:U40"/>
  </mergeCells>
  <conditionalFormatting sqref="H5:H39">
    <cfRule type="cellIs" dxfId="14" priority="2" operator="greaterThan">
      <formula>32</formula>
    </cfRule>
    <cfRule type="cellIs" dxfId="13" priority="3" operator="greaterThan">
      <formula>31</formula>
    </cfRule>
  </conditionalFormatting>
  <conditionalFormatting sqref="H5:H39">
    <cfRule type="cellIs" dxfId="12" priority="1" operator="greaterThan">
      <formula>32</formula>
    </cfRule>
  </conditionalFormatting>
  <dataValidations count="6">
    <dataValidation type="custom" allowBlank="1" showInputMessage="1" showErrorMessage="1" errorTitle="Below Limit !!!" error="Total leaves are going negative if this value is entered. Try to enter less value." sqref="G5:G39" xr:uid="{9480B039-927F-4B41-9E42-ED37E9ECCCFA}">
      <formula1>$AP5&lt;=7</formula1>
    </dataValidation>
    <dataValidation type="list" allowBlank="1" sqref="K5:L39" xr:uid="{EDAC3B4E-1BF0-44E0-B33B-A81824B0C245}">
      <formula1>"Yes,No"</formula1>
    </dataValidation>
    <dataValidation type="list" allowBlank="1" showInputMessage="1" showErrorMessage="1" sqref="AK5:AK39 AL40 M5:M39" xr:uid="{0A0B8943-57AA-4D7E-B973-A7B0F59CBDFE}">
      <formula1>"Yes,No"</formula1>
    </dataValidation>
    <dataValidation type="list" allowBlank="1" showInputMessage="1" showErrorMessage="1" sqref="J1:K1" xr:uid="{C399B75F-4339-4E13-9FA9-F4B53005117D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E5:E39" xr:uid="{64B8ED64-494A-4B4E-B69C-66CC995E6B5B}">
      <formula1>$AN5&lt;=7</formula1>
    </dataValidation>
    <dataValidation type="custom" allowBlank="1" showInputMessage="1" showErrorMessage="1" errorTitle="Below Limit !!!" error="Total leaves are going negative if this value is entered. Try to enter less value." sqref="F5:F39" xr:uid="{423F5641-2E53-4E76-9438-8753B953099D}">
      <formula1>$AO5&lt;=7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9BB8E-E593-4434-B10F-9C6017BF2768}">
  <sheetPr codeName="Sheet44">
    <tabColor rgb="FF92D050"/>
  </sheetPr>
  <dimension ref="A1:AT40"/>
  <sheetViews>
    <sheetView workbookViewId="0">
      <pane xSplit="13" ySplit="4" topLeftCell="AB35" activePane="bottomRight" state="frozen"/>
      <selection activeCell="J1" sqref="J1:K1"/>
      <selection pane="topRight" activeCell="J1" sqref="J1:K1"/>
      <selection pane="bottomLeft" activeCell="J1" sqref="J1:K1"/>
      <selection pane="bottomRight" activeCell="J1" sqref="J1:K1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10937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192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IF($J$1="Active",IF(Salary_Master!B5="","",_xlfn.IFS(Salary_Master!M5="Working",IF(Salary_Master!H5&lt;=DATE(2025,12,31),Salary_Master!B5,""),Salary_Master!M5="Left",IF(Salary_Master!N5&gt;DATE(2025,11,30),Salary_Master!B5,""))),"")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" si="1">IF($J$1="Active",IF(B5="","",VLOOKUP(B5,Salary_Master,14,FALSE)),"")</f>
        <v/>
      </c>
      <c r="L5" s="158" t="str">
        <f t="shared" ref="L5" si="2">IF($J$1="Active",IF(B5="","",VLOOKUP(B5,Salary_Master,15,FALSE)),"")</f>
        <v/>
      </c>
      <c r="M5" s="159"/>
      <c r="N5" s="169" t="str">
        <f t="shared" ref="N5:N39" si="3">IFERROR(ROUND(IF($B5="","",SUM(VLOOKUP($B5,Salary_Master,17,FALSE)/31*$H5)),0),"")</f>
        <v/>
      </c>
      <c r="O5" s="170" t="str">
        <f t="shared" ref="O5:O39" si="4">IFERROR(ROUND(IF($B5="","",SUM(VLOOKUP($B5,Salary_Master,18,FALSE)/31*$H5)),0),"")</f>
        <v/>
      </c>
      <c r="P5" s="170" t="str">
        <f t="shared" ref="P5:P39" si="5">IFERROR(ROUND(IF($B5="","",SUM(VLOOKUP($B5,Salary_Master,19,FALSE)/31*$H5)),0),"")</f>
        <v/>
      </c>
      <c r="Q5" s="170" t="str">
        <f t="shared" ref="Q5:Q39" si="6">IFERROR(ROUND(IF($B5="","",SUM(VLOOKUP($B5,Salary_Master,20,FALSE)/31*$H5)),0),"")</f>
        <v/>
      </c>
      <c r="R5" s="170" t="str">
        <f t="shared" ref="R5:R39" si="7">IFERROR(ROUND(IF($B5="","",SUM(VLOOKUP($B5,Salary_Master,21,FALSE)/31*$H5)),0),"")</f>
        <v/>
      </c>
      <c r="S5" s="170" t="str">
        <f t="shared" ref="S5:S39" si="8">IFERROR(ROUND(IF($B5="","",SUM(VLOOKUP($B5,Salary_Master,22,FALSE)/31*$H5)),0),"")</f>
        <v/>
      </c>
      <c r="T5" s="170" t="str">
        <f t="shared" ref="T5:T39" si="9">IFERROR(ROUND(IF($B5="","",SUM(VLOOKUP($B5,Salary_Master,23,FALSE)/31*$H5)),0),"")</f>
        <v/>
      </c>
      <c r="U5" s="170" t="str">
        <f t="shared" ref="U5:U39" si="10">IFERROR(ROUND(IF($B5="","",SUM(VLOOKUP($B5,Salary_Master,24,FALSE)/31*$H5)),0),"")</f>
        <v/>
      </c>
      <c r="V5" s="261">
        <f>ROUND(SUM(N5:U5),0)</f>
        <v>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" si="13">IF(B5="","",VLOOKUP(B5,Salary_Master,8,FALSE))</f>
        <v/>
      </c>
      <c r="AF5" s="164" t="str">
        <f t="shared" ref="AF5:AF39" si="14">IFERROR(IF($J$1="Non-Active","",IF(VLOOKUP($B5,Novv25,36,FALSE)="No",IF($AK5="Yes",MROUND($AJ5/3,0.5)-$E5,""),IF(VLOOKUP($B5,Novv25,36,FALSE)="Yes",(VLOOKUP($B5,Novv25,31,FALSE)-$E5),""))),"")</f>
        <v/>
      </c>
      <c r="AG5" s="164" t="str">
        <f t="shared" ref="AG5:AG39" si="15">IFERROR(IF($J$1="Non-Active","",IF(VLOOKUP($B5,Novv25,36,FALSE)="No",IF($AK5="Yes",MROUND($AJ5/3,0.5)-$F5,""),IF(VLOOKUP($B5,Novv25,36,FALSE)="Yes",(VLOOKUP($B5,Novv25,32,FALSE)-$F5),""))),"")</f>
        <v/>
      </c>
      <c r="AH5" s="164" t="str">
        <f t="shared" ref="AH5:AH39" si="16">IFERROR(IF($J$1="Non-Active","",IF(VLOOKUP($B5,Novv25,36,FALSE)="No",IF($AK5="Yes",($AJ5-(AF5+AG5)-(E5+F5))-$G5,""),IF(VLOOKUP($B5,Novv25,36,FALSE)="Yes",(VLOOKUP($B5,Novv25,33,FALSE)-$G5),""))),"")</f>
        <v/>
      </c>
      <c r="AI5" s="289"/>
      <c r="AJ5" s="296" t="str">
        <f t="shared" ref="AJ5:AJ39" si="17">IF(AK5="Yes",IF(VLOOKUP($B5,Novv25,36,FALSE)="No",MROUND(SUM(21/12*6),0.5),""),"")</f>
        <v/>
      </c>
      <c r="AK5" s="287" t="str">
        <f t="shared" ref="AK5:AK39" si="18">IF($J$1="Non-Active","",IF($B5="","",VLOOKUP($B5,Novv25,36,FALSE)))</f>
        <v/>
      </c>
      <c r="AM5" s="179"/>
      <c r="AN5" s="179"/>
      <c r="AP5" s="166" t="str">
        <f t="shared" ref="AP5:AP39" si="19">IFERROR(IF($B5="","",(VLOOKUP($B5,Aprr25,4,FALSE)+VLOOKUP($B5,Mayy25,4,FALSE)+VLOOKUP($B5,Junn25,4,FALSE)+VLOOKUP($B5,Jull25,4,FALSE)+VLOOKUP($B5,Augg25,4,FALSE)+VLOOKUP($B5,Sepp25,4,FALSE)+VLOOKUP($B5,Octt25,4,FALSE)+VLOOKUP($B5,Novv25,4,FALSE)+VLOOKUP($B5,Decc25,4,FALSE))),0)</f>
        <v/>
      </c>
      <c r="AQ5" s="166" t="str">
        <f t="shared" ref="AQ5:AQ39" si="20">IFERROR(IF($B5="","",(VLOOKUP($B5,Aprr25,5,FALSE)+VLOOKUP($B5,Mayy25,5,FALSE)+VLOOKUP($B5,Junn25,5,FALSE)+VLOOKUP($B5,Jull25,5,FALSE)+VLOOKUP($B5,Augg25,5,FALSE)+VLOOKUP($B5,Sepp25,5,FALSE)+VLOOKUP($B5,Octt25,5,FALSE)+VLOOKUP($B5,Novv25,5,FALSE)+VLOOKUP($B5,Decc25,5,FALSE))),0)</f>
        <v/>
      </c>
      <c r="AR5" s="166" t="str">
        <f t="shared" ref="AR5:AR39" si="21">IFERROR(IF($B5="","",(VLOOKUP($B5,Aprr25,6,FALSE)+VLOOKUP($B5,Mayy25,6,FALSE)+VLOOKUP($B5,Junn25,6,FALSE)+VLOOKUP($B5,Jull25,6,FALSE)+VLOOKUP($B5,Augg25,6,FALSE)+VLOOKUP($B5,Sepp25,6,FALSE)+VLOOKUP($B5,Octt25,6,FALSE)+VLOOKUP($B5,Novv25,6,FALSE)+VLOOKUP($B5,Decc25,6,FALSE))),0)</f>
        <v/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IF($J$1="Active",IF(Salary_Master!B6="","",_xlfn.IFS(Salary_Master!M6="Working",IF(Salary_Master!H6&lt;=DATE(2025,12,31),Salary_Master!B6,""),Salary_Master!M6="Left",IF(Salary_Master!N6&gt;DATE(2025,11,30),Salary_Master!B6,""))),"")</f>
        <v/>
      </c>
      <c r="C6" s="304">
        <v>31</v>
      </c>
      <c r="D6" s="305" t="str">
        <f t="shared" ref="D6:D39" si="22">IF($J$1="Active",IF(B6="","",C6-SUM(E6:G6)-I6),"")</f>
        <v/>
      </c>
      <c r="E6" s="177"/>
      <c r="F6" s="177"/>
      <c r="G6" s="177"/>
      <c r="H6" s="305" t="str">
        <f t="shared" ref="H6:H39" si="23">IF(SUM(D6:G6)=0,"",SUM(D6:G6))</f>
        <v/>
      </c>
      <c r="I6" s="177"/>
      <c r="J6" s="177"/>
      <c r="K6" s="306" t="str">
        <f t="shared" ref="K6:K39" si="24">IF($J$1="Active",IF(B6="","",VLOOKUP(B6,Salary_Master,14,FALSE)),"")</f>
        <v/>
      </c>
      <c r="L6" s="306" t="str">
        <f t="shared" ref="L6:L39" si="25">IF($J$1="Active",IF(B6="","",VLOOKUP(B6,Salary_Master,15,FALSE)),"")</f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si="8"/>
        <v/>
      </c>
      <c r="T6" s="170" t="str">
        <f t="shared" si="9"/>
        <v/>
      </c>
      <c r="U6" s="170" t="str">
        <f t="shared" si="10"/>
        <v/>
      </c>
      <c r="V6" s="262">
        <f t="shared" ref="V6:V39" si="26">ROUND(SUM(N6:U6),0)</f>
        <v>0</v>
      </c>
      <c r="W6" s="160">
        <f t="shared" ref="W6:W39" si="27">IFERROR(ROUND(IF(K6="Yes",IF((V6-O6)&gt;15000,1800,SUM(V6-O6)*12%),),),"")</f>
        <v>0</v>
      </c>
      <c r="X6" s="160">
        <f t="shared" ref="X6:X39" si="28">IF(B6="Sagar Kadam",0,IF(B6="Rahul Jadhav",0,IF(W6="","",W6)))</f>
        <v>0</v>
      </c>
      <c r="Y6" s="160">
        <f t="shared" ref="Y6:Y39" si="29">ROUND(IF(L6="Yes",V6*0.75%,0),0)</f>
        <v>0</v>
      </c>
      <c r="Z6" s="160">
        <f t="shared" ref="Z6:Z39" si="30">IF(B6="Sagar Kadam",0,IF(B6="Rahul Jadhav",0,ROUND(IF(L6="Yes",V6*3.25%,0),0)))</f>
        <v>0</v>
      </c>
      <c r="AA6" s="160">
        <f t="shared" ref="AA6:AA39" si="31">IF(AE6="Female",IF(V6&gt;24999,200,0),IF(V6&gt;7500,200,0))</f>
        <v>0</v>
      </c>
      <c r="AB6" s="160">
        <f t="shared" ref="AB6:AB39" si="32">AM6</f>
        <v>0</v>
      </c>
      <c r="AC6" s="160">
        <f t="shared" ref="AC6:AC39" si="33">AN6</f>
        <v>0</v>
      </c>
      <c r="AD6" s="307">
        <f t="shared" ref="AD6:AD39" si="34">ROUND(V6-SUM(W6:AC6),0)</f>
        <v>0</v>
      </c>
      <c r="AE6" s="308" t="str">
        <f t="shared" ref="AE6:AE39" si="35">IF(B6="","",VLOOKUP(B6,Salary_Master,8,FALSE))</f>
        <v/>
      </c>
      <c r="AF6" s="163" t="str">
        <f t="shared" si="14"/>
        <v/>
      </c>
      <c r="AG6" s="163" t="str">
        <f t="shared" si="15"/>
        <v/>
      </c>
      <c r="AH6" s="163" t="str">
        <f t="shared" si="16"/>
        <v/>
      </c>
      <c r="AI6" s="290"/>
      <c r="AJ6" s="165" t="str">
        <f t="shared" si="17"/>
        <v/>
      </c>
      <c r="AK6" s="180" t="str">
        <f t="shared" si="18"/>
        <v/>
      </c>
      <c r="AM6" s="179"/>
      <c r="AN6" s="179"/>
      <c r="AP6" s="166" t="str">
        <f t="shared" si="19"/>
        <v/>
      </c>
      <c r="AQ6" s="166" t="str">
        <f t="shared" si="20"/>
        <v/>
      </c>
      <c r="AR6" s="166" t="str">
        <f t="shared" si="21"/>
        <v/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IF($J$1="Active",IF(Salary_Master!B7="","",_xlfn.IFS(Salary_Master!M7="Working",IF(Salary_Master!H7&lt;=DATE(2025,12,31),Salary_Master!B7,""),Salary_Master!M7="Left",IF(Salary_Master!N7&gt;DATE(2025,11,30),Salary_Master!B7,""))),"")</f>
        <v/>
      </c>
      <c r="C7" s="304">
        <v>31</v>
      </c>
      <c r="D7" s="305" t="str">
        <f t="shared" si="22"/>
        <v/>
      </c>
      <c r="E7" s="177"/>
      <c r="F7" s="177"/>
      <c r="G7" s="177"/>
      <c r="H7" s="305" t="str">
        <f t="shared" si="23"/>
        <v/>
      </c>
      <c r="I7" s="177"/>
      <c r="J7" s="177"/>
      <c r="K7" s="306" t="str">
        <f t="shared" si="24"/>
        <v/>
      </c>
      <c r="L7" s="306" t="str">
        <f t="shared" si="25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8"/>
        <v/>
      </c>
      <c r="T7" s="170" t="str">
        <f t="shared" si="9"/>
        <v/>
      </c>
      <c r="U7" s="170" t="str">
        <f t="shared" si="10"/>
        <v/>
      </c>
      <c r="V7" s="262">
        <f t="shared" si="26"/>
        <v>0</v>
      </c>
      <c r="W7" s="160">
        <f t="shared" si="27"/>
        <v>0</v>
      </c>
      <c r="X7" s="160">
        <f t="shared" si="28"/>
        <v>0</v>
      </c>
      <c r="Y7" s="160">
        <f t="shared" si="29"/>
        <v>0</v>
      </c>
      <c r="Z7" s="160">
        <f t="shared" si="30"/>
        <v>0</v>
      </c>
      <c r="AA7" s="160">
        <f t="shared" si="31"/>
        <v>0</v>
      </c>
      <c r="AB7" s="160">
        <f t="shared" si="32"/>
        <v>0</v>
      </c>
      <c r="AC7" s="160">
        <f t="shared" si="33"/>
        <v>0</v>
      </c>
      <c r="AD7" s="307">
        <f t="shared" si="34"/>
        <v>0</v>
      </c>
      <c r="AE7" s="308" t="str">
        <f t="shared" si="35"/>
        <v/>
      </c>
      <c r="AF7" s="163" t="str">
        <f t="shared" si="14"/>
        <v/>
      </c>
      <c r="AG7" s="163" t="str">
        <f t="shared" si="15"/>
        <v/>
      </c>
      <c r="AH7" s="163" t="str">
        <f t="shared" si="16"/>
        <v/>
      </c>
      <c r="AI7" s="290"/>
      <c r="AJ7" s="165" t="str">
        <f t="shared" si="17"/>
        <v/>
      </c>
      <c r="AK7" s="180" t="str">
        <f t="shared" si="18"/>
        <v/>
      </c>
      <c r="AM7" s="179"/>
      <c r="AN7" s="179"/>
      <c r="AP7" s="166" t="str">
        <f t="shared" si="19"/>
        <v/>
      </c>
      <c r="AQ7" s="166" t="str">
        <f t="shared" si="20"/>
        <v/>
      </c>
      <c r="AR7" s="166" t="str">
        <f t="shared" si="21"/>
        <v/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IF($J$1="Active",IF(Salary_Master!B8="","",_xlfn.IFS(Salary_Master!M8="Working",IF(Salary_Master!H8&lt;=DATE(2025,12,31),Salary_Master!B8,""),Salary_Master!M8="Left",IF(Salary_Master!N8&gt;DATE(2025,11,30),Salary_Master!B8,""))),"")</f>
        <v/>
      </c>
      <c r="C8" s="304">
        <v>31</v>
      </c>
      <c r="D8" s="305" t="str">
        <f t="shared" si="22"/>
        <v/>
      </c>
      <c r="E8" s="177"/>
      <c r="F8" s="177"/>
      <c r="G8" s="177"/>
      <c r="H8" s="305" t="str">
        <f t="shared" si="23"/>
        <v/>
      </c>
      <c r="I8" s="177"/>
      <c r="J8" s="177"/>
      <c r="K8" s="306" t="str">
        <f t="shared" si="24"/>
        <v/>
      </c>
      <c r="L8" s="306" t="str">
        <f t="shared" si="25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8"/>
        <v/>
      </c>
      <c r="T8" s="170" t="str">
        <f t="shared" si="9"/>
        <v/>
      </c>
      <c r="U8" s="170" t="str">
        <f t="shared" si="10"/>
        <v/>
      </c>
      <c r="V8" s="262">
        <f t="shared" si="26"/>
        <v>0</v>
      </c>
      <c r="W8" s="160">
        <f t="shared" si="27"/>
        <v>0</v>
      </c>
      <c r="X8" s="160">
        <f t="shared" si="28"/>
        <v>0</v>
      </c>
      <c r="Y8" s="160">
        <f t="shared" si="29"/>
        <v>0</v>
      </c>
      <c r="Z8" s="160">
        <f t="shared" si="30"/>
        <v>0</v>
      </c>
      <c r="AA8" s="160">
        <f t="shared" si="31"/>
        <v>0</v>
      </c>
      <c r="AB8" s="160">
        <f t="shared" si="32"/>
        <v>0</v>
      </c>
      <c r="AC8" s="160">
        <f t="shared" si="33"/>
        <v>0</v>
      </c>
      <c r="AD8" s="307">
        <f t="shared" si="34"/>
        <v>0</v>
      </c>
      <c r="AE8" s="308" t="str">
        <f t="shared" si="35"/>
        <v/>
      </c>
      <c r="AF8" s="163" t="str">
        <f t="shared" si="14"/>
        <v/>
      </c>
      <c r="AG8" s="163" t="str">
        <f t="shared" si="15"/>
        <v/>
      </c>
      <c r="AH8" s="163" t="str">
        <f t="shared" si="16"/>
        <v/>
      </c>
      <c r="AI8" s="290"/>
      <c r="AJ8" s="165" t="str">
        <f t="shared" si="17"/>
        <v/>
      </c>
      <c r="AK8" s="180" t="str">
        <f t="shared" si="18"/>
        <v/>
      </c>
      <c r="AM8" s="179"/>
      <c r="AN8" s="179"/>
      <c r="AP8" s="166" t="str">
        <f t="shared" si="19"/>
        <v/>
      </c>
      <c r="AQ8" s="166" t="str">
        <f t="shared" si="20"/>
        <v/>
      </c>
      <c r="AR8" s="166" t="str">
        <f t="shared" si="21"/>
        <v/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IF($J$1="Active",IF(Salary_Master!B9="","",_xlfn.IFS(Salary_Master!M9="Working",IF(Salary_Master!H9&lt;=DATE(2025,12,31),Salary_Master!B9,""),Salary_Master!M9="Left",IF(Salary_Master!N9&gt;DATE(2025,11,30),Salary_Master!B9,""))),"")</f>
        <v/>
      </c>
      <c r="C9" s="304">
        <v>31</v>
      </c>
      <c r="D9" s="305" t="str">
        <f t="shared" si="22"/>
        <v/>
      </c>
      <c r="E9" s="177"/>
      <c r="F9" s="177"/>
      <c r="G9" s="177"/>
      <c r="H9" s="305" t="str">
        <f t="shared" si="23"/>
        <v/>
      </c>
      <c r="I9" s="177"/>
      <c r="J9" s="177"/>
      <c r="K9" s="306" t="str">
        <f t="shared" si="24"/>
        <v/>
      </c>
      <c r="L9" s="306" t="str">
        <f t="shared" si="25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8"/>
        <v/>
      </c>
      <c r="T9" s="170" t="str">
        <f t="shared" si="9"/>
        <v/>
      </c>
      <c r="U9" s="170" t="str">
        <f t="shared" si="10"/>
        <v/>
      </c>
      <c r="V9" s="262">
        <f t="shared" si="26"/>
        <v>0</v>
      </c>
      <c r="W9" s="160">
        <f t="shared" si="27"/>
        <v>0</v>
      </c>
      <c r="X9" s="160">
        <f t="shared" si="28"/>
        <v>0</v>
      </c>
      <c r="Y9" s="160">
        <f t="shared" si="29"/>
        <v>0</v>
      </c>
      <c r="Z9" s="160">
        <f t="shared" si="30"/>
        <v>0</v>
      </c>
      <c r="AA9" s="160">
        <f t="shared" si="31"/>
        <v>0</v>
      </c>
      <c r="AB9" s="160">
        <f t="shared" si="32"/>
        <v>0</v>
      </c>
      <c r="AC9" s="160">
        <f t="shared" si="33"/>
        <v>0</v>
      </c>
      <c r="AD9" s="307">
        <f t="shared" si="34"/>
        <v>0</v>
      </c>
      <c r="AE9" s="308" t="str">
        <f t="shared" si="35"/>
        <v/>
      </c>
      <c r="AF9" s="163" t="str">
        <f t="shared" si="14"/>
        <v/>
      </c>
      <c r="AG9" s="163" t="str">
        <f t="shared" si="15"/>
        <v/>
      </c>
      <c r="AH9" s="163" t="str">
        <f t="shared" si="16"/>
        <v/>
      </c>
      <c r="AI9" s="290"/>
      <c r="AJ9" s="165" t="str">
        <f t="shared" si="17"/>
        <v/>
      </c>
      <c r="AK9" s="180" t="str">
        <f t="shared" si="18"/>
        <v/>
      </c>
      <c r="AM9" s="179"/>
      <c r="AN9" s="179"/>
      <c r="AP9" s="166" t="str">
        <f t="shared" si="19"/>
        <v/>
      </c>
      <c r="AQ9" s="166" t="str">
        <f t="shared" si="20"/>
        <v/>
      </c>
      <c r="AR9" s="166" t="str">
        <f t="shared" si="21"/>
        <v/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IF($J$1="Active",IF(Salary_Master!B10="","",_xlfn.IFS(Salary_Master!M10="Working",IF(Salary_Master!H10&lt;=DATE(2025,12,31),Salary_Master!B10,""),Salary_Master!M10="Left",IF(Salary_Master!N10&gt;DATE(2025,11,30),Salary_Master!B10,""))),"")</f>
        <v/>
      </c>
      <c r="C10" s="304">
        <v>31</v>
      </c>
      <c r="D10" s="305" t="str">
        <f t="shared" si="22"/>
        <v/>
      </c>
      <c r="E10" s="177"/>
      <c r="F10" s="177"/>
      <c r="G10" s="177"/>
      <c r="H10" s="305" t="str">
        <f t="shared" si="23"/>
        <v/>
      </c>
      <c r="I10" s="177"/>
      <c r="J10" s="177"/>
      <c r="K10" s="306" t="str">
        <f t="shared" si="24"/>
        <v/>
      </c>
      <c r="L10" s="306" t="str">
        <f t="shared" si="25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8"/>
        <v/>
      </c>
      <c r="T10" s="170" t="str">
        <f t="shared" si="9"/>
        <v/>
      </c>
      <c r="U10" s="170" t="str">
        <f t="shared" si="10"/>
        <v/>
      </c>
      <c r="V10" s="262">
        <f t="shared" si="26"/>
        <v>0</v>
      </c>
      <c r="W10" s="160">
        <f t="shared" si="27"/>
        <v>0</v>
      </c>
      <c r="X10" s="160">
        <f t="shared" si="28"/>
        <v>0</v>
      </c>
      <c r="Y10" s="160">
        <f t="shared" si="29"/>
        <v>0</v>
      </c>
      <c r="Z10" s="160">
        <f t="shared" si="30"/>
        <v>0</v>
      </c>
      <c r="AA10" s="160">
        <f t="shared" si="31"/>
        <v>0</v>
      </c>
      <c r="AB10" s="160">
        <f t="shared" si="32"/>
        <v>0</v>
      </c>
      <c r="AC10" s="160">
        <f t="shared" si="33"/>
        <v>0</v>
      </c>
      <c r="AD10" s="307">
        <f t="shared" si="34"/>
        <v>0</v>
      </c>
      <c r="AE10" s="308" t="str">
        <f t="shared" si="35"/>
        <v/>
      </c>
      <c r="AF10" s="163" t="str">
        <f t="shared" si="14"/>
        <v/>
      </c>
      <c r="AG10" s="163" t="str">
        <f t="shared" si="15"/>
        <v/>
      </c>
      <c r="AH10" s="163" t="str">
        <f t="shared" si="16"/>
        <v/>
      </c>
      <c r="AI10" s="290"/>
      <c r="AJ10" s="165" t="str">
        <f t="shared" si="17"/>
        <v/>
      </c>
      <c r="AK10" s="180" t="str">
        <f t="shared" si="18"/>
        <v/>
      </c>
      <c r="AM10" s="179"/>
      <c r="AN10" s="179"/>
      <c r="AP10" s="166" t="str">
        <f t="shared" si="19"/>
        <v/>
      </c>
      <c r="AQ10" s="166" t="str">
        <f t="shared" si="20"/>
        <v/>
      </c>
      <c r="AR10" s="166" t="str">
        <f t="shared" si="21"/>
        <v/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IF($J$1="Active",IF(Salary_Master!B11="","",_xlfn.IFS(Salary_Master!M11="Working",IF(Salary_Master!H11&lt;=DATE(2025,12,31),Salary_Master!B11,""),Salary_Master!M11="Left",IF(Salary_Master!N11&gt;DATE(2025,11,30),Salary_Master!B11,""))),"")</f>
        <v/>
      </c>
      <c r="C11" s="304">
        <v>31</v>
      </c>
      <c r="D11" s="305" t="str">
        <f t="shared" si="22"/>
        <v/>
      </c>
      <c r="E11" s="177"/>
      <c r="F11" s="177"/>
      <c r="G11" s="177"/>
      <c r="H11" s="305" t="str">
        <f t="shared" si="23"/>
        <v/>
      </c>
      <c r="I11" s="177"/>
      <c r="J11" s="177"/>
      <c r="K11" s="306" t="str">
        <f t="shared" si="24"/>
        <v/>
      </c>
      <c r="L11" s="306" t="str">
        <f t="shared" si="25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8"/>
        <v/>
      </c>
      <c r="T11" s="170" t="str">
        <f t="shared" si="9"/>
        <v/>
      </c>
      <c r="U11" s="170" t="str">
        <f t="shared" si="10"/>
        <v/>
      </c>
      <c r="V11" s="262">
        <f t="shared" si="26"/>
        <v>0</v>
      </c>
      <c r="W11" s="160">
        <f t="shared" si="27"/>
        <v>0</v>
      </c>
      <c r="X11" s="160">
        <f t="shared" si="28"/>
        <v>0</v>
      </c>
      <c r="Y11" s="160">
        <f t="shared" si="29"/>
        <v>0</v>
      </c>
      <c r="Z11" s="160">
        <f t="shared" si="30"/>
        <v>0</v>
      </c>
      <c r="AA11" s="160">
        <f t="shared" si="31"/>
        <v>0</v>
      </c>
      <c r="AB11" s="160">
        <f t="shared" si="32"/>
        <v>0</v>
      </c>
      <c r="AC11" s="160">
        <f t="shared" si="33"/>
        <v>0</v>
      </c>
      <c r="AD11" s="307">
        <f t="shared" si="34"/>
        <v>0</v>
      </c>
      <c r="AE11" s="308" t="str">
        <f t="shared" si="35"/>
        <v/>
      </c>
      <c r="AF11" s="163" t="str">
        <f t="shared" si="14"/>
        <v/>
      </c>
      <c r="AG11" s="163" t="str">
        <f t="shared" si="15"/>
        <v/>
      </c>
      <c r="AH11" s="163" t="str">
        <f t="shared" si="16"/>
        <v/>
      </c>
      <c r="AI11" s="290"/>
      <c r="AJ11" s="165" t="str">
        <f t="shared" si="17"/>
        <v/>
      </c>
      <c r="AK11" s="180" t="str">
        <f t="shared" si="18"/>
        <v/>
      </c>
      <c r="AM11" s="179"/>
      <c r="AN11" s="179"/>
      <c r="AP11" s="166" t="str">
        <f t="shared" si="19"/>
        <v/>
      </c>
      <c r="AQ11" s="166" t="str">
        <f t="shared" si="20"/>
        <v/>
      </c>
      <c r="AR11" s="166" t="str">
        <f t="shared" si="21"/>
        <v/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IF($J$1="Active",IF(Salary_Master!B12="","",_xlfn.IFS(Salary_Master!M12="Working",IF(Salary_Master!H12&lt;=DATE(2025,12,31),Salary_Master!B12,""),Salary_Master!M12="Left",IF(Salary_Master!N12&gt;DATE(2025,11,30),Salary_Master!B12,""))),"")</f>
        <v/>
      </c>
      <c r="C12" s="304">
        <v>31</v>
      </c>
      <c r="D12" s="305" t="str">
        <f t="shared" si="22"/>
        <v/>
      </c>
      <c r="E12" s="177"/>
      <c r="F12" s="177"/>
      <c r="G12" s="177"/>
      <c r="H12" s="305" t="str">
        <f t="shared" si="23"/>
        <v/>
      </c>
      <c r="I12" s="177"/>
      <c r="J12" s="177"/>
      <c r="K12" s="306" t="str">
        <f t="shared" si="24"/>
        <v/>
      </c>
      <c r="L12" s="306" t="str">
        <f t="shared" si="25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8"/>
        <v/>
      </c>
      <c r="T12" s="170" t="str">
        <f t="shared" si="9"/>
        <v/>
      </c>
      <c r="U12" s="170" t="str">
        <f t="shared" si="10"/>
        <v/>
      </c>
      <c r="V12" s="262">
        <f t="shared" si="26"/>
        <v>0</v>
      </c>
      <c r="W12" s="160">
        <f t="shared" si="27"/>
        <v>0</v>
      </c>
      <c r="X12" s="160">
        <f t="shared" si="28"/>
        <v>0</v>
      </c>
      <c r="Y12" s="160">
        <f t="shared" si="29"/>
        <v>0</v>
      </c>
      <c r="Z12" s="160">
        <f t="shared" si="30"/>
        <v>0</v>
      </c>
      <c r="AA12" s="160">
        <f t="shared" si="31"/>
        <v>0</v>
      </c>
      <c r="AB12" s="160">
        <f t="shared" si="32"/>
        <v>0</v>
      </c>
      <c r="AC12" s="160">
        <f t="shared" si="33"/>
        <v>0</v>
      </c>
      <c r="AD12" s="307">
        <f t="shared" si="34"/>
        <v>0</v>
      </c>
      <c r="AE12" s="308" t="str">
        <f t="shared" si="35"/>
        <v/>
      </c>
      <c r="AF12" s="163" t="str">
        <f t="shared" si="14"/>
        <v/>
      </c>
      <c r="AG12" s="163" t="str">
        <f t="shared" si="15"/>
        <v/>
      </c>
      <c r="AH12" s="163" t="str">
        <f t="shared" si="16"/>
        <v/>
      </c>
      <c r="AI12" s="290"/>
      <c r="AJ12" s="165" t="str">
        <f t="shared" si="17"/>
        <v/>
      </c>
      <c r="AK12" s="180" t="str">
        <f t="shared" si="18"/>
        <v/>
      </c>
      <c r="AM12" s="179"/>
      <c r="AN12" s="179"/>
      <c r="AP12" s="166" t="str">
        <f t="shared" si="19"/>
        <v/>
      </c>
      <c r="AQ12" s="166" t="str">
        <f t="shared" si="20"/>
        <v/>
      </c>
      <c r="AR12" s="166" t="str">
        <f t="shared" si="21"/>
        <v/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IF($J$1="Active",IF(Salary_Master!B13="","",_xlfn.IFS(Salary_Master!M13="Working",IF(Salary_Master!H13&lt;=DATE(2025,12,31),Salary_Master!B13,""),Salary_Master!M13="Left",IF(Salary_Master!N13&gt;DATE(2025,11,30),Salary_Master!B13,""))),"")</f>
        <v/>
      </c>
      <c r="C13" s="304">
        <v>31</v>
      </c>
      <c r="D13" s="305" t="str">
        <f t="shared" si="22"/>
        <v/>
      </c>
      <c r="E13" s="177"/>
      <c r="F13" s="177"/>
      <c r="G13" s="177"/>
      <c r="H13" s="305" t="str">
        <f t="shared" si="23"/>
        <v/>
      </c>
      <c r="I13" s="177"/>
      <c r="J13" s="177"/>
      <c r="K13" s="306" t="str">
        <f t="shared" si="24"/>
        <v/>
      </c>
      <c r="L13" s="306" t="str">
        <f t="shared" si="25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8"/>
        <v/>
      </c>
      <c r="T13" s="170" t="str">
        <f t="shared" si="9"/>
        <v/>
      </c>
      <c r="U13" s="170" t="str">
        <f t="shared" si="10"/>
        <v/>
      </c>
      <c r="V13" s="262">
        <f t="shared" si="26"/>
        <v>0</v>
      </c>
      <c r="W13" s="160">
        <f t="shared" si="27"/>
        <v>0</v>
      </c>
      <c r="X13" s="160">
        <f t="shared" si="28"/>
        <v>0</v>
      </c>
      <c r="Y13" s="160">
        <f t="shared" si="29"/>
        <v>0</v>
      </c>
      <c r="Z13" s="160">
        <f t="shared" si="30"/>
        <v>0</v>
      </c>
      <c r="AA13" s="160">
        <f t="shared" si="31"/>
        <v>0</v>
      </c>
      <c r="AB13" s="160">
        <f t="shared" si="32"/>
        <v>0</v>
      </c>
      <c r="AC13" s="160">
        <f t="shared" si="33"/>
        <v>0</v>
      </c>
      <c r="AD13" s="307">
        <f t="shared" si="34"/>
        <v>0</v>
      </c>
      <c r="AE13" s="308" t="str">
        <f t="shared" si="35"/>
        <v/>
      </c>
      <c r="AF13" s="163" t="str">
        <f t="shared" si="14"/>
        <v/>
      </c>
      <c r="AG13" s="163" t="str">
        <f t="shared" si="15"/>
        <v/>
      </c>
      <c r="AH13" s="163" t="str">
        <f t="shared" si="16"/>
        <v/>
      </c>
      <c r="AI13" s="290"/>
      <c r="AJ13" s="165" t="str">
        <f t="shared" si="17"/>
        <v/>
      </c>
      <c r="AK13" s="180" t="str">
        <f t="shared" si="18"/>
        <v/>
      </c>
      <c r="AM13" s="179"/>
      <c r="AN13" s="179"/>
      <c r="AP13" s="166" t="str">
        <f t="shared" si="19"/>
        <v/>
      </c>
      <c r="AQ13" s="166" t="str">
        <f t="shared" si="20"/>
        <v/>
      </c>
      <c r="AR13" s="166" t="str">
        <f t="shared" si="21"/>
        <v/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IF($J$1="Active",IF(Salary_Master!B14="","",_xlfn.IFS(Salary_Master!M14="Working",IF(Salary_Master!H14&lt;=DATE(2025,12,31),Salary_Master!B14,""),Salary_Master!M14="Left",IF(Salary_Master!N14&gt;DATE(2025,11,30),Salary_Master!B14,""))),"")</f>
        <v/>
      </c>
      <c r="C14" s="304">
        <v>31</v>
      </c>
      <c r="D14" s="305" t="str">
        <f t="shared" si="22"/>
        <v/>
      </c>
      <c r="E14" s="177"/>
      <c r="F14" s="177"/>
      <c r="G14" s="177"/>
      <c r="H14" s="305" t="str">
        <f t="shared" si="23"/>
        <v/>
      </c>
      <c r="I14" s="177"/>
      <c r="J14" s="177"/>
      <c r="K14" s="306" t="str">
        <f t="shared" si="24"/>
        <v/>
      </c>
      <c r="L14" s="306" t="str">
        <f t="shared" si="25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8"/>
        <v/>
      </c>
      <c r="T14" s="170" t="str">
        <f t="shared" si="9"/>
        <v/>
      </c>
      <c r="U14" s="170" t="str">
        <f t="shared" si="10"/>
        <v/>
      </c>
      <c r="V14" s="262">
        <f t="shared" si="26"/>
        <v>0</v>
      </c>
      <c r="W14" s="160">
        <f t="shared" si="27"/>
        <v>0</v>
      </c>
      <c r="X14" s="160">
        <f t="shared" si="28"/>
        <v>0</v>
      </c>
      <c r="Y14" s="160">
        <f t="shared" si="29"/>
        <v>0</v>
      </c>
      <c r="Z14" s="160">
        <f t="shared" si="30"/>
        <v>0</v>
      </c>
      <c r="AA14" s="160">
        <f t="shared" si="31"/>
        <v>0</v>
      </c>
      <c r="AB14" s="160">
        <f t="shared" si="32"/>
        <v>0</v>
      </c>
      <c r="AC14" s="160">
        <f t="shared" si="33"/>
        <v>0</v>
      </c>
      <c r="AD14" s="307">
        <f t="shared" si="34"/>
        <v>0</v>
      </c>
      <c r="AE14" s="308" t="str">
        <f t="shared" si="35"/>
        <v/>
      </c>
      <c r="AF14" s="163" t="str">
        <f t="shared" si="14"/>
        <v/>
      </c>
      <c r="AG14" s="163" t="str">
        <f t="shared" si="15"/>
        <v/>
      </c>
      <c r="AH14" s="163" t="str">
        <f t="shared" si="16"/>
        <v/>
      </c>
      <c r="AI14" s="290"/>
      <c r="AJ14" s="165" t="str">
        <f t="shared" si="17"/>
        <v/>
      </c>
      <c r="AK14" s="180" t="str">
        <f t="shared" si="18"/>
        <v/>
      </c>
      <c r="AM14" s="179"/>
      <c r="AN14" s="179"/>
      <c r="AP14" s="166" t="str">
        <f t="shared" si="19"/>
        <v/>
      </c>
      <c r="AQ14" s="166" t="str">
        <f t="shared" si="20"/>
        <v/>
      </c>
      <c r="AR14" s="166" t="str">
        <f t="shared" si="21"/>
        <v/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IF($J$1="Active",IF(Salary_Master!B15="","",_xlfn.IFS(Salary_Master!M15="Working",IF(Salary_Master!H15&lt;=DATE(2025,12,31),Salary_Master!B15,""),Salary_Master!M15="Left",IF(Salary_Master!N15&gt;DATE(2025,11,30),Salary_Master!B15,""))),"")</f>
        <v/>
      </c>
      <c r="C15" s="304">
        <v>31</v>
      </c>
      <c r="D15" s="305" t="str">
        <f t="shared" si="22"/>
        <v/>
      </c>
      <c r="E15" s="177"/>
      <c r="F15" s="177"/>
      <c r="G15" s="177"/>
      <c r="H15" s="305" t="str">
        <f t="shared" si="23"/>
        <v/>
      </c>
      <c r="I15" s="177"/>
      <c r="J15" s="177"/>
      <c r="K15" s="306" t="str">
        <f t="shared" si="24"/>
        <v/>
      </c>
      <c r="L15" s="306" t="str">
        <f t="shared" si="25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8"/>
        <v/>
      </c>
      <c r="T15" s="170" t="str">
        <f t="shared" si="9"/>
        <v/>
      </c>
      <c r="U15" s="170" t="str">
        <f t="shared" si="10"/>
        <v/>
      </c>
      <c r="V15" s="262">
        <f t="shared" si="26"/>
        <v>0</v>
      </c>
      <c r="W15" s="160">
        <f t="shared" si="27"/>
        <v>0</v>
      </c>
      <c r="X15" s="160">
        <f t="shared" si="28"/>
        <v>0</v>
      </c>
      <c r="Y15" s="160">
        <f t="shared" si="29"/>
        <v>0</v>
      </c>
      <c r="Z15" s="160">
        <f t="shared" si="30"/>
        <v>0</v>
      </c>
      <c r="AA15" s="160">
        <f t="shared" si="31"/>
        <v>0</v>
      </c>
      <c r="AB15" s="160">
        <f t="shared" si="32"/>
        <v>0</v>
      </c>
      <c r="AC15" s="160">
        <f t="shared" si="33"/>
        <v>0</v>
      </c>
      <c r="AD15" s="307">
        <f t="shared" si="34"/>
        <v>0</v>
      </c>
      <c r="AE15" s="308" t="str">
        <f t="shared" si="35"/>
        <v/>
      </c>
      <c r="AF15" s="163" t="str">
        <f t="shared" si="14"/>
        <v/>
      </c>
      <c r="AG15" s="163" t="str">
        <f t="shared" si="15"/>
        <v/>
      </c>
      <c r="AH15" s="163" t="str">
        <f t="shared" si="16"/>
        <v/>
      </c>
      <c r="AI15" s="290"/>
      <c r="AJ15" s="165" t="str">
        <f t="shared" si="17"/>
        <v/>
      </c>
      <c r="AK15" s="180" t="str">
        <f t="shared" si="18"/>
        <v/>
      </c>
      <c r="AM15" s="179"/>
      <c r="AN15" s="179"/>
      <c r="AP15" s="166" t="str">
        <f t="shared" si="19"/>
        <v/>
      </c>
      <c r="AQ15" s="166" t="str">
        <f t="shared" si="20"/>
        <v/>
      </c>
      <c r="AR15" s="166" t="str">
        <f t="shared" si="21"/>
        <v/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IF($J$1="Active",IF(Salary_Master!B16="","",_xlfn.IFS(Salary_Master!M16="Working",IF(Salary_Master!H16&lt;=DATE(2025,12,31),Salary_Master!B16,""),Salary_Master!M16="Left",IF(Salary_Master!N16&gt;DATE(2025,11,30),Salary_Master!B16,""))),"")</f>
        <v/>
      </c>
      <c r="C16" s="304">
        <v>31</v>
      </c>
      <c r="D16" s="305" t="str">
        <f t="shared" si="22"/>
        <v/>
      </c>
      <c r="E16" s="177"/>
      <c r="F16" s="177"/>
      <c r="G16" s="177"/>
      <c r="H16" s="305" t="str">
        <f t="shared" si="23"/>
        <v/>
      </c>
      <c r="I16" s="177"/>
      <c r="J16" s="177"/>
      <c r="K16" s="306" t="str">
        <f t="shared" si="24"/>
        <v/>
      </c>
      <c r="L16" s="306" t="str">
        <f t="shared" si="25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8"/>
        <v/>
      </c>
      <c r="T16" s="170" t="str">
        <f t="shared" si="9"/>
        <v/>
      </c>
      <c r="U16" s="170" t="str">
        <f t="shared" si="10"/>
        <v/>
      </c>
      <c r="V16" s="262">
        <f t="shared" si="26"/>
        <v>0</v>
      </c>
      <c r="W16" s="160">
        <f t="shared" si="27"/>
        <v>0</v>
      </c>
      <c r="X16" s="160">
        <f t="shared" si="28"/>
        <v>0</v>
      </c>
      <c r="Y16" s="160">
        <f t="shared" si="29"/>
        <v>0</v>
      </c>
      <c r="Z16" s="160">
        <f t="shared" si="30"/>
        <v>0</v>
      </c>
      <c r="AA16" s="160">
        <f t="shared" si="31"/>
        <v>0</v>
      </c>
      <c r="AB16" s="160">
        <f t="shared" si="32"/>
        <v>0</v>
      </c>
      <c r="AC16" s="160">
        <f t="shared" si="33"/>
        <v>0</v>
      </c>
      <c r="AD16" s="307">
        <f t="shared" si="34"/>
        <v>0</v>
      </c>
      <c r="AE16" s="308" t="str">
        <f t="shared" si="35"/>
        <v/>
      </c>
      <c r="AF16" s="163" t="str">
        <f t="shared" si="14"/>
        <v/>
      </c>
      <c r="AG16" s="163" t="str">
        <f t="shared" si="15"/>
        <v/>
      </c>
      <c r="AH16" s="163" t="str">
        <f t="shared" si="16"/>
        <v/>
      </c>
      <c r="AI16" s="290"/>
      <c r="AJ16" s="165" t="str">
        <f t="shared" si="17"/>
        <v/>
      </c>
      <c r="AK16" s="180" t="str">
        <f t="shared" si="18"/>
        <v/>
      </c>
      <c r="AM16" s="179"/>
      <c r="AN16" s="179"/>
      <c r="AP16" s="166" t="str">
        <f t="shared" si="19"/>
        <v/>
      </c>
      <c r="AQ16" s="166" t="str">
        <f t="shared" si="20"/>
        <v/>
      </c>
      <c r="AR16" s="166" t="str">
        <f t="shared" si="21"/>
        <v/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IF($J$1="Active",IF(Salary_Master!B17="","",_xlfn.IFS(Salary_Master!M17="Working",IF(Salary_Master!H17&lt;=DATE(2025,12,31),Salary_Master!B17,""),Salary_Master!M17="Left",IF(Salary_Master!N17&gt;DATE(2025,11,30),Salary_Master!B17,""))),"")</f>
        <v/>
      </c>
      <c r="C17" s="304">
        <v>31</v>
      </c>
      <c r="D17" s="305" t="str">
        <f t="shared" si="22"/>
        <v/>
      </c>
      <c r="E17" s="177"/>
      <c r="F17" s="177"/>
      <c r="G17" s="177"/>
      <c r="H17" s="305" t="str">
        <f t="shared" si="23"/>
        <v/>
      </c>
      <c r="I17" s="177"/>
      <c r="J17" s="177"/>
      <c r="K17" s="306" t="str">
        <f t="shared" si="24"/>
        <v/>
      </c>
      <c r="L17" s="306" t="str">
        <f t="shared" si="25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8"/>
        <v/>
      </c>
      <c r="T17" s="170" t="str">
        <f t="shared" si="9"/>
        <v/>
      </c>
      <c r="U17" s="170" t="str">
        <f t="shared" si="10"/>
        <v/>
      </c>
      <c r="V17" s="262">
        <f t="shared" si="26"/>
        <v>0</v>
      </c>
      <c r="W17" s="160">
        <f t="shared" si="27"/>
        <v>0</v>
      </c>
      <c r="X17" s="160">
        <f t="shared" si="28"/>
        <v>0</v>
      </c>
      <c r="Y17" s="160">
        <f t="shared" si="29"/>
        <v>0</v>
      </c>
      <c r="Z17" s="160">
        <f t="shared" si="30"/>
        <v>0</v>
      </c>
      <c r="AA17" s="160">
        <f t="shared" si="31"/>
        <v>0</v>
      </c>
      <c r="AB17" s="160">
        <f t="shared" si="32"/>
        <v>0</v>
      </c>
      <c r="AC17" s="160">
        <f t="shared" si="33"/>
        <v>0</v>
      </c>
      <c r="AD17" s="307">
        <f t="shared" si="34"/>
        <v>0</v>
      </c>
      <c r="AE17" s="308" t="str">
        <f t="shared" si="35"/>
        <v/>
      </c>
      <c r="AF17" s="163" t="str">
        <f t="shared" si="14"/>
        <v/>
      </c>
      <c r="AG17" s="163" t="str">
        <f t="shared" si="15"/>
        <v/>
      </c>
      <c r="AH17" s="163" t="str">
        <f t="shared" si="16"/>
        <v/>
      </c>
      <c r="AI17" s="290"/>
      <c r="AJ17" s="165" t="str">
        <f t="shared" si="17"/>
        <v/>
      </c>
      <c r="AK17" s="180" t="str">
        <f t="shared" si="18"/>
        <v/>
      </c>
      <c r="AM17" s="179"/>
      <c r="AN17" s="179"/>
      <c r="AP17" s="166" t="str">
        <f t="shared" si="19"/>
        <v/>
      </c>
      <c r="AQ17" s="166" t="str">
        <f t="shared" si="20"/>
        <v/>
      </c>
      <c r="AR17" s="166" t="str">
        <f t="shared" si="21"/>
        <v/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IF($J$1="Active",IF(Salary_Master!B18="","",_xlfn.IFS(Salary_Master!M18="Working",IF(Salary_Master!H18&lt;=DATE(2025,12,31),Salary_Master!B18,""),Salary_Master!M18="Left",IF(Salary_Master!N18&gt;DATE(2025,11,30),Salary_Master!B18,""))),"")</f>
        <v/>
      </c>
      <c r="C18" s="304">
        <v>31</v>
      </c>
      <c r="D18" s="305" t="str">
        <f t="shared" si="22"/>
        <v/>
      </c>
      <c r="E18" s="177"/>
      <c r="F18" s="177"/>
      <c r="G18" s="177"/>
      <c r="H18" s="305" t="str">
        <f t="shared" si="23"/>
        <v/>
      </c>
      <c r="I18" s="177"/>
      <c r="J18" s="177"/>
      <c r="K18" s="306" t="str">
        <f t="shared" si="24"/>
        <v/>
      </c>
      <c r="L18" s="306" t="str">
        <f t="shared" si="25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8"/>
        <v/>
      </c>
      <c r="T18" s="170" t="str">
        <f t="shared" si="9"/>
        <v/>
      </c>
      <c r="U18" s="170" t="str">
        <f t="shared" si="10"/>
        <v/>
      </c>
      <c r="V18" s="262">
        <f t="shared" si="26"/>
        <v>0</v>
      </c>
      <c r="W18" s="160">
        <f t="shared" si="27"/>
        <v>0</v>
      </c>
      <c r="X18" s="160">
        <f t="shared" si="28"/>
        <v>0</v>
      </c>
      <c r="Y18" s="160">
        <f t="shared" si="29"/>
        <v>0</v>
      </c>
      <c r="Z18" s="160">
        <f t="shared" si="30"/>
        <v>0</v>
      </c>
      <c r="AA18" s="160">
        <f t="shared" si="31"/>
        <v>0</v>
      </c>
      <c r="AB18" s="160">
        <f t="shared" si="32"/>
        <v>0</v>
      </c>
      <c r="AC18" s="160">
        <f t="shared" si="33"/>
        <v>0</v>
      </c>
      <c r="AD18" s="307">
        <f t="shared" si="34"/>
        <v>0</v>
      </c>
      <c r="AE18" s="308" t="str">
        <f t="shared" si="35"/>
        <v/>
      </c>
      <c r="AF18" s="163" t="str">
        <f t="shared" si="14"/>
        <v/>
      </c>
      <c r="AG18" s="163" t="str">
        <f t="shared" si="15"/>
        <v/>
      </c>
      <c r="AH18" s="163" t="str">
        <f t="shared" si="16"/>
        <v/>
      </c>
      <c r="AI18" s="290"/>
      <c r="AJ18" s="165" t="str">
        <f t="shared" si="17"/>
        <v/>
      </c>
      <c r="AK18" s="180" t="str">
        <f t="shared" si="18"/>
        <v/>
      </c>
      <c r="AM18" s="179"/>
      <c r="AN18" s="179"/>
      <c r="AP18" s="166" t="str">
        <f t="shared" si="19"/>
        <v/>
      </c>
      <c r="AQ18" s="166" t="str">
        <f t="shared" si="20"/>
        <v/>
      </c>
      <c r="AR18" s="166" t="str">
        <f t="shared" si="21"/>
        <v/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IF($J$1="Active",IF(Salary_Master!B19="","",_xlfn.IFS(Salary_Master!M19="Working",IF(Salary_Master!H19&lt;=DATE(2025,12,31),Salary_Master!B19,""),Salary_Master!M19="Left",IF(Salary_Master!N19&gt;DATE(2025,11,30),Salary_Master!B19,""))),"")</f>
        <v/>
      </c>
      <c r="C19" s="304">
        <v>31</v>
      </c>
      <c r="D19" s="305" t="str">
        <f t="shared" si="22"/>
        <v/>
      </c>
      <c r="E19" s="177"/>
      <c r="F19" s="177"/>
      <c r="G19" s="177"/>
      <c r="H19" s="305" t="str">
        <f t="shared" si="23"/>
        <v/>
      </c>
      <c r="I19" s="177"/>
      <c r="J19" s="177"/>
      <c r="K19" s="306" t="str">
        <f t="shared" si="24"/>
        <v/>
      </c>
      <c r="L19" s="306" t="str">
        <f t="shared" si="25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8"/>
        <v/>
      </c>
      <c r="T19" s="170" t="str">
        <f t="shared" si="9"/>
        <v/>
      </c>
      <c r="U19" s="170" t="str">
        <f t="shared" si="10"/>
        <v/>
      </c>
      <c r="V19" s="262">
        <f t="shared" si="26"/>
        <v>0</v>
      </c>
      <c r="W19" s="160">
        <f t="shared" si="27"/>
        <v>0</v>
      </c>
      <c r="X19" s="160">
        <f t="shared" si="28"/>
        <v>0</v>
      </c>
      <c r="Y19" s="160">
        <f t="shared" si="29"/>
        <v>0</v>
      </c>
      <c r="Z19" s="160">
        <f t="shared" si="30"/>
        <v>0</v>
      </c>
      <c r="AA19" s="160">
        <f t="shared" si="31"/>
        <v>0</v>
      </c>
      <c r="AB19" s="160">
        <f t="shared" si="32"/>
        <v>0</v>
      </c>
      <c r="AC19" s="160">
        <f t="shared" si="33"/>
        <v>0</v>
      </c>
      <c r="AD19" s="307">
        <f t="shared" si="34"/>
        <v>0</v>
      </c>
      <c r="AE19" s="308" t="str">
        <f t="shared" si="35"/>
        <v/>
      </c>
      <c r="AF19" s="163" t="str">
        <f t="shared" si="14"/>
        <v/>
      </c>
      <c r="AG19" s="163" t="str">
        <f t="shared" si="15"/>
        <v/>
      </c>
      <c r="AH19" s="163" t="str">
        <f t="shared" si="16"/>
        <v/>
      </c>
      <c r="AI19" s="290"/>
      <c r="AJ19" s="165" t="str">
        <f t="shared" si="17"/>
        <v/>
      </c>
      <c r="AK19" s="180" t="str">
        <f t="shared" si="18"/>
        <v/>
      </c>
      <c r="AM19" s="179"/>
      <c r="AN19" s="179"/>
      <c r="AP19" s="166" t="str">
        <f t="shared" si="19"/>
        <v/>
      </c>
      <c r="AQ19" s="166" t="str">
        <f t="shared" si="20"/>
        <v/>
      </c>
      <c r="AR19" s="166" t="str">
        <f t="shared" si="21"/>
        <v/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IF($J$1="Active",IF(Salary_Master!B20="","",_xlfn.IFS(Salary_Master!M20="Working",IF(Salary_Master!H20&lt;=DATE(2025,12,31),Salary_Master!B20,""),Salary_Master!M20="Left",IF(Salary_Master!N20&gt;DATE(2025,11,30),Salary_Master!B20,""))),"")</f>
        <v/>
      </c>
      <c r="C20" s="304">
        <v>31</v>
      </c>
      <c r="D20" s="305" t="str">
        <f t="shared" si="22"/>
        <v/>
      </c>
      <c r="E20" s="177"/>
      <c r="F20" s="177"/>
      <c r="G20" s="177"/>
      <c r="H20" s="305" t="str">
        <f t="shared" si="23"/>
        <v/>
      </c>
      <c r="I20" s="177"/>
      <c r="J20" s="177"/>
      <c r="K20" s="306" t="str">
        <f t="shared" si="24"/>
        <v/>
      </c>
      <c r="L20" s="306" t="str">
        <f t="shared" si="25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8"/>
        <v/>
      </c>
      <c r="T20" s="170" t="str">
        <f t="shared" si="9"/>
        <v/>
      </c>
      <c r="U20" s="170" t="str">
        <f t="shared" si="10"/>
        <v/>
      </c>
      <c r="V20" s="262">
        <f t="shared" si="26"/>
        <v>0</v>
      </c>
      <c r="W20" s="160">
        <f t="shared" si="27"/>
        <v>0</v>
      </c>
      <c r="X20" s="160">
        <f t="shared" si="28"/>
        <v>0</v>
      </c>
      <c r="Y20" s="160">
        <f t="shared" si="29"/>
        <v>0</v>
      </c>
      <c r="Z20" s="160">
        <f t="shared" si="30"/>
        <v>0</v>
      </c>
      <c r="AA20" s="160">
        <f t="shared" si="31"/>
        <v>0</v>
      </c>
      <c r="AB20" s="160">
        <f t="shared" si="32"/>
        <v>0</v>
      </c>
      <c r="AC20" s="160">
        <f t="shared" si="33"/>
        <v>0</v>
      </c>
      <c r="AD20" s="307">
        <f t="shared" si="34"/>
        <v>0</v>
      </c>
      <c r="AE20" s="308" t="str">
        <f t="shared" si="35"/>
        <v/>
      </c>
      <c r="AF20" s="163" t="str">
        <f t="shared" si="14"/>
        <v/>
      </c>
      <c r="AG20" s="163" t="str">
        <f t="shared" si="15"/>
        <v/>
      </c>
      <c r="AH20" s="163" t="str">
        <f t="shared" si="16"/>
        <v/>
      </c>
      <c r="AI20" s="290"/>
      <c r="AJ20" s="165" t="str">
        <f t="shared" si="17"/>
        <v/>
      </c>
      <c r="AK20" s="180" t="str">
        <f t="shared" si="18"/>
        <v/>
      </c>
      <c r="AM20" s="179"/>
      <c r="AN20" s="179"/>
      <c r="AP20" s="166" t="str">
        <f t="shared" si="19"/>
        <v/>
      </c>
      <c r="AQ20" s="166" t="str">
        <f t="shared" si="20"/>
        <v/>
      </c>
      <c r="AR20" s="166" t="str">
        <f t="shared" si="21"/>
        <v/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IF($J$1="Active",IF(Salary_Master!B21="","",_xlfn.IFS(Salary_Master!M21="Working",IF(Salary_Master!H21&lt;=DATE(2025,12,31),Salary_Master!B21,""),Salary_Master!M21="Left",IF(Salary_Master!N21&gt;DATE(2025,11,30),Salary_Master!B21,""))),"")</f>
        <v/>
      </c>
      <c r="C21" s="304">
        <v>31</v>
      </c>
      <c r="D21" s="305" t="str">
        <f t="shared" si="22"/>
        <v/>
      </c>
      <c r="E21" s="177"/>
      <c r="F21" s="177"/>
      <c r="G21" s="177"/>
      <c r="H21" s="305" t="str">
        <f t="shared" si="23"/>
        <v/>
      </c>
      <c r="I21" s="177"/>
      <c r="J21" s="177"/>
      <c r="K21" s="306" t="str">
        <f t="shared" si="24"/>
        <v/>
      </c>
      <c r="L21" s="306" t="str">
        <f t="shared" si="25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8"/>
        <v/>
      </c>
      <c r="T21" s="170" t="str">
        <f t="shared" si="9"/>
        <v/>
      </c>
      <c r="U21" s="170" t="str">
        <f t="shared" si="10"/>
        <v/>
      </c>
      <c r="V21" s="262">
        <f t="shared" si="26"/>
        <v>0</v>
      </c>
      <c r="W21" s="160">
        <f t="shared" si="27"/>
        <v>0</v>
      </c>
      <c r="X21" s="160">
        <f t="shared" si="28"/>
        <v>0</v>
      </c>
      <c r="Y21" s="160">
        <f t="shared" si="29"/>
        <v>0</v>
      </c>
      <c r="Z21" s="160">
        <f t="shared" si="30"/>
        <v>0</v>
      </c>
      <c r="AA21" s="160">
        <f t="shared" si="31"/>
        <v>0</v>
      </c>
      <c r="AB21" s="160">
        <f t="shared" si="32"/>
        <v>0</v>
      </c>
      <c r="AC21" s="160">
        <f t="shared" si="33"/>
        <v>0</v>
      </c>
      <c r="AD21" s="307">
        <f t="shared" si="34"/>
        <v>0</v>
      </c>
      <c r="AE21" s="308" t="str">
        <f t="shared" si="35"/>
        <v/>
      </c>
      <c r="AF21" s="163" t="str">
        <f t="shared" si="14"/>
        <v/>
      </c>
      <c r="AG21" s="163" t="str">
        <f t="shared" si="15"/>
        <v/>
      </c>
      <c r="AH21" s="163" t="str">
        <f t="shared" si="16"/>
        <v/>
      </c>
      <c r="AI21" s="290"/>
      <c r="AJ21" s="165" t="str">
        <f t="shared" si="17"/>
        <v/>
      </c>
      <c r="AK21" s="180" t="str">
        <f t="shared" si="18"/>
        <v/>
      </c>
      <c r="AM21" s="179"/>
      <c r="AN21" s="179"/>
      <c r="AP21" s="166" t="str">
        <f t="shared" si="19"/>
        <v/>
      </c>
      <c r="AQ21" s="166" t="str">
        <f t="shared" si="20"/>
        <v/>
      </c>
      <c r="AR21" s="166" t="str">
        <f t="shared" si="21"/>
        <v/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IF($J$1="Active",IF(Salary_Master!B22="","",_xlfn.IFS(Salary_Master!M22="Working",IF(Salary_Master!H22&lt;=DATE(2025,12,31),Salary_Master!B22,""),Salary_Master!M22="Left",IF(Salary_Master!N22&gt;DATE(2025,11,30),Salary_Master!B22,""))),"")</f>
        <v/>
      </c>
      <c r="C22" s="304">
        <v>31</v>
      </c>
      <c r="D22" s="305" t="str">
        <f t="shared" si="22"/>
        <v/>
      </c>
      <c r="E22" s="177"/>
      <c r="F22" s="177"/>
      <c r="G22" s="177"/>
      <c r="H22" s="305" t="str">
        <f t="shared" si="23"/>
        <v/>
      </c>
      <c r="I22" s="177"/>
      <c r="J22" s="177"/>
      <c r="K22" s="306" t="str">
        <f t="shared" si="24"/>
        <v/>
      </c>
      <c r="L22" s="306" t="str">
        <f t="shared" si="25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8"/>
        <v/>
      </c>
      <c r="T22" s="170" t="str">
        <f t="shared" si="9"/>
        <v/>
      </c>
      <c r="U22" s="170" t="str">
        <f t="shared" si="10"/>
        <v/>
      </c>
      <c r="V22" s="262">
        <f t="shared" si="26"/>
        <v>0</v>
      </c>
      <c r="W22" s="160">
        <f t="shared" si="27"/>
        <v>0</v>
      </c>
      <c r="X22" s="160">
        <f t="shared" si="28"/>
        <v>0</v>
      </c>
      <c r="Y22" s="160">
        <f t="shared" si="29"/>
        <v>0</v>
      </c>
      <c r="Z22" s="160">
        <f t="shared" si="30"/>
        <v>0</v>
      </c>
      <c r="AA22" s="160">
        <f t="shared" si="31"/>
        <v>0</v>
      </c>
      <c r="AB22" s="160">
        <f t="shared" si="32"/>
        <v>0</v>
      </c>
      <c r="AC22" s="160">
        <f t="shared" si="33"/>
        <v>0</v>
      </c>
      <c r="AD22" s="307">
        <f t="shared" si="34"/>
        <v>0</v>
      </c>
      <c r="AE22" s="308" t="str">
        <f t="shared" si="35"/>
        <v/>
      </c>
      <c r="AF22" s="163" t="str">
        <f t="shared" si="14"/>
        <v/>
      </c>
      <c r="AG22" s="163" t="str">
        <f t="shared" si="15"/>
        <v/>
      </c>
      <c r="AH22" s="163" t="str">
        <f t="shared" si="16"/>
        <v/>
      </c>
      <c r="AI22" s="290"/>
      <c r="AJ22" s="165" t="str">
        <f t="shared" si="17"/>
        <v/>
      </c>
      <c r="AK22" s="180" t="str">
        <f t="shared" si="18"/>
        <v/>
      </c>
      <c r="AM22" s="179"/>
      <c r="AN22" s="179"/>
      <c r="AP22" s="166" t="str">
        <f t="shared" si="19"/>
        <v/>
      </c>
      <c r="AQ22" s="166" t="str">
        <f t="shared" si="20"/>
        <v/>
      </c>
      <c r="AR22" s="166" t="str">
        <f t="shared" si="21"/>
        <v/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IF($J$1="Active",IF(Salary_Master!B23="","",_xlfn.IFS(Salary_Master!M23="Working",IF(Salary_Master!H23&lt;=DATE(2025,12,31),Salary_Master!B23,""),Salary_Master!M23="Left",IF(Salary_Master!N23&gt;DATE(2025,11,30),Salary_Master!B23,""))),"")</f>
        <v/>
      </c>
      <c r="C23" s="304">
        <v>31</v>
      </c>
      <c r="D23" s="305" t="str">
        <f t="shared" si="22"/>
        <v/>
      </c>
      <c r="E23" s="177"/>
      <c r="F23" s="177"/>
      <c r="G23" s="177"/>
      <c r="H23" s="305" t="str">
        <f t="shared" si="23"/>
        <v/>
      </c>
      <c r="I23" s="177"/>
      <c r="J23" s="177"/>
      <c r="K23" s="306" t="str">
        <f t="shared" si="24"/>
        <v/>
      </c>
      <c r="L23" s="306" t="str">
        <f t="shared" si="25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8"/>
        <v/>
      </c>
      <c r="T23" s="170" t="str">
        <f t="shared" si="9"/>
        <v/>
      </c>
      <c r="U23" s="170" t="str">
        <f t="shared" si="10"/>
        <v/>
      </c>
      <c r="V23" s="262">
        <f t="shared" si="26"/>
        <v>0</v>
      </c>
      <c r="W23" s="160">
        <f t="shared" si="27"/>
        <v>0</v>
      </c>
      <c r="X23" s="160">
        <f t="shared" si="28"/>
        <v>0</v>
      </c>
      <c r="Y23" s="160">
        <f t="shared" si="29"/>
        <v>0</v>
      </c>
      <c r="Z23" s="160">
        <f t="shared" si="30"/>
        <v>0</v>
      </c>
      <c r="AA23" s="160">
        <f t="shared" si="31"/>
        <v>0</v>
      </c>
      <c r="AB23" s="160">
        <f t="shared" si="32"/>
        <v>0</v>
      </c>
      <c r="AC23" s="160">
        <f t="shared" si="33"/>
        <v>0</v>
      </c>
      <c r="AD23" s="307">
        <f t="shared" si="34"/>
        <v>0</v>
      </c>
      <c r="AE23" s="308" t="str">
        <f t="shared" si="35"/>
        <v/>
      </c>
      <c r="AF23" s="163" t="str">
        <f t="shared" si="14"/>
        <v/>
      </c>
      <c r="AG23" s="163" t="str">
        <f t="shared" si="15"/>
        <v/>
      </c>
      <c r="AH23" s="163" t="str">
        <f t="shared" si="16"/>
        <v/>
      </c>
      <c r="AI23" s="290"/>
      <c r="AJ23" s="165" t="str">
        <f t="shared" si="17"/>
        <v/>
      </c>
      <c r="AK23" s="180" t="str">
        <f t="shared" si="18"/>
        <v/>
      </c>
      <c r="AM23" s="179"/>
      <c r="AN23" s="179"/>
      <c r="AP23" s="166" t="str">
        <f t="shared" si="19"/>
        <v/>
      </c>
      <c r="AQ23" s="166" t="str">
        <f t="shared" si="20"/>
        <v/>
      </c>
      <c r="AR23" s="166" t="str">
        <f t="shared" si="21"/>
        <v/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IF($J$1="Active",IF(Salary_Master!B24="","",_xlfn.IFS(Salary_Master!M24="Working",IF(Salary_Master!H24&lt;=DATE(2025,12,31),Salary_Master!B24,""),Salary_Master!M24="Left",IF(Salary_Master!N24&gt;DATE(2025,11,30),Salary_Master!B24,""))),"")</f>
        <v/>
      </c>
      <c r="C24" s="304">
        <v>31</v>
      </c>
      <c r="D24" s="305" t="str">
        <f t="shared" si="22"/>
        <v/>
      </c>
      <c r="E24" s="177"/>
      <c r="F24" s="177"/>
      <c r="G24" s="177"/>
      <c r="H24" s="305" t="str">
        <f t="shared" si="23"/>
        <v/>
      </c>
      <c r="I24" s="177"/>
      <c r="J24" s="177"/>
      <c r="K24" s="306" t="str">
        <f t="shared" si="24"/>
        <v/>
      </c>
      <c r="L24" s="306" t="str">
        <f t="shared" si="25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8"/>
        <v/>
      </c>
      <c r="T24" s="170" t="str">
        <f t="shared" si="9"/>
        <v/>
      </c>
      <c r="U24" s="170" t="str">
        <f t="shared" si="10"/>
        <v/>
      </c>
      <c r="V24" s="262">
        <f t="shared" si="26"/>
        <v>0</v>
      </c>
      <c r="W24" s="160">
        <f t="shared" si="27"/>
        <v>0</v>
      </c>
      <c r="X24" s="160">
        <f t="shared" si="28"/>
        <v>0</v>
      </c>
      <c r="Y24" s="160">
        <f t="shared" si="29"/>
        <v>0</v>
      </c>
      <c r="Z24" s="160">
        <f t="shared" si="30"/>
        <v>0</v>
      </c>
      <c r="AA24" s="160">
        <f t="shared" si="31"/>
        <v>0</v>
      </c>
      <c r="AB24" s="160">
        <f t="shared" si="32"/>
        <v>0</v>
      </c>
      <c r="AC24" s="160">
        <f t="shared" si="33"/>
        <v>0</v>
      </c>
      <c r="AD24" s="307">
        <f t="shared" si="34"/>
        <v>0</v>
      </c>
      <c r="AE24" s="308" t="str">
        <f t="shared" si="35"/>
        <v/>
      </c>
      <c r="AF24" s="163" t="str">
        <f t="shared" si="14"/>
        <v/>
      </c>
      <c r="AG24" s="163" t="str">
        <f t="shared" si="15"/>
        <v/>
      </c>
      <c r="AH24" s="163" t="str">
        <f t="shared" si="16"/>
        <v/>
      </c>
      <c r="AI24" s="290"/>
      <c r="AJ24" s="165" t="str">
        <f t="shared" si="17"/>
        <v/>
      </c>
      <c r="AK24" s="180" t="str">
        <f t="shared" si="18"/>
        <v/>
      </c>
      <c r="AM24" s="179"/>
      <c r="AN24" s="179"/>
      <c r="AP24" s="166" t="str">
        <f t="shared" si="19"/>
        <v/>
      </c>
      <c r="AQ24" s="166" t="str">
        <f t="shared" si="20"/>
        <v/>
      </c>
      <c r="AR24" s="166" t="str">
        <f t="shared" si="21"/>
        <v/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IF($J$1="Active",IF(Salary_Master!B25="","",_xlfn.IFS(Salary_Master!M25="Working",IF(Salary_Master!H25&lt;=DATE(2025,12,31),Salary_Master!B25,""),Salary_Master!M25="Left",IF(Salary_Master!N25&gt;DATE(2025,11,30),Salary_Master!B25,""))),"")</f>
        <v/>
      </c>
      <c r="C25" s="304">
        <v>31</v>
      </c>
      <c r="D25" s="305" t="str">
        <f t="shared" si="22"/>
        <v/>
      </c>
      <c r="E25" s="177"/>
      <c r="F25" s="177"/>
      <c r="G25" s="177"/>
      <c r="H25" s="305" t="str">
        <f t="shared" si="23"/>
        <v/>
      </c>
      <c r="I25" s="177"/>
      <c r="J25" s="177"/>
      <c r="K25" s="306" t="str">
        <f t="shared" si="24"/>
        <v/>
      </c>
      <c r="L25" s="306" t="str">
        <f t="shared" si="25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8"/>
        <v/>
      </c>
      <c r="T25" s="170" t="str">
        <f t="shared" si="9"/>
        <v/>
      </c>
      <c r="U25" s="170" t="str">
        <f t="shared" si="10"/>
        <v/>
      </c>
      <c r="V25" s="262">
        <f t="shared" si="26"/>
        <v>0</v>
      </c>
      <c r="W25" s="160">
        <f t="shared" si="27"/>
        <v>0</v>
      </c>
      <c r="X25" s="160">
        <f t="shared" si="28"/>
        <v>0</v>
      </c>
      <c r="Y25" s="160">
        <f t="shared" si="29"/>
        <v>0</v>
      </c>
      <c r="Z25" s="160">
        <f t="shared" si="30"/>
        <v>0</v>
      </c>
      <c r="AA25" s="160">
        <f t="shared" si="31"/>
        <v>0</v>
      </c>
      <c r="AB25" s="160">
        <f t="shared" si="32"/>
        <v>0</v>
      </c>
      <c r="AC25" s="160">
        <f t="shared" si="33"/>
        <v>0</v>
      </c>
      <c r="AD25" s="307">
        <f t="shared" si="34"/>
        <v>0</v>
      </c>
      <c r="AE25" s="308" t="str">
        <f t="shared" si="35"/>
        <v/>
      </c>
      <c r="AF25" s="163" t="str">
        <f t="shared" si="14"/>
        <v/>
      </c>
      <c r="AG25" s="163" t="str">
        <f t="shared" si="15"/>
        <v/>
      </c>
      <c r="AH25" s="163" t="str">
        <f t="shared" si="16"/>
        <v/>
      </c>
      <c r="AI25" s="290"/>
      <c r="AJ25" s="165" t="str">
        <f t="shared" si="17"/>
        <v/>
      </c>
      <c r="AK25" s="180" t="str">
        <f t="shared" si="18"/>
        <v/>
      </c>
      <c r="AM25" s="179"/>
      <c r="AN25" s="179"/>
      <c r="AP25" s="166" t="str">
        <f t="shared" si="19"/>
        <v/>
      </c>
      <c r="AQ25" s="166" t="str">
        <f t="shared" si="20"/>
        <v/>
      </c>
      <c r="AR25" s="166" t="str">
        <f t="shared" si="21"/>
        <v/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IF($J$1="Active",IF(Salary_Master!B26="","",_xlfn.IFS(Salary_Master!M26="Working",IF(Salary_Master!H26&lt;=DATE(2025,12,31),Salary_Master!B26,""),Salary_Master!M26="Left",IF(Salary_Master!N26&gt;DATE(2025,11,30),Salary_Master!B26,""))),"")</f>
        <v/>
      </c>
      <c r="C26" s="304">
        <v>31</v>
      </c>
      <c r="D26" s="305" t="str">
        <f t="shared" si="22"/>
        <v/>
      </c>
      <c r="E26" s="177"/>
      <c r="F26" s="177"/>
      <c r="G26" s="177"/>
      <c r="H26" s="305" t="str">
        <f t="shared" si="23"/>
        <v/>
      </c>
      <c r="I26" s="177"/>
      <c r="J26" s="177"/>
      <c r="K26" s="306" t="str">
        <f t="shared" si="24"/>
        <v/>
      </c>
      <c r="L26" s="306" t="str">
        <f t="shared" si="25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8"/>
        <v/>
      </c>
      <c r="T26" s="170" t="str">
        <f t="shared" si="9"/>
        <v/>
      </c>
      <c r="U26" s="170" t="str">
        <f t="shared" si="10"/>
        <v/>
      </c>
      <c r="V26" s="262">
        <f t="shared" si="26"/>
        <v>0</v>
      </c>
      <c r="W26" s="160">
        <f t="shared" si="27"/>
        <v>0</v>
      </c>
      <c r="X26" s="160">
        <f t="shared" si="28"/>
        <v>0</v>
      </c>
      <c r="Y26" s="160">
        <f t="shared" si="29"/>
        <v>0</v>
      </c>
      <c r="Z26" s="160">
        <f t="shared" si="30"/>
        <v>0</v>
      </c>
      <c r="AA26" s="160">
        <f t="shared" si="31"/>
        <v>0</v>
      </c>
      <c r="AB26" s="160">
        <f t="shared" si="32"/>
        <v>0</v>
      </c>
      <c r="AC26" s="160">
        <f t="shared" si="33"/>
        <v>0</v>
      </c>
      <c r="AD26" s="307">
        <f t="shared" si="34"/>
        <v>0</v>
      </c>
      <c r="AE26" s="308" t="str">
        <f t="shared" si="35"/>
        <v/>
      </c>
      <c r="AF26" s="163" t="str">
        <f t="shared" si="14"/>
        <v/>
      </c>
      <c r="AG26" s="163" t="str">
        <f t="shared" si="15"/>
        <v/>
      </c>
      <c r="AH26" s="163" t="str">
        <f t="shared" si="16"/>
        <v/>
      </c>
      <c r="AI26" s="290"/>
      <c r="AJ26" s="165" t="str">
        <f t="shared" si="17"/>
        <v/>
      </c>
      <c r="AK26" s="180" t="str">
        <f t="shared" si="18"/>
        <v/>
      </c>
      <c r="AM26" s="179"/>
      <c r="AN26" s="179"/>
      <c r="AP26" s="166" t="str">
        <f t="shared" si="19"/>
        <v/>
      </c>
      <c r="AQ26" s="166" t="str">
        <f t="shared" si="20"/>
        <v/>
      </c>
      <c r="AR26" s="166" t="str">
        <f t="shared" si="21"/>
        <v/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IF($J$1="Active",IF(Salary_Master!B27="","",_xlfn.IFS(Salary_Master!M27="Working",IF(Salary_Master!H27&lt;=DATE(2025,12,31),Salary_Master!B27,""),Salary_Master!M27="Left",IF(Salary_Master!N27&gt;DATE(2025,11,30),Salary_Master!B27,""))),"")</f>
        <v/>
      </c>
      <c r="C27" s="304">
        <v>31</v>
      </c>
      <c r="D27" s="305" t="str">
        <f t="shared" si="22"/>
        <v/>
      </c>
      <c r="E27" s="177"/>
      <c r="F27" s="177"/>
      <c r="G27" s="177"/>
      <c r="H27" s="305" t="str">
        <f t="shared" si="23"/>
        <v/>
      </c>
      <c r="I27" s="177"/>
      <c r="J27" s="177"/>
      <c r="K27" s="306" t="str">
        <f t="shared" si="24"/>
        <v/>
      </c>
      <c r="L27" s="306" t="str">
        <f t="shared" si="25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8"/>
        <v/>
      </c>
      <c r="T27" s="170" t="str">
        <f t="shared" si="9"/>
        <v/>
      </c>
      <c r="U27" s="170" t="str">
        <f t="shared" si="10"/>
        <v/>
      </c>
      <c r="V27" s="262">
        <f t="shared" si="26"/>
        <v>0</v>
      </c>
      <c r="W27" s="160">
        <f t="shared" si="27"/>
        <v>0</v>
      </c>
      <c r="X27" s="160">
        <f t="shared" si="28"/>
        <v>0</v>
      </c>
      <c r="Y27" s="160">
        <f t="shared" si="29"/>
        <v>0</v>
      </c>
      <c r="Z27" s="160">
        <f t="shared" si="30"/>
        <v>0</v>
      </c>
      <c r="AA27" s="160">
        <f t="shared" si="31"/>
        <v>0</v>
      </c>
      <c r="AB27" s="160">
        <f t="shared" si="32"/>
        <v>0</v>
      </c>
      <c r="AC27" s="160">
        <f t="shared" si="33"/>
        <v>0</v>
      </c>
      <c r="AD27" s="307">
        <f t="shared" si="34"/>
        <v>0</v>
      </c>
      <c r="AE27" s="308" t="str">
        <f t="shared" si="35"/>
        <v/>
      </c>
      <c r="AF27" s="163" t="str">
        <f t="shared" si="14"/>
        <v/>
      </c>
      <c r="AG27" s="163" t="str">
        <f t="shared" si="15"/>
        <v/>
      </c>
      <c r="AH27" s="163" t="str">
        <f t="shared" si="16"/>
        <v/>
      </c>
      <c r="AI27" s="290"/>
      <c r="AJ27" s="165" t="str">
        <f t="shared" si="17"/>
        <v/>
      </c>
      <c r="AK27" s="180" t="str">
        <f t="shared" si="18"/>
        <v/>
      </c>
      <c r="AM27" s="179"/>
      <c r="AN27" s="179"/>
      <c r="AP27" s="166" t="str">
        <f t="shared" si="19"/>
        <v/>
      </c>
      <c r="AQ27" s="166" t="str">
        <f t="shared" si="20"/>
        <v/>
      </c>
      <c r="AR27" s="166" t="str">
        <f t="shared" si="21"/>
        <v/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IF($J$1="Active",IF(Salary_Master!B28="","",_xlfn.IFS(Salary_Master!M28="Working",IF(Salary_Master!H28&lt;=DATE(2025,12,31),Salary_Master!B28,""),Salary_Master!M28="Left",IF(Salary_Master!N28&gt;DATE(2025,11,30),Salary_Master!B28,""))),"")</f>
        <v/>
      </c>
      <c r="C28" s="304">
        <v>31</v>
      </c>
      <c r="D28" s="305" t="str">
        <f t="shared" si="22"/>
        <v/>
      </c>
      <c r="E28" s="177"/>
      <c r="F28" s="177"/>
      <c r="G28" s="177"/>
      <c r="H28" s="305" t="str">
        <f t="shared" si="23"/>
        <v/>
      </c>
      <c r="I28" s="177"/>
      <c r="J28" s="177"/>
      <c r="K28" s="306" t="str">
        <f t="shared" si="24"/>
        <v/>
      </c>
      <c r="L28" s="306" t="str">
        <f t="shared" si="25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8"/>
        <v/>
      </c>
      <c r="T28" s="170" t="str">
        <f t="shared" si="9"/>
        <v/>
      </c>
      <c r="U28" s="170" t="str">
        <f t="shared" si="10"/>
        <v/>
      </c>
      <c r="V28" s="262">
        <f t="shared" si="26"/>
        <v>0</v>
      </c>
      <c r="W28" s="160">
        <f t="shared" si="27"/>
        <v>0</v>
      </c>
      <c r="X28" s="160">
        <f t="shared" si="28"/>
        <v>0</v>
      </c>
      <c r="Y28" s="160">
        <f t="shared" si="29"/>
        <v>0</v>
      </c>
      <c r="Z28" s="160">
        <f t="shared" si="30"/>
        <v>0</v>
      </c>
      <c r="AA28" s="160">
        <f t="shared" si="31"/>
        <v>0</v>
      </c>
      <c r="AB28" s="160">
        <f t="shared" si="32"/>
        <v>0</v>
      </c>
      <c r="AC28" s="160">
        <f t="shared" si="33"/>
        <v>0</v>
      </c>
      <c r="AD28" s="307">
        <f t="shared" si="34"/>
        <v>0</v>
      </c>
      <c r="AE28" s="308" t="str">
        <f t="shared" si="35"/>
        <v/>
      </c>
      <c r="AF28" s="163" t="str">
        <f t="shared" si="14"/>
        <v/>
      </c>
      <c r="AG28" s="163" t="str">
        <f t="shared" si="15"/>
        <v/>
      </c>
      <c r="AH28" s="163" t="str">
        <f t="shared" si="16"/>
        <v/>
      </c>
      <c r="AI28" s="290"/>
      <c r="AJ28" s="165" t="str">
        <f t="shared" si="17"/>
        <v/>
      </c>
      <c r="AK28" s="180" t="str">
        <f t="shared" si="18"/>
        <v/>
      </c>
      <c r="AM28" s="179"/>
      <c r="AN28" s="179"/>
      <c r="AP28" s="166" t="str">
        <f t="shared" si="19"/>
        <v/>
      </c>
      <c r="AQ28" s="166" t="str">
        <f t="shared" si="20"/>
        <v/>
      </c>
      <c r="AR28" s="166" t="str">
        <f t="shared" si="21"/>
        <v/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IF($J$1="Active",IF(Salary_Master!B29="","",_xlfn.IFS(Salary_Master!M29="Working",IF(Salary_Master!H29&lt;=DATE(2025,12,31),Salary_Master!B29,""),Salary_Master!M29="Left",IF(Salary_Master!N29&gt;DATE(2025,11,30),Salary_Master!B29,""))),"")</f>
        <v/>
      </c>
      <c r="C29" s="304">
        <v>31</v>
      </c>
      <c r="D29" s="305" t="str">
        <f t="shared" si="22"/>
        <v/>
      </c>
      <c r="E29" s="177"/>
      <c r="F29" s="177"/>
      <c r="G29" s="177"/>
      <c r="H29" s="305" t="str">
        <f t="shared" si="23"/>
        <v/>
      </c>
      <c r="I29" s="177"/>
      <c r="J29" s="177"/>
      <c r="K29" s="306" t="str">
        <f t="shared" si="24"/>
        <v/>
      </c>
      <c r="L29" s="306" t="str">
        <f t="shared" si="25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8"/>
        <v/>
      </c>
      <c r="T29" s="170" t="str">
        <f t="shared" si="9"/>
        <v/>
      </c>
      <c r="U29" s="170" t="str">
        <f t="shared" si="10"/>
        <v/>
      </c>
      <c r="V29" s="262">
        <f t="shared" si="26"/>
        <v>0</v>
      </c>
      <c r="W29" s="160">
        <f t="shared" si="27"/>
        <v>0</v>
      </c>
      <c r="X29" s="160">
        <f t="shared" si="28"/>
        <v>0</v>
      </c>
      <c r="Y29" s="160">
        <f t="shared" si="29"/>
        <v>0</v>
      </c>
      <c r="Z29" s="160">
        <f t="shared" si="30"/>
        <v>0</v>
      </c>
      <c r="AA29" s="160">
        <f t="shared" si="31"/>
        <v>0</v>
      </c>
      <c r="AB29" s="160">
        <f t="shared" si="32"/>
        <v>0</v>
      </c>
      <c r="AC29" s="160">
        <f t="shared" si="33"/>
        <v>0</v>
      </c>
      <c r="AD29" s="307">
        <f t="shared" si="34"/>
        <v>0</v>
      </c>
      <c r="AE29" s="308" t="str">
        <f t="shared" si="35"/>
        <v/>
      </c>
      <c r="AF29" s="163" t="str">
        <f t="shared" si="14"/>
        <v/>
      </c>
      <c r="AG29" s="163" t="str">
        <f t="shared" si="15"/>
        <v/>
      </c>
      <c r="AH29" s="163" t="str">
        <f t="shared" si="16"/>
        <v/>
      </c>
      <c r="AI29" s="290"/>
      <c r="AJ29" s="165" t="str">
        <f t="shared" si="17"/>
        <v/>
      </c>
      <c r="AK29" s="180" t="str">
        <f t="shared" si="18"/>
        <v/>
      </c>
      <c r="AM29" s="179"/>
      <c r="AN29" s="179"/>
      <c r="AP29" s="166" t="str">
        <f t="shared" si="19"/>
        <v/>
      </c>
      <c r="AQ29" s="166" t="str">
        <f t="shared" si="20"/>
        <v/>
      </c>
      <c r="AR29" s="166" t="str">
        <f t="shared" si="21"/>
        <v/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IF($J$1="Active",IF(Salary_Master!B30="","",_xlfn.IFS(Salary_Master!M30="Working",IF(Salary_Master!H30&lt;=DATE(2025,12,31),Salary_Master!B30,""),Salary_Master!M30="Left",IF(Salary_Master!N30&gt;DATE(2025,11,30),Salary_Master!B30,""))),"")</f>
        <v/>
      </c>
      <c r="C30" s="304">
        <v>31</v>
      </c>
      <c r="D30" s="305" t="str">
        <f t="shared" si="22"/>
        <v/>
      </c>
      <c r="E30" s="177"/>
      <c r="F30" s="177"/>
      <c r="G30" s="177"/>
      <c r="H30" s="305" t="str">
        <f t="shared" si="23"/>
        <v/>
      </c>
      <c r="I30" s="177"/>
      <c r="J30" s="177"/>
      <c r="K30" s="306" t="str">
        <f t="shared" si="24"/>
        <v/>
      </c>
      <c r="L30" s="306" t="str">
        <f t="shared" si="25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8"/>
        <v/>
      </c>
      <c r="T30" s="170" t="str">
        <f t="shared" si="9"/>
        <v/>
      </c>
      <c r="U30" s="170" t="str">
        <f t="shared" si="10"/>
        <v/>
      </c>
      <c r="V30" s="262">
        <f t="shared" si="26"/>
        <v>0</v>
      </c>
      <c r="W30" s="160">
        <f t="shared" si="27"/>
        <v>0</v>
      </c>
      <c r="X30" s="160">
        <f t="shared" si="28"/>
        <v>0</v>
      </c>
      <c r="Y30" s="160">
        <f t="shared" si="29"/>
        <v>0</v>
      </c>
      <c r="Z30" s="160">
        <f t="shared" si="30"/>
        <v>0</v>
      </c>
      <c r="AA30" s="160">
        <f t="shared" si="31"/>
        <v>0</v>
      </c>
      <c r="AB30" s="160">
        <f t="shared" si="32"/>
        <v>0</v>
      </c>
      <c r="AC30" s="160">
        <f t="shared" si="33"/>
        <v>0</v>
      </c>
      <c r="AD30" s="307">
        <f t="shared" si="34"/>
        <v>0</v>
      </c>
      <c r="AE30" s="308" t="str">
        <f t="shared" si="35"/>
        <v/>
      </c>
      <c r="AF30" s="163" t="str">
        <f t="shared" si="14"/>
        <v/>
      </c>
      <c r="AG30" s="163" t="str">
        <f t="shared" si="15"/>
        <v/>
      </c>
      <c r="AH30" s="163" t="str">
        <f t="shared" si="16"/>
        <v/>
      </c>
      <c r="AI30" s="290"/>
      <c r="AJ30" s="165" t="str">
        <f t="shared" si="17"/>
        <v/>
      </c>
      <c r="AK30" s="180" t="str">
        <f t="shared" si="18"/>
        <v/>
      </c>
      <c r="AM30" s="179"/>
      <c r="AN30" s="179"/>
      <c r="AP30" s="166" t="str">
        <f t="shared" si="19"/>
        <v/>
      </c>
      <c r="AQ30" s="166" t="str">
        <f t="shared" si="20"/>
        <v/>
      </c>
      <c r="AR30" s="166" t="str">
        <f t="shared" si="21"/>
        <v/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IF($J$1="Active",IF(Salary_Master!B31="","",_xlfn.IFS(Salary_Master!M31="Working",IF(Salary_Master!H31&lt;=DATE(2025,12,31),Salary_Master!B31,""),Salary_Master!M31="Left",IF(Salary_Master!N31&gt;DATE(2025,11,30),Salary_Master!B31,""))),"")</f>
        <v/>
      </c>
      <c r="C31" s="304">
        <v>31</v>
      </c>
      <c r="D31" s="305" t="str">
        <f t="shared" si="22"/>
        <v/>
      </c>
      <c r="E31" s="177"/>
      <c r="F31" s="177"/>
      <c r="G31" s="177"/>
      <c r="H31" s="305" t="str">
        <f t="shared" si="23"/>
        <v/>
      </c>
      <c r="I31" s="177"/>
      <c r="J31" s="177"/>
      <c r="K31" s="306" t="str">
        <f t="shared" si="24"/>
        <v/>
      </c>
      <c r="L31" s="306" t="str">
        <f t="shared" si="25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8"/>
        <v/>
      </c>
      <c r="T31" s="170" t="str">
        <f t="shared" si="9"/>
        <v/>
      </c>
      <c r="U31" s="170" t="str">
        <f t="shared" si="10"/>
        <v/>
      </c>
      <c r="V31" s="262">
        <f t="shared" si="26"/>
        <v>0</v>
      </c>
      <c r="W31" s="160">
        <f t="shared" si="27"/>
        <v>0</v>
      </c>
      <c r="X31" s="160">
        <f t="shared" si="28"/>
        <v>0</v>
      </c>
      <c r="Y31" s="160">
        <f t="shared" si="29"/>
        <v>0</v>
      </c>
      <c r="Z31" s="160">
        <f t="shared" si="30"/>
        <v>0</v>
      </c>
      <c r="AA31" s="160">
        <f t="shared" si="31"/>
        <v>0</v>
      </c>
      <c r="AB31" s="160">
        <f t="shared" si="32"/>
        <v>0</v>
      </c>
      <c r="AC31" s="160">
        <f t="shared" si="33"/>
        <v>0</v>
      </c>
      <c r="AD31" s="307">
        <f t="shared" si="34"/>
        <v>0</v>
      </c>
      <c r="AE31" s="308" t="str">
        <f t="shared" si="35"/>
        <v/>
      </c>
      <c r="AF31" s="163" t="str">
        <f t="shared" si="14"/>
        <v/>
      </c>
      <c r="AG31" s="163" t="str">
        <f t="shared" si="15"/>
        <v/>
      </c>
      <c r="AH31" s="163" t="str">
        <f t="shared" si="16"/>
        <v/>
      </c>
      <c r="AI31" s="290"/>
      <c r="AJ31" s="165" t="str">
        <f t="shared" si="17"/>
        <v/>
      </c>
      <c r="AK31" s="180" t="str">
        <f t="shared" si="18"/>
        <v/>
      </c>
      <c r="AM31" s="179"/>
      <c r="AN31" s="179"/>
      <c r="AP31" s="166" t="str">
        <f t="shared" si="19"/>
        <v/>
      </c>
      <c r="AQ31" s="166" t="str">
        <f t="shared" si="20"/>
        <v/>
      </c>
      <c r="AR31" s="166" t="str">
        <f t="shared" si="21"/>
        <v/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IF($J$1="Active",IF(Salary_Master!B32="","",_xlfn.IFS(Salary_Master!M32="Working",IF(Salary_Master!H32&lt;=DATE(2025,12,31),Salary_Master!B32,""),Salary_Master!M32="Left",IF(Salary_Master!N32&gt;DATE(2025,11,30),Salary_Master!B32,""))),"")</f>
        <v/>
      </c>
      <c r="C32" s="304">
        <v>31</v>
      </c>
      <c r="D32" s="305" t="str">
        <f t="shared" si="22"/>
        <v/>
      </c>
      <c r="E32" s="177"/>
      <c r="F32" s="177"/>
      <c r="G32" s="177"/>
      <c r="H32" s="305" t="str">
        <f t="shared" si="23"/>
        <v/>
      </c>
      <c r="I32" s="177"/>
      <c r="J32" s="177"/>
      <c r="K32" s="306" t="str">
        <f t="shared" si="24"/>
        <v/>
      </c>
      <c r="L32" s="306" t="str">
        <f t="shared" si="25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8"/>
        <v/>
      </c>
      <c r="T32" s="170" t="str">
        <f t="shared" si="9"/>
        <v/>
      </c>
      <c r="U32" s="170" t="str">
        <f t="shared" si="10"/>
        <v/>
      </c>
      <c r="V32" s="262">
        <f t="shared" si="26"/>
        <v>0</v>
      </c>
      <c r="W32" s="160">
        <f t="shared" si="27"/>
        <v>0</v>
      </c>
      <c r="X32" s="160">
        <f t="shared" si="28"/>
        <v>0</v>
      </c>
      <c r="Y32" s="160">
        <f t="shared" si="29"/>
        <v>0</v>
      </c>
      <c r="Z32" s="160">
        <f t="shared" si="30"/>
        <v>0</v>
      </c>
      <c r="AA32" s="160">
        <f t="shared" si="31"/>
        <v>0</v>
      </c>
      <c r="AB32" s="160">
        <f t="shared" si="32"/>
        <v>0</v>
      </c>
      <c r="AC32" s="160">
        <f t="shared" si="33"/>
        <v>0</v>
      </c>
      <c r="AD32" s="307">
        <f t="shared" si="34"/>
        <v>0</v>
      </c>
      <c r="AE32" s="308" t="str">
        <f t="shared" si="35"/>
        <v/>
      </c>
      <c r="AF32" s="163" t="str">
        <f t="shared" si="14"/>
        <v/>
      </c>
      <c r="AG32" s="163" t="str">
        <f t="shared" si="15"/>
        <v/>
      </c>
      <c r="AH32" s="163" t="str">
        <f t="shared" si="16"/>
        <v/>
      </c>
      <c r="AI32" s="290"/>
      <c r="AJ32" s="165" t="str">
        <f t="shared" si="17"/>
        <v/>
      </c>
      <c r="AK32" s="180" t="str">
        <f t="shared" si="18"/>
        <v/>
      </c>
      <c r="AM32" s="179"/>
      <c r="AN32" s="179"/>
      <c r="AP32" s="166" t="str">
        <f t="shared" si="19"/>
        <v/>
      </c>
      <c r="AQ32" s="166" t="str">
        <f t="shared" si="20"/>
        <v/>
      </c>
      <c r="AR32" s="166" t="str">
        <f t="shared" si="21"/>
        <v/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IF($J$1="Active",IF(Salary_Master!B33="","",_xlfn.IFS(Salary_Master!M33="Working",IF(Salary_Master!H33&lt;=DATE(2025,12,31),Salary_Master!B33,""),Salary_Master!M33="Left",IF(Salary_Master!N33&gt;DATE(2025,11,30),Salary_Master!B33,""))),"")</f>
        <v/>
      </c>
      <c r="C33" s="304">
        <v>31</v>
      </c>
      <c r="D33" s="305" t="str">
        <f t="shared" si="22"/>
        <v/>
      </c>
      <c r="E33" s="177"/>
      <c r="F33" s="177"/>
      <c r="G33" s="177"/>
      <c r="H33" s="305" t="str">
        <f t="shared" si="23"/>
        <v/>
      </c>
      <c r="I33" s="177"/>
      <c r="J33" s="177"/>
      <c r="K33" s="306" t="str">
        <f t="shared" si="24"/>
        <v/>
      </c>
      <c r="L33" s="306" t="str">
        <f t="shared" si="25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6"/>
        <v>0</v>
      </c>
      <c r="W33" s="160">
        <f t="shared" si="27"/>
        <v>0</v>
      </c>
      <c r="X33" s="160">
        <f t="shared" si="28"/>
        <v>0</v>
      </c>
      <c r="Y33" s="160">
        <f t="shared" si="29"/>
        <v>0</v>
      </c>
      <c r="Z33" s="160">
        <f t="shared" si="30"/>
        <v>0</v>
      </c>
      <c r="AA33" s="160">
        <f t="shared" si="31"/>
        <v>0</v>
      </c>
      <c r="AB33" s="160">
        <f t="shared" si="32"/>
        <v>0</v>
      </c>
      <c r="AC33" s="160">
        <f t="shared" si="33"/>
        <v>0</v>
      </c>
      <c r="AD33" s="307">
        <f t="shared" si="34"/>
        <v>0</v>
      </c>
      <c r="AE33" s="308" t="str">
        <f t="shared" si="35"/>
        <v/>
      </c>
      <c r="AF33" s="163" t="str">
        <f t="shared" si="14"/>
        <v/>
      </c>
      <c r="AG33" s="163" t="str">
        <f t="shared" si="15"/>
        <v/>
      </c>
      <c r="AH33" s="163" t="str">
        <f t="shared" si="16"/>
        <v/>
      </c>
      <c r="AI33" s="290"/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19"/>
        <v/>
      </c>
      <c r="AQ33" s="166" t="str">
        <f t="shared" si="20"/>
        <v/>
      </c>
      <c r="AR33" s="166" t="str">
        <f t="shared" si="21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IF($J$1="Active",IF(Salary_Master!B34="","",_xlfn.IFS(Salary_Master!M34="Working",IF(Salary_Master!H34&lt;=DATE(2025,12,31),Salary_Master!B34,""),Salary_Master!M34="Left",IF(Salary_Master!N34&gt;DATE(2025,11,30),Salary_Master!B34,""))),"")</f>
        <v/>
      </c>
      <c r="C34" s="304">
        <v>31</v>
      </c>
      <c r="D34" s="305" t="str">
        <f t="shared" si="22"/>
        <v/>
      </c>
      <c r="E34" s="177"/>
      <c r="F34" s="177"/>
      <c r="G34" s="177"/>
      <c r="H34" s="305" t="str">
        <f t="shared" si="23"/>
        <v/>
      </c>
      <c r="I34" s="177"/>
      <c r="J34" s="177"/>
      <c r="K34" s="306" t="str">
        <f t="shared" si="24"/>
        <v/>
      </c>
      <c r="L34" s="306" t="str">
        <f t="shared" si="25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6"/>
        <v>0</v>
      </c>
      <c r="W34" s="160">
        <f t="shared" si="27"/>
        <v>0</v>
      </c>
      <c r="X34" s="160">
        <f t="shared" si="28"/>
        <v>0</v>
      </c>
      <c r="Y34" s="160">
        <f t="shared" si="29"/>
        <v>0</v>
      </c>
      <c r="Z34" s="160">
        <f t="shared" si="30"/>
        <v>0</v>
      </c>
      <c r="AA34" s="160">
        <f t="shared" si="31"/>
        <v>0</v>
      </c>
      <c r="AB34" s="160">
        <f t="shared" si="32"/>
        <v>0</v>
      </c>
      <c r="AC34" s="160">
        <f t="shared" si="33"/>
        <v>0</v>
      </c>
      <c r="AD34" s="307">
        <f t="shared" si="34"/>
        <v>0</v>
      </c>
      <c r="AE34" s="308" t="str">
        <f t="shared" si="35"/>
        <v/>
      </c>
      <c r="AF34" s="163" t="str">
        <f t="shared" si="14"/>
        <v/>
      </c>
      <c r="AG34" s="163" t="str">
        <f t="shared" si="15"/>
        <v/>
      </c>
      <c r="AH34" s="163" t="str">
        <f t="shared" si="16"/>
        <v/>
      </c>
      <c r="AI34" s="290"/>
      <c r="AJ34" s="165" t="str">
        <f t="shared" si="17"/>
        <v/>
      </c>
      <c r="AK34" s="180" t="str">
        <f t="shared" si="18"/>
        <v/>
      </c>
      <c r="AM34" s="179"/>
      <c r="AN34" s="179"/>
      <c r="AP34" s="166" t="str">
        <f t="shared" si="19"/>
        <v/>
      </c>
      <c r="AQ34" s="166" t="str">
        <f t="shared" si="20"/>
        <v/>
      </c>
      <c r="AR34" s="166" t="str">
        <f t="shared" si="21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IF($J$1="Active",IF(Salary_Master!B35="","",_xlfn.IFS(Salary_Master!M35="Working",IF(Salary_Master!H35&lt;=DATE(2025,12,31),Salary_Master!B35,""),Salary_Master!M35="Left",IF(Salary_Master!N35&gt;DATE(2025,11,30),Salary_Master!B35,""))),"")</f>
        <v/>
      </c>
      <c r="C35" s="304">
        <v>31</v>
      </c>
      <c r="D35" s="305" t="str">
        <f t="shared" si="22"/>
        <v/>
      </c>
      <c r="E35" s="177"/>
      <c r="F35" s="177"/>
      <c r="G35" s="177"/>
      <c r="H35" s="305" t="str">
        <f t="shared" si="23"/>
        <v/>
      </c>
      <c r="I35" s="177"/>
      <c r="J35" s="177"/>
      <c r="K35" s="306" t="str">
        <f t="shared" si="24"/>
        <v/>
      </c>
      <c r="L35" s="306" t="str">
        <f t="shared" si="25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6"/>
        <v>0</v>
      </c>
      <c r="W35" s="160">
        <f t="shared" si="27"/>
        <v>0</v>
      </c>
      <c r="X35" s="160">
        <f t="shared" si="28"/>
        <v>0</v>
      </c>
      <c r="Y35" s="160">
        <f t="shared" si="29"/>
        <v>0</v>
      </c>
      <c r="Z35" s="160">
        <f t="shared" si="30"/>
        <v>0</v>
      </c>
      <c r="AA35" s="160">
        <f t="shared" si="31"/>
        <v>0</v>
      </c>
      <c r="AB35" s="160">
        <f t="shared" si="32"/>
        <v>0</v>
      </c>
      <c r="AC35" s="160">
        <f t="shared" si="33"/>
        <v>0</v>
      </c>
      <c r="AD35" s="307">
        <f t="shared" si="34"/>
        <v>0</v>
      </c>
      <c r="AE35" s="308" t="str">
        <f t="shared" si="35"/>
        <v/>
      </c>
      <c r="AF35" s="163" t="str">
        <f t="shared" si="14"/>
        <v/>
      </c>
      <c r="AG35" s="163" t="str">
        <f t="shared" si="15"/>
        <v/>
      </c>
      <c r="AH35" s="163" t="str">
        <f t="shared" si="16"/>
        <v/>
      </c>
      <c r="AI35" s="290"/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19"/>
        <v/>
      </c>
      <c r="AQ35" s="166" t="str">
        <f t="shared" si="20"/>
        <v/>
      </c>
      <c r="AR35" s="166" t="str">
        <f t="shared" si="21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IF($J$1="Active",IF(Salary_Master!B36="","",_xlfn.IFS(Salary_Master!M36="Working",IF(Salary_Master!H36&lt;=DATE(2025,12,31),Salary_Master!B36,""),Salary_Master!M36="Left",IF(Salary_Master!N36&gt;DATE(2025,11,30),Salary_Master!B36,""))),"")</f>
        <v/>
      </c>
      <c r="C36" s="304">
        <v>31</v>
      </c>
      <c r="D36" s="305" t="str">
        <f t="shared" si="22"/>
        <v/>
      </c>
      <c r="E36" s="177"/>
      <c r="F36" s="177"/>
      <c r="G36" s="177"/>
      <c r="H36" s="305" t="str">
        <f t="shared" si="23"/>
        <v/>
      </c>
      <c r="I36" s="177"/>
      <c r="J36" s="177"/>
      <c r="K36" s="306" t="str">
        <f t="shared" si="24"/>
        <v/>
      </c>
      <c r="L36" s="306" t="str">
        <f t="shared" si="25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6"/>
        <v>0</v>
      </c>
      <c r="W36" s="160">
        <f t="shared" si="27"/>
        <v>0</v>
      </c>
      <c r="X36" s="160">
        <f t="shared" si="28"/>
        <v>0</v>
      </c>
      <c r="Y36" s="160">
        <f t="shared" si="29"/>
        <v>0</v>
      </c>
      <c r="Z36" s="160">
        <f t="shared" si="30"/>
        <v>0</v>
      </c>
      <c r="AA36" s="160">
        <f t="shared" si="31"/>
        <v>0</v>
      </c>
      <c r="AB36" s="160">
        <f t="shared" si="32"/>
        <v>0</v>
      </c>
      <c r="AC36" s="160">
        <f t="shared" si="33"/>
        <v>0</v>
      </c>
      <c r="AD36" s="307">
        <f t="shared" si="34"/>
        <v>0</v>
      </c>
      <c r="AE36" s="308" t="str">
        <f t="shared" si="35"/>
        <v/>
      </c>
      <c r="AF36" s="163" t="str">
        <f t="shared" si="14"/>
        <v/>
      </c>
      <c r="AG36" s="163" t="str">
        <f t="shared" si="15"/>
        <v/>
      </c>
      <c r="AH36" s="163" t="str">
        <f t="shared" si="16"/>
        <v/>
      </c>
      <c r="AI36" s="290"/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19"/>
        <v/>
      </c>
      <c r="AQ36" s="166" t="str">
        <f t="shared" si="20"/>
        <v/>
      </c>
      <c r="AR36" s="166" t="str">
        <f t="shared" si="21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IF($J$1="Active",IF(Salary_Master!B37="","",_xlfn.IFS(Salary_Master!M37="Working",IF(Salary_Master!H37&lt;=DATE(2025,12,31),Salary_Master!B37,""),Salary_Master!M37="Left",IF(Salary_Master!N37&gt;DATE(2025,11,30),Salary_Master!B37,""))),"")</f>
        <v/>
      </c>
      <c r="C37" s="304">
        <v>31</v>
      </c>
      <c r="D37" s="305" t="str">
        <f t="shared" si="22"/>
        <v/>
      </c>
      <c r="E37" s="177"/>
      <c r="F37" s="177"/>
      <c r="G37" s="177"/>
      <c r="H37" s="305" t="str">
        <f t="shared" si="23"/>
        <v/>
      </c>
      <c r="I37" s="177"/>
      <c r="J37" s="177"/>
      <c r="K37" s="306" t="str">
        <f t="shared" si="24"/>
        <v/>
      </c>
      <c r="L37" s="306" t="str">
        <f t="shared" si="25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6"/>
        <v>0</v>
      </c>
      <c r="W37" s="160">
        <f t="shared" si="27"/>
        <v>0</v>
      </c>
      <c r="X37" s="160">
        <f t="shared" si="28"/>
        <v>0</v>
      </c>
      <c r="Y37" s="160">
        <f t="shared" si="29"/>
        <v>0</v>
      </c>
      <c r="Z37" s="160">
        <f t="shared" si="30"/>
        <v>0</v>
      </c>
      <c r="AA37" s="160">
        <f t="shared" si="31"/>
        <v>0</v>
      </c>
      <c r="AB37" s="160">
        <f t="shared" si="32"/>
        <v>0</v>
      </c>
      <c r="AC37" s="160">
        <f t="shared" si="33"/>
        <v>0</v>
      </c>
      <c r="AD37" s="307">
        <f t="shared" si="34"/>
        <v>0</v>
      </c>
      <c r="AE37" s="308" t="str">
        <f t="shared" si="35"/>
        <v/>
      </c>
      <c r="AF37" s="163" t="str">
        <f t="shared" si="14"/>
        <v/>
      </c>
      <c r="AG37" s="163" t="str">
        <f t="shared" si="15"/>
        <v/>
      </c>
      <c r="AH37" s="163" t="str">
        <f t="shared" si="16"/>
        <v/>
      </c>
      <c r="AI37" s="290"/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19"/>
        <v/>
      </c>
      <c r="AQ37" s="166" t="str">
        <f t="shared" si="20"/>
        <v/>
      </c>
      <c r="AR37" s="166" t="str">
        <f t="shared" si="21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IF($J$1="Active",IF(Salary_Master!B38="","",_xlfn.IFS(Salary_Master!M38="Working",IF(Salary_Master!H38&lt;=DATE(2025,12,31),Salary_Master!B38,""),Salary_Master!M38="Left",IF(Salary_Master!N38&gt;DATE(2025,11,30),Salary_Master!B38,""))),"")</f>
        <v/>
      </c>
      <c r="C38" s="304">
        <v>31</v>
      </c>
      <c r="D38" s="305" t="str">
        <f t="shared" si="22"/>
        <v/>
      </c>
      <c r="E38" s="177"/>
      <c r="F38" s="177"/>
      <c r="G38" s="177"/>
      <c r="H38" s="305" t="str">
        <f t="shared" si="23"/>
        <v/>
      </c>
      <c r="I38" s="177"/>
      <c r="J38" s="177"/>
      <c r="K38" s="306" t="str">
        <f t="shared" si="24"/>
        <v/>
      </c>
      <c r="L38" s="306" t="str">
        <f t="shared" si="25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6"/>
        <v>0</v>
      </c>
      <c r="W38" s="160">
        <f t="shared" si="27"/>
        <v>0</v>
      </c>
      <c r="X38" s="160">
        <f t="shared" si="28"/>
        <v>0</v>
      </c>
      <c r="Y38" s="160">
        <f t="shared" si="29"/>
        <v>0</v>
      </c>
      <c r="Z38" s="160">
        <f t="shared" si="30"/>
        <v>0</v>
      </c>
      <c r="AA38" s="160">
        <f t="shared" si="31"/>
        <v>0</v>
      </c>
      <c r="AB38" s="160">
        <f t="shared" si="32"/>
        <v>0</v>
      </c>
      <c r="AC38" s="160">
        <f t="shared" si="33"/>
        <v>0</v>
      </c>
      <c r="AD38" s="307">
        <f t="shared" si="34"/>
        <v>0</v>
      </c>
      <c r="AE38" s="308" t="str">
        <f t="shared" si="35"/>
        <v/>
      </c>
      <c r="AF38" s="163" t="str">
        <f t="shared" si="14"/>
        <v/>
      </c>
      <c r="AG38" s="163" t="str">
        <f t="shared" si="15"/>
        <v/>
      </c>
      <c r="AH38" s="163" t="str">
        <f t="shared" si="16"/>
        <v/>
      </c>
      <c r="AI38" s="290"/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19"/>
        <v/>
      </c>
      <c r="AQ38" s="166" t="str">
        <f t="shared" si="20"/>
        <v/>
      </c>
      <c r="AR38" s="166" t="str">
        <f t="shared" si="21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IF($J$1="Active",IF(Salary_Master!B39="","",_xlfn.IFS(Salary_Master!M39="Working",IF(Salary_Master!H39&lt;=DATE(2025,12,31),Salary_Master!B39,""),Salary_Master!M39="Left",IF(Salary_Master!N39&gt;DATE(2025,11,30),Salary_Master!B39,""))),"")</f>
        <v/>
      </c>
      <c r="C39" s="309">
        <v>31</v>
      </c>
      <c r="D39" s="310" t="str">
        <f t="shared" si="22"/>
        <v/>
      </c>
      <c r="E39" s="311"/>
      <c r="F39" s="311"/>
      <c r="G39" s="311"/>
      <c r="H39" s="310" t="str">
        <f t="shared" si="23"/>
        <v/>
      </c>
      <c r="I39" s="311"/>
      <c r="J39" s="311"/>
      <c r="K39" s="312" t="str">
        <f t="shared" si="24"/>
        <v/>
      </c>
      <c r="L39" s="312" t="str">
        <f t="shared" si="25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6"/>
        <v>0</v>
      </c>
      <c r="W39" s="297">
        <f t="shared" si="27"/>
        <v>0</v>
      </c>
      <c r="X39" s="297">
        <f t="shared" si="28"/>
        <v>0</v>
      </c>
      <c r="Y39" s="297">
        <f t="shared" si="29"/>
        <v>0</v>
      </c>
      <c r="Z39" s="297">
        <f t="shared" si="30"/>
        <v>0</v>
      </c>
      <c r="AA39" s="297">
        <f t="shared" si="31"/>
        <v>0</v>
      </c>
      <c r="AB39" s="297">
        <f t="shared" si="32"/>
        <v>0</v>
      </c>
      <c r="AC39" s="297">
        <f t="shared" si="33"/>
        <v>0</v>
      </c>
      <c r="AD39" s="317">
        <f t="shared" si="34"/>
        <v>0</v>
      </c>
      <c r="AE39" s="318" t="str">
        <f t="shared" si="35"/>
        <v/>
      </c>
      <c r="AF39" s="163" t="str">
        <f t="shared" si="14"/>
        <v/>
      </c>
      <c r="AG39" s="163" t="str">
        <f t="shared" si="15"/>
        <v/>
      </c>
      <c r="AH39" s="163" t="str">
        <f t="shared" si="16"/>
        <v/>
      </c>
      <c r="AI39" s="292"/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19"/>
        <v/>
      </c>
      <c r="AQ39" s="166" t="str">
        <f t="shared" si="20"/>
        <v/>
      </c>
      <c r="AR39" s="166" t="str">
        <f t="shared" si="21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6">SUM(W5:W39)</f>
        <v>0</v>
      </c>
      <c r="X40" s="183">
        <f t="shared" si="36"/>
        <v>0</v>
      </c>
      <c r="Y40" s="183">
        <f t="shared" si="36"/>
        <v>0</v>
      </c>
      <c r="Z40" s="183">
        <f t="shared" si="36"/>
        <v>0</v>
      </c>
      <c r="AA40" s="183">
        <f t="shared" si="36"/>
        <v>0</v>
      </c>
      <c r="AB40" s="183">
        <f t="shared" si="36"/>
        <v>0</v>
      </c>
      <c r="AC40" s="183">
        <f t="shared" si="36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mergeCells count="3">
    <mergeCell ref="J1:K1"/>
    <mergeCell ref="AP2:AR2"/>
    <mergeCell ref="A40:U40"/>
  </mergeCells>
  <conditionalFormatting sqref="H5:H39">
    <cfRule type="cellIs" dxfId="11" priority="2" operator="greaterThan">
      <formula>32</formula>
    </cfRule>
    <cfRule type="cellIs" dxfId="10" priority="3" operator="greaterThan">
      <formula>31</formula>
    </cfRule>
  </conditionalFormatting>
  <conditionalFormatting sqref="H5:H39">
    <cfRule type="cellIs" dxfId="9" priority="1" operator="greaterThan">
      <formula>32</formula>
    </cfRule>
  </conditionalFormatting>
  <dataValidations count="6">
    <dataValidation type="list" allowBlank="1" showInputMessage="1" showErrorMessage="1" sqref="J1:K1" xr:uid="{ABBB83CC-B5BC-4C1E-B303-67B5F0FD0F8F}">
      <formula1>"Active,Non-Active"</formula1>
    </dataValidation>
    <dataValidation type="list" allowBlank="1" showInputMessage="1" showErrorMessage="1" sqref="AK5:AK39 AL40 M5:M39" xr:uid="{DD93265D-134A-40C1-9428-682FAE44E0DF}">
      <formula1>"Yes,No"</formula1>
    </dataValidation>
    <dataValidation type="list" allowBlank="1" sqref="K5:L39" xr:uid="{42CFE566-539F-487E-8E7F-ED809BAAA1ED}">
      <formula1>"Yes,No"</formula1>
    </dataValidation>
    <dataValidation type="custom" allowBlank="1" showInputMessage="1" showErrorMessage="1" errorTitle="Below Limit !!!" error="Total leaves are going negative if this value is entered. Try to enter less value." sqref="G5:G39" xr:uid="{71858469-2493-4361-BE69-DE1E8067D493}">
      <formula1>$AP5&lt;=7</formula1>
    </dataValidation>
    <dataValidation type="custom" allowBlank="1" showInputMessage="1" showErrorMessage="1" errorTitle="Below Limit !!!" error="Total leaves are going negative if this value is entered. Try to enter less value." sqref="F5:F39" xr:uid="{7D3F28FE-A6EC-4E63-87D0-EDF3624B637D}">
      <formula1>$AO5&lt;=7</formula1>
    </dataValidation>
    <dataValidation type="custom" allowBlank="1" showInputMessage="1" showErrorMessage="1" errorTitle="Below Limit !!!" error="Total leaves are going negative if this value is entered. Try to enter less value." sqref="E5:E39" xr:uid="{033ED712-F284-4341-8785-C486B93FAE57}">
      <formula1>$AN5&lt;=7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4EFE-7ACF-4DDB-B405-0035B776000F}">
  <sheetPr codeName="Sheet45">
    <tabColor rgb="FF92D050"/>
  </sheetPr>
  <dimension ref="A1:AT40"/>
  <sheetViews>
    <sheetView workbookViewId="0">
      <pane xSplit="13" ySplit="4" topLeftCell="V5" activePane="bottomRight" state="frozen"/>
      <selection activeCell="J1" sqref="J1:K1"/>
      <selection pane="topRight" activeCell="J1" sqref="J1:K1"/>
      <selection pane="bottomLeft" activeCell="J1" sqref="J1:K1"/>
      <selection pane="bottomRight" activeCell="J1" sqref="J1:K1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10937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IF($J$1="Active",IF(Salary_Master!B5="","",_xlfn.IFS(Salary_Master!M5="Working",IF(Salary_Master!H5&lt;=DATE(2026,1,31),Salary_Master!B5,""),Salary_Master!M5="Left",IF(Salary_Master!N5&gt;DATE(2025,12,31),Salary_Master!B5,""))),"")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" si="1">IF($J$1="Active",IF(B5="","",VLOOKUP(B5,Salary_Master,14,FALSE)),"")</f>
        <v/>
      </c>
      <c r="L5" s="158" t="str">
        <f t="shared" ref="L5" si="2">IF($J$1="Active",IF(B5="","",VLOOKUP(B5,Salary_Master,15,FALSE)),"")</f>
        <v/>
      </c>
      <c r="M5" s="159"/>
      <c r="N5" s="169" t="str">
        <f t="shared" ref="N5:N39" si="3">IFERROR(ROUND(IF($B5="","",SUM(VLOOKUP($B5,Salary_Master,17,FALSE)/31*$H5)),0),"")</f>
        <v/>
      </c>
      <c r="O5" s="170" t="str">
        <f t="shared" ref="O5:O39" si="4">IFERROR(ROUND(IF($B5="","",SUM(VLOOKUP($B5,Salary_Master,18,FALSE)/31*$H5)),0),"")</f>
        <v/>
      </c>
      <c r="P5" s="170" t="str">
        <f t="shared" ref="P5:P39" si="5">IFERROR(ROUND(IF($B5="","",SUM(VLOOKUP($B5,Salary_Master,19,FALSE)/31*$H5)),0),"")</f>
        <v/>
      </c>
      <c r="Q5" s="170" t="str">
        <f t="shared" ref="Q5:Q39" si="6">IFERROR(ROUND(IF($B5="","",SUM(VLOOKUP($B5,Salary_Master,20,FALSE)/31*$H5)),0),"")</f>
        <v/>
      </c>
      <c r="R5" s="170" t="str">
        <f t="shared" ref="R5:R39" si="7">IFERROR(ROUND(IF($B5="","",SUM(VLOOKUP($B5,Salary_Master,21,FALSE)/31*$H5)),0),"")</f>
        <v/>
      </c>
      <c r="S5" s="170" t="str">
        <f t="shared" ref="S5:S39" si="8">IFERROR(ROUND(IF($B5="","",SUM(VLOOKUP($B5,Salary_Master,22,FALSE)/31*$H5)),0),"")</f>
        <v/>
      </c>
      <c r="T5" s="170" t="str">
        <f t="shared" ref="T5:T39" si="9">IFERROR(ROUND(IF($B5="","",SUM(VLOOKUP($B5,Salary_Master,23,FALSE)/31*$H5)),0),"")</f>
        <v/>
      </c>
      <c r="U5" s="170" t="str">
        <f t="shared" ref="U5:U39" si="10">IFERROR(ROUND(IF($B5="","",SUM(VLOOKUP($B5,Salary_Master,24,FALSE)/31*$H5)),0),"")</f>
        <v/>
      </c>
      <c r="V5" s="261">
        <f>ROUND(SUM(N5:U5),0)</f>
        <v>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" si="13">IF(B5="","",VLOOKUP(B5,Salary_Master,8,FALSE))</f>
        <v/>
      </c>
      <c r="AF5" s="164" t="str">
        <f t="shared" ref="AF5:AF39" si="14">IFERROR(IF($J$1="Non-Active","",IF(VLOOKUP($B5,Decc25,36,FALSE)="No",IF($AK5="Yes",MROUND($AJ5/3,0.5)-$E5,""),IF(VLOOKUP($B5,Decc25,36,FALSE)="Yes",(VLOOKUP($B5,Decc25,31,FALSE)-$E5),""))),"")</f>
        <v/>
      </c>
      <c r="AG5" s="164" t="str">
        <f t="shared" ref="AG5:AG39" si="15">IFERROR(IF($J$1="Non-Active","",IF(VLOOKUP($B5,Decc25,36,FALSE)="No",IF($AK5="Yes",MROUND($AJ5/3,0.5)-$F5,""),IF(VLOOKUP($B5,Decc25,36,FALSE)="Yes",(VLOOKUP($B5,Decc25,32,FALSE)-$F5),""))),"")</f>
        <v/>
      </c>
      <c r="AH5" s="164" t="str">
        <f t="shared" ref="AH5:AH39" si="16">IFERROR(IF($J$1="Non-Active","",IF(VLOOKUP($B5,Decc25,36,FALSE)="No",IF($AK5="Yes",($AJ5-(AF5+AG5)-(E5+F5))-$G5,""),IF(VLOOKUP($B5,Decc25,36,FALSE)="Yes",(VLOOKUP($B5,Decc25,33,FALSE)-$G5),""))),"")</f>
        <v/>
      </c>
      <c r="AI5" s="289"/>
      <c r="AJ5" s="296" t="str">
        <f t="shared" ref="AJ5:AJ39" si="17">IF(AK5="Yes",IF(VLOOKUP($B5,Decc25,36,FALSE)="No",MROUND(SUM(21/12*6),0.5),""),"")</f>
        <v/>
      </c>
      <c r="AK5" s="287" t="str">
        <f t="shared" ref="AK5:AK39" si="18">IF($J$1="Non-Active","",IF($B5="","",VLOOKUP($B5,Decc25,36,FALSE)))</f>
        <v/>
      </c>
      <c r="AM5" s="179"/>
      <c r="AN5" s="179"/>
      <c r="AP5" s="166" t="str">
        <f t="shared" ref="AP5:AP39" si="19">IFERROR(IF($B5="","",(VLOOKUP($B5,Aprr25,4,FALSE)+VLOOKUP($B5,Mayy25,4,FALSE)+VLOOKUP($B5,Junn25,4,FALSE)+VLOOKUP($B5,Jull25,4,FALSE)+VLOOKUP($B5,Augg25,4,FALSE)+VLOOKUP($B5,Sepp25,4,FALSE)+VLOOKUP($B5,Octt25,4,FALSE)+VLOOKUP($B5,Novv25,4,FALSE)+VLOOKUP($B5,Decc25,4,FALSE)+VLOOKUP($B5,Jann26,4,FALSE))),0)</f>
        <v/>
      </c>
      <c r="AQ5" s="166" t="str">
        <f t="shared" ref="AQ5:AQ39" si="20">IFERROR(IF($B5="","",(VLOOKUP($B5,Aprr25,5,FALSE)+VLOOKUP($B5,Mayy25,5,FALSE)+VLOOKUP($B5,Junn25,5,FALSE)+VLOOKUP($B5,Jull25,5,FALSE)+VLOOKUP($B5,Augg25,5,FALSE)+VLOOKUP($B5,Sepp25,5,FALSE)+VLOOKUP($B5,Octt25,5,FALSE)+VLOOKUP($B5,Novv25,5,FALSE)+VLOOKUP($B5,Decc25,5,FALSE)+VLOOKUP($B5,Jann26,5,FALSE))),0)</f>
        <v/>
      </c>
      <c r="AR5" s="166" t="str">
        <f t="shared" ref="AR5:AR39" si="21">IFERROR(IF($B5="","",(VLOOKUP($B5,Aprr25,6,FALSE)+VLOOKUP($B5,Mayy25,6,FALSE)+VLOOKUP($B5,Junn25,6,FALSE)+VLOOKUP($B5,Jull25,6,FALSE)+VLOOKUP($B5,Augg25,6,FALSE)+VLOOKUP($B5,Sepp25,6,FALSE)+VLOOKUP($B5,Octt25,6,FALSE)+VLOOKUP($B5,Novv25,6,FALSE)+VLOOKUP($B5,Decc25,6,FALSE)+VLOOKUP($B5,Jann26,6,FALSE))),0)</f>
        <v/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IF($J$1="Active",IF(Salary_Master!B6="","",_xlfn.IFS(Salary_Master!M6="Working",IF(Salary_Master!H6&lt;=DATE(2026,1,31),Salary_Master!B6,""),Salary_Master!M6="Left",IF(Salary_Master!N6&gt;DATE(2025,12,31),Salary_Master!B6,""))),"")</f>
        <v/>
      </c>
      <c r="C6" s="156">
        <v>31</v>
      </c>
      <c r="D6" s="305" t="str">
        <f t="shared" ref="D6:D39" si="22">IF($J$1="Active",IF(B6="","",C6-SUM(E6:G6)-I6),"")</f>
        <v/>
      </c>
      <c r="E6" s="177"/>
      <c r="F6" s="177"/>
      <c r="G6" s="177"/>
      <c r="H6" s="305" t="str">
        <f t="shared" ref="H6:H39" si="23">IF(SUM(D6:G6)=0,"",SUM(D6:G6))</f>
        <v/>
      </c>
      <c r="I6" s="177"/>
      <c r="J6" s="177"/>
      <c r="K6" s="306" t="str">
        <f t="shared" ref="K6:K39" si="24">IF($J$1="Active",IF(B6="","",VLOOKUP(B6,Salary_Master,14,FALSE)),"")</f>
        <v/>
      </c>
      <c r="L6" s="306" t="str">
        <f t="shared" ref="L6:L39" si="25">IF($J$1="Active",IF(B6="","",VLOOKUP(B6,Salary_Master,15,FALSE)),"")</f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si="8"/>
        <v/>
      </c>
      <c r="T6" s="170" t="str">
        <f t="shared" si="9"/>
        <v/>
      </c>
      <c r="U6" s="170" t="str">
        <f t="shared" si="10"/>
        <v/>
      </c>
      <c r="V6" s="262">
        <f t="shared" ref="V6:V39" si="26">ROUND(SUM(N6:U6),0)</f>
        <v>0</v>
      </c>
      <c r="W6" s="160">
        <f t="shared" ref="W6:W39" si="27">IFERROR(ROUND(IF(K6="Yes",IF((V6-O6)&gt;15000,1800,SUM(V6-O6)*12%),),),"")</f>
        <v>0</v>
      </c>
      <c r="X6" s="160">
        <f t="shared" ref="X6:X39" si="28">IF(B6="Sagar Kadam",0,IF(B6="Rahul Jadhav",0,IF(W6="","",W6)))</f>
        <v>0</v>
      </c>
      <c r="Y6" s="160">
        <f t="shared" ref="Y6:Y39" si="29">ROUND(IF(L6="Yes",V6*0.75%,0),0)</f>
        <v>0</v>
      </c>
      <c r="Z6" s="160">
        <f t="shared" ref="Z6:Z39" si="30">IF(B6="Sagar Kadam",0,IF(B6="Rahul Jadhav",0,ROUND(IF(L6="Yes",V6*3.25%,0),0)))</f>
        <v>0</v>
      </c>
      <c r="AA6" s="160">
        <f t="shared" ref="AA6:AA39" si="31">IF(AE6="Female",IF(V6&gt;24999,200,0),IF(V6&gt;7500,200,0))</f>
        <v>0</v>
      </c>
      <c r="AB6" s="160">
        <f t="shared" ref="AB6:AB39" si="32">AM6</f>
        <v>0</v>
      </c>
      <c r="AC6" s="160">
        <f t="shared" ref="AC6:AC39" si="33">AN6</f>
        <v>0</v>
      </c>
      <c r="AD6" s="307">
        <f t="shared" ref="AD6:AD39" si="34">ROUND(V6-SUM(W6:AC6),0)</f>
        <v>0</v>
      </c>
      <c r="AE6" s="308" t="str">
        <f t="shared" ref="AE6:AE39" si="35">IF(B6="","",VLOOKUP(B6,Salary_Master,8,FALSE))</f>
        <v/>
      </c>
      <c r="AF6" s="163" t="str">
        <f t="shared" si="14"/>
        <v/>
      </c>
      <c r="AG6" s="163" t="str">
        <f t="shared" si="15"/>
        <v/>
      </c>
      <c r="AH6" s="163" t="str">
        <f t="shared" si="16"/>
        <v/>
      </c>
      <c r="AI6" s="290"/>
      <c r="AJ6" s="165" t="str">
        <f t="shared" si="17"/>
        <v/>
      </c>
      <c r="AK6" s="180" t="str">
        <f t="shared" si="18"/>
        <v/>
      </c>
      <c r="AM6" s="179"/>
      <c r="AN6" s="179"/>
      <c r="AP6" s="166" t="str">
        <f t="shared" si="19"/>
        <v/>
      </c>
      <c r="AQ6" s="166" t="str">
        <f t="shared" si="20"/>
        <v/>
      </c>
      <c r="AR6" s="166" t="str">
        <f t="shared" si="21"/>
        <v/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IF($J$1="Active",IF(Salary_Master!B7="","",_xlfn.IFS(Salary_Master!M7="Working",IF(Salary_Master!H7&lt;=DATE(2026,1,31),Salary_Master!B7,""),Salary_Master!M7="Left",IF(Salary_Master!N7&gt;DATE(2025,12,31),Salary_Master!B7,""))),"")</f>
        <v/>
      </c>
      <c r="C7" s="156">
        <v>31</v>
      </c>
      <c r="D7" s="305" t="str">
        <f t="shared" si="22"/>
        <v/>
      </c>
      <c r="E7" s="177"/>
      <c r="F7" s="177"/>
      <c r="G7" s="177"/>
      <c r="H7" s="305" t="str">
        <f t="shared" si="23"/>
        <v/>
      </c>
      <c r="I7" s="177"/>
      <c r="J7" s="177"/>
      <c r="K7" s="306" t="str">
        <f t="shared" si="24"/>
        <v/>
      </c>
      <c r="L7" s="306" t="str">
        <f t="shared" si="25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8"/>
        <v/>
      </c>
      <c r="T7" s="170" t="str">
        <f t="shared" si="9"/>
        <v/>
      </c>
      <c r="U7" s="170" t="str">
        <f t="shared" si="10"/>
        <v/>
      </c>
      <c r="V7" s="262">
        <f t="shared" si="26"/>
        <v>0</v>
      </c>
      <c r="W7" s="160">
        <f t="shared" si="27"/>
        <v>0</v>
      </c>
      <c r="X7" s="160">
        <f t="shared" si="28"/>
        <v>0</v>
      </c>
      <c r="Y7" s="160">
        <f t="shared" si="29"/>
        <v>0</v>
      </c>
      <c r="Z7" s="160">
        <f t="shared" si="30"/>
        <v>0</v>
      </c>
      <c r="AA7" s="160">
        <f t="shared" si="31"/>
        <v>0</v>
      </c>
      <c r="AB7" s="160">
        <f t="shared" si="32"/>
        <v>0</v>
      </c>
      <c r="AC7" s="160">
        <f t="shared" si="33"/>
        <v>0</v>
      </c>
      <c r="AD7" s="307">
        <f t="shared" si="34"/>
        <v>0</v>
      </c>
      <c r="AE7" s="308" t="str">
        <f t="shared" si="35"/>
        <v/>
      </c>
      <c r="AF7" s="163" t="str">
        <f t="shared" si="14"/>
        <v/>
      </c>
      <c r="AG7" s="163" t="str">
        <f t="shared" si="15"/>
        <v/>
      </c>
      <c r="AH7" s="163" t="str">
        <f t="shared" si="16"/>
        <v/>
      </c>
      <c r="AI7" s="290"/>
      <c r="AJ7" s="165" t="str">
        <f t="shared" si="17"/>
        <v/>
      </c>
      <c r="AK7" s="180" t="str">
        <f t="shared" si="18"/>
        <v/>
      </c>
      <c r="AM7" s="179"/>
      <c r="AN7" s="179"/>
      <c r="AP7" s="166" t="str">
        <f t="shared" si="19"/>
        <v/>
      </c>
      <c r="AQ7" s="166" t="str">
        <f t="shared" si="20"/>
        <v/>
      </c>
      <c r="AR7" s="166" t="str">
        <f t="shared" si="21"/>
        <v/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IF($J$1="Active",IF(Salary_Master!B8="","",_xlfn.IFS(Salary_Master!M8="Working",IF(Salary_Master!H8&lt;=DATE(2026,1,31),Salary_Master!B8,""),Salary_Master!M8="Left",IF(Salary_Master!N8&gt;DATE(2025,12,31),Salary_Master!B8,""))),"")</f>
        <v/>
      </c>
      <c r="C8" s="156">
        <v>31</v>
      </c>
      <c r="D8" s="305" t="str">
        <f t="shared" si="22"/>
        <v/>
      </c>
      <c r="E8" s="177"/>
      <c r="F8" s="177"/>
      <c r="G8" s="177"/>
      <c r="H8" s="305" t="str">
        <f t="shared" si="23"/>
        <v/>
      </c>
      <c r="I8" s="177"/>
      <c r="J8" s="177"/>
      <c r="K8" s="306" t="str">
        <f t="shared" si="24"/>
        <v/>
      </c>
      <c r="L8" s="306" t="str">
        <f t="shared" si="25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8"/>
        <v/>
      </c>
      <c r="T8" s="170" t="str">
        <f t="shared" si="9"/>
        <v/>
      </c>
      <c r="U8" s="170" t="str">
        <f t="shared" si="10"/>
        <v/>
      </c>
      <c r="V8" s="262">
        <f t="shared" si="26"/>
        <v>0</v>
      </c>
      <c r="W8" s="160">
        <f t="shared" si="27"/>
        <v>0</v>
      </c>
      <c r="X8" s="160">
        <f t="shared" si="28"/>
        <v>0</v>
      </c>
      <c r="Y8" s="160">
        <f t="shared" si="29"/>
        <v>0</v>
      </c>
      <c r="Z8" s="160">
        <f t="shared" si="30"/>
        <v>0</v>
      </c>
      <c r="AA8" s="160">
        <f t="shared" si="31"/>
        <v>0</v>
      </c>
      <c r="AB8" s="160">
        <f t="shared" si="32"/>
        <v>0</v>
      </c>
      <c r="AC8" s="160">
        <f t="shared" si="33"/>
        <v>0</v>
      </c>
      <c r="AD8" s="307">
        <f t="shared" si="34"/>
        <v>0</v>
      </c>
      <c r="AE8" s="308" t="str">
        <f t="shared" si="35"/>
        <v/>
      </c>
      <c r="AF8" s="163" t="str">
        <f t="shared" si="14"/>
        <v/>
      </c>
      <c r="AG8" s="163" t="str">
        <f t="shared" si="15"/>
        <v/>
      </c>
      <c r="AH8" s="163" t="str">
        <f t="shared" si="16"/>
        <v/>
      </c>
      <c r="AI8" s="290"/>
      <c r="AJ8" s="165" t="str">
        <f t="shared" si="17"/>
        <v/>
      </c>
      <c r="AK8" s="180" t="str">
        <f t="shared" si="18"/>
        <v/>
      </c>
      <c r="AM8" s="179"/>
      <c r="AN8" s="179"/>
      <c r="AP8" s="166" t="str">
        <f t="shared" si="19"/>
        <v/>
      </c>
      <c r="AQ8" s="166" t="str">
        <f t="shared" si="20"/>
        <v/>
      </c>
      <c r="AR8" s="166" t="str">
        <f t="shared" si="21"/>
        <v/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IF($J$1="Active",IF(Salary_Master!B9="","",_xlfn.IFS(Salary_Master!M9="Working",IF(Salary_Master!H9&lt;=DATE(2026,1,31),Salary_Master!B9,""),Salary_Master!M9="Left",IF(Salary_Master!N9&gt;DATE(2025,12,31),Salary_Master!B9,""))),"")</f>
        <v/>
      </c>
      <c r="C9" s="156">
        <v>31</v>
      </c>
      <c r="D9" s="305" t="str">
        <f t="shared" si="22"/>
        <v/>
      </c>
      <c r="E9" s="177"/>
      <c r="F9" s="177"/>
      <c r="G9" s="177"/>
      <c r="H9" s="305" t="str">
        <f t="shared" si="23"/>
        <v/>
      </c>
      <c r="I9" s="177"/>
      <c r="J9" s="177"/>
      <c r="K9" s="306" t="str">
        <f t="shared" si="24"/>
        <v/>
      </c>
      <c r="L9" s="306" t="str">
        <f t="shared" si="25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8"/>
        <v/>
      </c>
      <c r="T9" s="170" t="str">
        <f t="shared" si="9"/>
        <v/>
      </c>
      <c r="U9" s="170" t="str">
        <f t="shared" si="10"/>
        <v/>
      </c>
      <c r="V9" s="262">
        <f t="shared" si="26"/>
        <v>0</v>
      </c>
      <c r="W9" s="160">
        <f t="shared" si="27"/>
        <v>0</v>
      </c>
      <c r="X9" s="160">
        <f t="shared" si="28"/>
        <v>0</v>
      </c>
      <c r="Y9" s="160">
        <f t="shared" si="29"/>
        <v>0</v>
      </c>
      <c r="Z9" s="160">
        <f t="shared" si="30"/>
        <v>0</v>
      </c>
      <c r="AA9" s="160">
        <f t="shared" si="31"/>
        <v>0</v>
      </c>
      <c r="AB9" s="160">
        <f t="shared" si="32"/>
        <v>0</v>
      </c>
      <c r="AC9" s="160">
        <f t="shared" si="33"/>
        <v>0</v>
      </c>
      <c r="AD9" s="307">
        <f t="shared" si="34"/>
        <v>0</v>
      </c>
      <c r="AE9" s="308" t="str">
        <f t="shared" si="35"/>
        <v/>
      </c>
      <c r="AF9" s="163" t="str">
        <f t="shared" si="14"/>
        <v/>
      </c>
      <c r="AG9" s="163" t="str">
        <f t="shared" si="15"/>
        <v/>
      </c>
      <c r="AH9" s="163" t="str">
        <f t="shared" si="16"/>
        <v/>
      </c>
      <c r="AI9" s="290"/>
      <c r="AJ9" s="165" t="str">
        <f t="shared" si="17"/>
        <v/>
      </c>
      <c r="AK9" s="180" t="str">
        <f t="shared" si="18"/>
        <v/>
      </c>
      <c r="AM9" s="179"/>
      <c r="AN9" s="179"/>
      <c r="AP9" s="166" t="str">
        <f t="shared" si="19"/>
        <v/>
      </c>
      <c r="AQ9" s="166" t="str">
        <f t="shared" si="20"/>
        <v/>
      </c>
      <c r="AR9" s="166" t="str">
        <f t="shared" si="21"/>
        <v/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IF($J$1="Active",IF(Salary_Master!B10="","",_xlfn.IFS(Salary_Master!M10="Working",IF(Salary_Master!H10&lt;=DATE(2026,1,31),Salary_Master!B10,""),Salary_Master!M10="Left",IF(Salary_Master!N10&gt;DATE(2025,12,31),Salary_Master!B10,""))),"")</f>
        <v/>
      </c>
      <c r="C10" s="156">
        <v>31</v>
      </c>
      <c r="D10" s="305" t="str">
        <f t="shared" si="22"/>
        <v/>
      </c>
      <c r="E10" s="177"/>
      <c r="F10" s="177"/>
      <c r="G10" s="177"/>
      <c r="H10" s="305" t="str">
        <f t="shared" si="23"/>
        <v/>
      </c>
      <c r="I10" s="177"/>
      <c r="J10" s="177"/>
      <c r="K10" s="306" t="str">
        <f t="shared" si="24"/>
        <v/>
      </c>
      <c r="L10" s="306" t="str">
        <f t="shared" si="25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8"/>
        <v/>
      </c>
      <c r="T10" s="170" t="str">
        <f t="shared" si="9"/>
        <v/>
      </c>
      <c r="U10" s="170" t="str">
        <f t="shared" si="10"/>
        <v/>
      </c>
      <c r="V10" s="262">
        <f t="shared" si="26"/>
        <v>0</v>
      </c>
      <c r="W10" s="160">
        <f t="shared" si="27"/>
        <v>0</v>
      </c>
      <c r="X10" s="160">
        <f t="shared" si="28"/>
        <v>0</v>
      </c>
      <c r="Y10" s="160">
        <f t="shared" si="29"/>
        <v>0</v>
      </c>
      <c r="Z10" s="160">
        <f t="shared" si="30"/>
        <v>0</v>
      </c>
      <c r="AA10" s="160">
        <f t="shared" si="31"/>
        <v>0</v>
      </c>
      <c r="AB10" s="160">
        <f t="shared" si="32"/>
        <v>0</v>
      </c>
      <c r="AC10" s="160">
        <f t="shared" si="33"/>
        <v>0</v>
      </c>
      <c r="AD10" s="307">
        <f t="shared" si="34"/>
        <v>0</v>
      </c>
      <c r="AE10" s="308" t="str">
        <f t="shared" si="35"/>
        <v/>
      </c>
      <c r="AF10" s="163" t="str">
        <f t="shared" si="14"/>
        <v/>
      </c>
      <c r="AG10" s="163" t="str">
        <f t="shared" si="15"/>
        <v/>
      </c>
      <c r="AH10" s="163" t="str">
        <f t="shared" si="16"/>
        <v/>
      </c>
      <c r="AI10" s="290"/>
      <c r="AJ10" s="165" t="str">
        <f t="shared" si="17"/>
        <v/>
      </c>
      <c r="AK10" s="180" t="str">
        <f t="shared" si="18"/>
        <v/>
      </c>
      <c r="AM10" s="179"/>
      <c r="AN10" s="179"/>
      <c r="AP10" s="166" t="str">
        <f t="shared" si="19"/>
        <v/>
      </c>
      <c r="AQ10" s="166" t="str">
        <f t="shared" si="20"/>
        <v/>
      </c>
      <c r="AR10" s="166" t="str">
        <f t="shared" si="21"/>
        <v/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IF($J$1="Active",IF(Salary_Master!B11="","",_xlfn.IFS(Salary_Master!M11="Working",IF(Salary_Master!H11&lt;=DATE(2026,1,31),Salary_Master!B11,""),Salary_Master!M11="Left",IF(Salary_Master!N11&gt;DATE(2025,12,31),Salary_Master!B11,""))),"")</f>
        <v/>
      </c>
      <c r="C11" s="156">
        <v>31</v>
      </c>
      <c r="D11" s="305" t="str">
        <f t="shared" si="22"/>
        <v/>
      </c>
      <c r="E11" s="177"/>
      <c r="F11" s="177"/>
      <c r="G11" s="177"/>
      <c r="H11" s="305" t="str">
        <f t="shared" si="23"/>
        <v/>
      </c>
      <c r="I11" s="177"/>
      <c r="J11" s="177"/>
      <c r="K11" s="306" t="str">
        <f t="shared" si="24"/>
        <v/>
      </c>
      <c r="L11" s="306" t="str">
        <f t="shared" si="25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8"/>
        <v/>
      </c>
      <c r="T11" s="170" t="str">
        <f t="shared" si="9"/>
        <v/>
      </c>
      <c r="U11" s="170" t="str">
        <f t="shared" si="10"/>
        <v/>
      </c>
      <c r="V11" s="262">
        <f t="shared" si="26"/>
        <v>0</v>
      </c>
      <c r="W11" s="160">
        <f t="shared" si="27"/>
        <v>0</v>
      </c>
      <c r="X11" s="160">
        <f t="shared" si="28"/>
        <v>0</v>
      </c>
      <c r="Y11" s="160">
        <f t="shared" si="29"/>
        <v>0</v>
      </c>
      <c r="Z11" s="160">
        <f t="shared" si="30"/>
        <v>0</v>
      </c>
      <c r="AA11" s="160">
        <f t="shared" si="31"/>
        <v>0</v>
      </c>
      <c r="AB11" s="160">
        <f t="shared" si="32"/>
        <v>0</v>
      </c>
      <c r="AC11" s="160">
        <f t="shared" si="33"/>
        <v>0</v>
      </c>
      <c r="AD11" s="307">
        <f t="shared" si="34"/>
        <v>0</v>
      </c>
      <c r="AE11" s="308" t="str">
        <f t="shared" si="35"/>
        <v/>
      </c>
      <c r="AF11" s="163" t="str">
        <f t="shared" si="14"/>
        <v/>
      </c>
      <c r="AG11" s="163" t="str">
        <f t="shared" si="15"/>
        <v/>
      </c>
      <c r="AH11" s="163" t="str">
        <f t="shared" si="16"/>
        <v/>
      </c>
      <c r="AI11" s="290"/>
      <c r="AJ11" s="165" t="str">
        <f t="shared" si="17"/>
        <v/>
      </c>
      <c r="AK11" s="180" t="str">
        <f t="shared" si="18"/>
        <v/>
      </c>
      <c r="AM11" s="179"/>
      <c r="AN11" s="179"/>
      <c r="AP11" s="166" t="str">
        <f t="shared" si="19"/>
        <v/>
      </c>
      <c r="AQ11" s="166" t="str">
        <f t="shared" si="20"/>
        <v/>
      </c>
      <c r="AR11" s="166" t="str">
        <f t="shared" si="21"/>
        <v/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IF($J$1="Active",IF(Salary_Master!B12="","",_xlfn.IFS(Salary_Master!M12="Working",IF(Salary_Master!H12&lt;=DATE(2026,1,31),Salary_Master!B12,""),Salary_Master!M12="Left",IF(Salary_Master!N12&gt;DATE(2025,12,31),Salary_Master!B12,""))),"")</f>
        <v/>
      </c>
      <c r="C12" s="156">
        <v>31</v>
      </c>
      <c r="D12" s="305" t="str">
        <f t="shared" si="22"/>
        <v/>
      </c>
      <c r="E12" s="177"/>
      <c r="F12" s="177"/>
      <c r="G12" s="177"/>
      <c r="H12" s="305" t="str">
        <f t="shared" si="23"/>
        <v/>
      </c>
      <c r="I12" s="177"/>
      <c r="J12" s="177"/>
      <c r="K12" s="306" t="str">
        <f t="shared" si="24"/>
        <v/>
      </c>
      <c r="L12" s="306" t="str">
        <f t="shared" si="25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8"/>
        <v/>
      </c>
      <c r="T12" s="170" t="str">
        <f t="shared" si="9"/>
        <v/>
      </c>
      <c r="U12" s="170" t="str">
        <f t="shared" si="10"/>
        <v/>
      </c>
      <c r="V12" s="262">
        <f t="shared" si="26"/>
        <v>0</v>
      </c>
      <c r="W12" s="160">
        <f t="shared" si="27"/>
        <v>0</v>
      </c>
      <c r="X12" s="160">
        <f t="shared" si="28"/>
        <v>0</v>
      </c>
      <c r="Y12" s="160">
        <f t="shared" si="29"/>
        <v>0</v>
      </c>
      <c r="Z12" s="160">
        <f t="shared" si="30"/>
        <v>0</v>
      </c>
      <c r="AA12" s="160">
        <f t="shared" si="31"/>
        <v>0</v>
      </c>
      <c r="AB12" s="160">
        <f t="shared" si="32"/>
        <v>0</v>
      </c>
      <c r="AC12" s="160">
        <f t="shared" si="33"/>
        <v>0</v>
      </c>
      <c r="AD12" s="307">
        <f t="shared" si="34"/>
        <v>0</v>
      </c>
      <c r="AE12" s="308" t="str">
        <f t="shared" si="35"/>
        <v/>
      </c>
      <c r="AF12" s="163" t="str">
        <f t="shared" si="14"/>
        <v/>
      </c>
      <c r="AG12" s="163" t="str">
        <f t="shared" si="15"/>
        <v/>
      </c>
      <c r="AH12" s="163" t="str">
        <f t="shared" si="16"/>
        <v/>
      </c>
      <c r="AI12" s="290"/>
      <c r="AJ12" s="165" t="str">
        <f t="shared" si="17"/>
        <v/>
      </c>
      <c r="AK12" s="180" t="str">
        <f t="shared" si="18"/>
        <v/>
      </c>
      <c r="AM12" s="179"/>
      <c r="AN12" s="179"/>
      <c r="AP12" s="166" t="str">
        <f t="shared" si="19"/>
        <v/>
      </c>
      <c r="AQ12" s="166" t="str">
        <f t="shared" si="20"/>
        <v/>
      </c>
      <c r="AR12" s="166" t="str">
        <f t="shared" si="21"/>
        <v/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IF($J$1="Active",IF(Salary_Master!B13="","",_xlfn.IFS(Salary_Master!M13="Working",IF(Salary_Master!H13&lt;=DATE(2026,1,31),Salary_Master!B13,""),Salary_Master!M13="Left",IF(Salary_Master!N13&gt;DATE(2025,12,31),Salary_Master!B13,""))),"")</f>
        <v/>
      </c>
      <c r="C13" s="156">
        <v>31</v>
      </c>
      <c r="D13" s="305" t="str">
        <f t="shared" si="22"/>
        <v/>
      </c>
      <c r="E13" s="177"/>
      <c r="F13" s="177"/>
      <c r="G13" s="177"/>
      <c r="H13" s="305" t="str">
        <f t="shared" si="23"/>
        <v/>
      </c>
      <c r="I13" s="177"/>
      <c r="J13" s="177"/>
      <c r="K13" s="306" t="str">
        <f t="shared" si="24"/>
        <v/>
      </c>
      <c r="L13" s="306" t="str">
        <f t="shared" si="25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8"/>
        <v/>
      </c>
      <c r="T13" s="170" t="str">
        <f t="shared" si="9"/>
        <v/>
      </c>
      <c r="U13" s="170" t="str">
        <f t="shared" si="10"/>
        <v/>
      </c>
      <c r="V13" s="262">
        <f t="shared" si="26"/>
        <v>0</v>
      </c>
      <c r="W13" s="160">
        <f t="shared" si="27"/>
        <v>0</v>
      </c>
      <c r="X13" s="160">
        <f t="shared" si="28"/>
        <v>0</v>
      </c>
      <c r="Y13" s="160">
        <f t="shared" si="29"/>
        <v>0</v>
      </c>
      <c r="Z13" s="160">
        <f t="shared" si="30"/>
        <v>0</v>
      </c>
      <c r="AA13" s="160">
        <f t="shared" si="31"/>
        <v>0</v>
      </c>
      <c r="AB13" s="160">
        <f t="shared" si="32"/>
        <v>0</v>
      </c>
      <c r="AC13" s="160">
        <f t="shared" si="33"/>
        <v>0</v>
      </c>
      <c r="AD13" s="307">
        <f t="shared" si="34"/>
        <v>0</v>
      </c>
      <c r="AE13" s="308" t="str">
        <f t="shared" si="35"/>
        <v/>
      </c>
      <c r="AF13" s="163" t="str">
        <f t="shared" si="14"/>
        <v/>
      </c>
      <c r="AG13" s="163" t="str">
        <f t="shared" si="15"/>
        <v/>
      </c>
      <c r="AH13" s="163" t="str">
        <f t="shared" si="16"/>
        <v/>
      </c>
      <c r="AI13" s="290"/>
      <c r="AJ13" s="165" t="str">
        <f t="shared" si="17"/>
        <v/>
      </c>
      <c r="AK13" s="180" t="str">
        <f t="shared" si="18"/>
        <v/>
      </c>
      <c r="AM13" s="179"/>
      <c r="AN13" s="179"/>
      <c r="AP13" s="166" t="str">
        <f t="shared" si="19"/>
        <v/>
      </c>
      <c r="AQ13" s="166" t="str">
        <f t="shared" si="20"/>
        <v/>
      </c>
      <c r="AR13" s="166" t="str">
        <f t="shared" si="21"/>
        <v/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IF($J$1="Active",IF(Salary_Master!B14="","",_xlfn.IFS(Salary_Master!M14="Working",IF(Salary_Master!H14&lt;=DATE(2026,1,31),Salary_Master!B14,""),Salary_Master!M14="Left",IF(Salary_Master!N14&gt;DATE(2025,12,31),Salary_Master!B14,""))),"")</f>
        <v/>
      </c>
      <c r="C14" s="156">
        <v>31</v>
      </c>
      <c r="D14" s="305" t="str">
        <f t="shared" si="22"/>
        <v/>
      </c>
      <c r="E14" s="177"/>
      <c r="F14" s="177"/>
      <c r="G14" s="177"/>
      <c r="H14" s="305" t="str">
        <f t="shared" si="23"/>
        <v/>
      </c>
      <c r="I14" s="177"/>
      <c r="J14" s="177"/>
      <c r="K14" s="306" t="str">
        <f t="shared" si="24"/>
        <v/>
      </c>
      <c r="L14" s="306" t="str">
        <f t="shared" si="25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8"/>
        <v/>
      </c>
      <c r="T14" s="170" t="str">
        <f t="shared" si="9"/>
        <v/>
      </c>
      <c r="U14" s="170" t="str">
        <f t="shared" si="10"/>
        <v/>
      </c>
      <c r="V14" s="262">
        <f t="shared" si="26"/>
        <v>0</v>
      </c>
      <c r="W14" s="160">
        <f t="shared" si="27"/>
        <v>0</v>
      </c>
      <c r="X14" s="160">
        <f t="shared" si="28"/>
        <v>0</v>
      </c>
      <c r="Y14" s="160">
        <f t="shared" si="29"/>
        <v>0</v>
      </c>
      <c r="Z14" s="160">
        <f t="shared" si="30"/>
        <v>0</v>
      </c>
      <c r="AA14" s="160">
        <f t="shared" si="31"/>
        <v>0</v>
      </c>
      <c r="AB14" s="160">
        <f t="shared" si="32"/>
        <v>0</v>
      </c>
      <c r="AC14" s="160">
        <f t="shared" si="33"/>
        <v>0</v>
      </c>
      <c r="AD14" s="307">
        <f t="shared" si="34"/>
        <v>0</v>
      </c>
      <c r="AE14" s="308" t="str">
        <f t="shared" si="35"/>
        <v/>
      </c>
      <c r="AF14" s="163" t="str">
        <f t="shared" si="14"/>
        <v/>
      </c>
      <c r="AG14" s="163" t="str">
        <f t="shared" si="15"/>
        <v/>
      </c>
      <c r="AH14" s="163" t="str">
        <f t="shared" si="16"/>
        <v/>
      </c>
      <c r="AI14" s="290"/>
      <c r="AJ14" s="165" t="str">
        <f t="shared" si="17"/>
        <v/>
      </c>
      <c r="AK14" s="180" t="str">
        <f t="shared" si="18"/>
        <v/>
      </c>
      <c r="AM14" s="179"/>
      <c r="AN14" s="179"/>
      <c r="AP14" s="166" t="str">
        <f t="shared" si="19"/>
        <v/>
      </c>
      <c r="AQ14" s="166" t="str">
        <f t="shared" si="20"/>
        <v/>
      </c>
      <c r="AR14" s="166" t="str">
        <f t="shared" si="21"/>
        <v/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IF($J$1="Active",IF(Salary_Master!B15="","",_xlfn.IFS(Salary_Master!M15="Working",IF(Salary_Master!H15&lt;=DATE(2026,1,31),Salary_Master!B15,""),Salary_Master!M15="Left",IF(Salary_Master!N15&gt;DATE(2025,12,31),Salary_Master!B15,""))),"")</f>
        <v/>
      </c>
      <c r="C15" s="156">
        <v>31</v>
      </c>
      <c r="D15" s="305" t="str">
        <f t="shared" si="22"/>
        <v/>
      </c>
      <c r="E15" s="177"/>
      <c r="F15" s="177"/>
      <c r="G15" s="177"/>
      <c r="H15" s="305" t="str">
        <f t="shared" si="23"/>
        <v/>
      </c>
      <c r="I15" s="177"/>
      <c r="J15" s="177"/>
      <c r="K15" s="306" t="str">
        <f t="shared" si="24"/>
        <v/>
      </c>
      <c r="L15" s="306" t="str">
        <f t="shared" si="25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8"/>
        <v/>
      </c>
      <c r="T15" s="170" t="str">
        <f t="shared" si="9"/>
        <v/>
      </c>
      <c r="U15" s="170" t="str">
        <f t="shared" si="10"/>
        <v/>
      </c>
      <c r="V15" s="262">
        <f t="shared" si="26"/>
        <v>0</v>
      </c>
      <c r="W15" s="160">
        <f t="shared" si="27"/>
        <v>0</v>
      </c>
      <c r="X15" s="160">
        <f t="shared" si="28"/>
        <v>0</v>
      </c>
      <c r="Y15" s="160">
        <f t="shared" si="29"/>
        <v>0</v>
      </c>
      <c r="Z15" s="160">
        <f t="shared" si="30"/>
        <v>0</v>
      </c>
      <c r="AA15" s="160">
        <f t="shared" si="31"/>
        <v>0</v>
      </c>
      <c r="AB15" s="160">
        <f t="shared" si="32"/>
        <v>0</v>
      </c>
      <c r="AC15" s="160">
        <f t="shared" si="33"/>
        <v>0</v>
      </c>
      <c r="AD15" s="307">
        <f t="shared" si="34"/>
        <v>0</v>
      </c>
      <c r="AE15" s="308" t="str">
        <f t="shared" si="35"/>
        <v/>
      </c>
      <c r="AF15" s="163" t="str">
        <f t="shared" si="14"/>
        <v/>
      </c>
      <c r="AG15" s="163" t="str">
        <f t="shared" si="15"/>
        <v/>
      </c>
      <c r="AH15" s="163" t="str">
        <f t="shared" si="16"/>
        <v/>
      </c>
      <c r="AI15" s="290"/>
      <c r="AJ15" s="165" t="str">
        <f t="shared" si="17"/>
        <v/>
      </c>
      <c r="AK15" s="180" t="str">
        <f t="shared" si="18"/>
        <v/>
      </c>
      <c r="AM15" s="179"/>
      <c r="AN15" s="179"/>
      <c r="AP15" s="166" t="str">
        <f t="shared" si="19"/>
        <v/>
      </c>
      <c r="AQ15" s="166" t="str">
        <f t="shared" si="20"/>
        <v/>
      </c>
      <c r="AR15" s="166" t="str">
        <f t="shared" si="21"/>
        <v/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IF($J$1="Active",IF(Salary_Master!B16="","",_xlfn.IFS(Salary_Master!M16="Working",IF(Salary_Master!H16&lt;=DATE(2026,1,31),Salary_Master!B16,""),Salary_Master!M16="Left",IF(Salary_Master!N16&gt;DATE(2025,12,31),Salary_Master!B16,""))),"")</f>
        <v/>
      </c>
      <c r="C16" s="156">
        <v>31</v>
      </c>
      <c r="D16" s="305" t="str">
        <f t="shared" si="22"/>
        <v/>
      </c>
      <c r="E16" s="177"/>
      <c r="F16" s="177"/>
      <c r="G16" s="177"/>
      <c r="H16" s="305" t="str">
        <f t="shared" si="23"/>
        <v/>
      </c>
      <c r="I16" s="177"/>
      <c r="J16" s="177"/>
      <c r="K16" s="306" t="str">
        <f t="shared" si="24"/>
        <v/>
      </c>
      <c r="L16" s="306" t="str">
        <f t="shared" si="25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8"/>
        <v/>
      </c>
      <c r="T16" s="170" t="str">
        <f t="shared" si="9"/>
        <v/>
      </c>
      <c r="U16" s="170" t="str">
        <f t="shared" si="10"/>
        <v/>
      </c>
      <c r="V16" s="262">
        <f t="shared" si="26"/>
        <v>0</v>
      </c>
      <c r="W16" s="160">
        <f t="shared" si="27"/>
        <v>0</v>
      </c>
      <c r="X16" s="160">
        <f t="shared" si="28"/>
        <v>0</v>
      </c>
      <c r="Y16" s="160">
        <f t="shared" si="29"/>
        <v>0</v>
      </c>
      <c r="Z16" s="160">
        <f t="shared" si="30"/>
        <v>0</v>
      </c>
      <c r="AA16" s="160">
        <f t="shared" si="31"/>
        <v>0</v>
      </c>
      <c r="AB16" s="160">
        <f t="shared" si="32"/>
        <v>0</v>
      </c>
      <c r="AC16" s="160">
        <f t="shared" si="33"/>
        <v>0</v>
      </c>
      <c r="AD16" s="307">
        <f t="shared" si="34"/>
        <v>0</v>
      </c>
      <c r="AE16" s="308" t="str">
        <f t="shared" si="35"/>
        <v/>
      </c>
      <c r="AF16" s="163" t="str">
        <f t="shared" si="14"/>
        <v/>
      </c>
      <c r="AG16" s="163" t="str">
        <f t="shared" si="15"/>
        <v/>
      </c>
      <c r="AH16" s="163" t="str">
        <f t="shared" si="16"/>
        <v/>
      </c>
      <c r="AI16" s="290"/>
      <c r="AJ16" s="165" t="str">
        <f t="shared" si="17"/>
        <v/>
      </c>
      <c r="AK16" s="180" t="str">
        <f t="shared" si="18"/>
        <v/>
      </c>
      <c r="AM16" s="179"/>
      <c r="AN16" s="179"/>
      <c r="AP16" s="166" t="str">
        <f t="shared" si="19"/>
        <v/>
      </c>
      <c r="AQ16" s="166" t="str">
        <f t="shared" si="20"/>
        <v/>
      </c>
      <c r="AR16" s="166" t="str">
        <f t="shared" si="21"/>
        <v/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IF($J$1="Active",IF(Salary_Master!B17="","",_xlfn.IFS(Salary_Master!M17="Working",IF(Salary_Master!H17&lt;=DATE(2026,1,31),Salary_Master!B17,""),Salary_Master!M17="Left",IF(Salary_Master!N17&gt;DATE(2025,12,31),Salary_Master!B17,""))),"")</f>
        <v/>
      </c>
      <c r="C17" s="156">
        <v>31</v>
      </c>
      <c r="D17" s="305" t="str">
        <f t="shared" si="22"/>
        <v/>
      </c>
      <c r="E17" s="177"/>
      <c r="F17" s="177"/>
      <c r="G17" s="177"/>
      <c r="H17" s="305" t="str">
        <f t="shared" si="23"/>
        <v/>
      </c>
      <c r="I17" s="177"/>
      <c r="J17" s="177"/>
      <c r="K17" s="306" t="str">
        <f t="shared" si="24"/>
        <v/>
      </c>
      <c r="L17" s="306" t="str">
        <f t="shared" si="25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8"/>
        <v/>
      </c>
      <c r="T17" s="170" t="str">
        <f t="shared" si="9"/>
        <v/>
      </c>
      <c r="U17" s="170" t="str">
        <f t="shared" si="10"/>
        <v/>
      </c>
      <c r="V17" s="262">
        <f t="shared" si="26"/>
        <v>0</v>
      </c>
      <c r="W17" s="160">
        <f t="shared" si="27"/>
        <v>0</v>
      </c>
      <c r="X17" s="160">
        <f t="shared" si="28"/>
        <v>0</v>
      </c>
      <c r="Y17" s="160">
        <f t="shared" si="29"/>
        <v>0</v>
      </c>
      <c r="Z17" s="160">
        <f t="shared" si="30"/>
        <v>0</v>
      </c>
      <c r="AA17" s="160">
        <f t="shared" si="31"/>
        <v>0</v>
      </c>
      <c r="AB17" s="160">
        <f t="shared" si="32"/>
        <v>0</v>
      </c>
      <c r="AC17" s="160">
        <f t="shared" si="33"/>
        <v>0</v>
      </c>
      <c r="AD17" s="307">
        <f t="shared" si="34"/>
        <v>0</v>
      </c>
      <c r="AE17" s="308" t="str">
        <f t="shared" si="35"/>
        <v/>
      </c>
      <c r="AF17" s="163" t="str">
        <f t="shared" si="14"/>
        <v/>
      </c>
      <c r="AG17" s="163" t="str">
        <f t="shared" si="15"/>
        <v/>
      </c>
      <c r="AH17" s="163" t="str">
        <f t="shared" si="16"/>
        <v/>
      </c>
      <c r="AI17" s="290"/>
      <c r="AJ17" s="165" t="str">
        <f t="shared" si="17"/>
        <v/>
      </c>
      <c r="AK17" s="180" t="str">
        <f t="shared" si="18"/>
        <v/>
      </c>
      <c r="AM17" s="179"/>
      <c r="AN17" s="179"/>
      <c r="AP17" s="166" t="str">
        <f t="shared" si="19"/>
        <v/>
      </c>
      <c r="AQ17" s="166" t="str">
        <f t="shared" si="20"/>
        <v/>
      </c>
      <c r="AR17" s="166" t="str">
        <f t="shared" si="21"/>
        <v/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IF($J$1="Active",IF(Salary_Master!B18="","",_xlfn.IFS(Salary_Master!M18="Working",IF(Salary_Master!H18&lt;=DATE(2026,1,31),Salary_Master!B18,""),Salary_Master!M18="Left",IF(Salary_Master!N18&gt;DATE(2025,12,31),Salary_Master!B18,""))),"")</f>
        <v/>
      </c>
      <c r="C18" s="156">
        <v>31</v>
      </c>
      <c r="D18" s="305" t="str">
        <f t="shared" si="22"/>
        <v/>
      </c>
      <c r="E18" s="177"/>
      <c r="F18" s="177"/>
      <c r="G18" s="177"/>
      <c r="H18" s="305" t="str">
        <f t="shared" si="23"/>
        <v/>
      </c>
      <c r="I18" s="177"/>
      <c r="J18" s="177"/>
      <c r="K18" s="306" t="str">
        <f t="shared" si="24"/>
        <v/>
      </c>
      <c r="L18" s="306" t="str">
        <f t="shared" si="25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8"/>
        <v/>
      </c>
      <c r="T18" s="170" t="str">
        <f t="shared" si="9"/>
        <v/>
      </c>
      <c r="U18" s="170" t="str">
        <f t="shared" si="10"/>
        <v/>
      </c>
      <c r="V18" s="262">
        <f t="shared" si="26"/>
        <v>0</v>
      </c>
      <c r="W18" s="160">
        <f t="shared" si="27"/>
        <v>0</v>
      </c>
      <c r="X18" s="160">
        <f t="shared" si="28"/>
        <v>0</v>
      </c>
      <c r="Y18" s="160">
        <f t="shared" si="29"/>
        <v>0</v>
      </c>
      <c r="Z18" s="160">
        <f t="shared" si="30"/>
        <v>0</v>
      </c>
      <c r="AA18" s="160">
        <f t="shared" si="31"/>
        <v>0</v>
      </c>
      <c r="AB18" s="160">
        <f t="shared" si="32"/>
        <v>0</v>
      </c>
      <c r="AC18" s="160">
        <f t="shared" si="33"/>
        <v>0</v>
      </c>
      <c r="AD18" s="307">
        <f t="shared" si="34"/>
        <v>0</v>
      </c>
      <c r="AE18" s="308" t="str">
        <f t="shared" si="35"/>
        <v/>
      </c>
      <c r="AF18" s="163" t="str">
        <f t="shared" si="14"/>
        <v/>
      </c>
      <c r="AG18" s="163" t="str">
        <f t="shared" si="15"/>
        <v/>
      </c>
      <c r="AH18" s="163" t="str">
        <f t="shared" si="16"/>
        <v/>
      </c>
      <c r="AI18" s="290"/>
      <c r="AJ18" s="165" t="str">
        <f t="shared" si="17"/>
        <v/>
      </c>
      <c r="AK18" s="180" t="str">
        <f t="shared" si="18"/>
        <v/>
      </c>
      <c r="AM18" s="179"/>
      <c r="AN18" s="179"/>
      <c r="AP18" s="166" t="str">
        <f t="shared" si="19"/>
        <v/>
      </c>
      <c r="AQ18" s="166" t="str">
        <f t="shared" si="20"/>
        <v/>
      </c>
      <c r="AR18" s="166" t="str">
        <f t="shared" si="21"/>
        <v/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IF($J$1="Active",IF(Salary_Master!B19="","",_xlfn.IFS(Salary_Master!M19="Working",IF(Salary_Master!H19&lt;=DATE(2026,1,31),Salary_Master!B19,""),Salary_Master!M19="Left",IF(Salary_Master!N19&gt;DATE(2025,12,31),Salary_Master!B19,""))),"")</f>
        <v/>
      </c>
      <c r="C19" s="156">
        <v>31</v>
      </c>
      <c r="D19" s="305" t="str">
        <f t="shared" si="22"/>
        <v/>
      </c>
      <c r="E19" s="177"/>
      <c r="F19" s="177"/>
      <c r="G19" s="177"/>
      <c r="H19" s="305" t="str">
        <f t="shared" si="23"/>
        <v/>
      </c>
      <c r="I19" s="177"/>
      <c r="J19" s="177"/>
      <c r="K19" s="306" t="str">
        <f t="shared" si="24"/>
        <v/>
      </c>
      <c r="L19" s="306" t="str">
        <f t="shared" si="25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8"/>
        <v/>
      </c>
      <c r="T19" s="170" t="str">
        <f t="shared" si="9"/>
        <v/>
      </c>
      <c r="U19" s="170" t="str">
        <f t="shared" si="10"/>
        <v/>
      </c>
      <c r="V19" s="262">
        <f t="shared" si="26"/>
        <v>0</v>
      </c>
      <c r="W19" s="160">
        <f t="shared" si="27"/>
        <v>0</v>
      </c>
      <c r="X19" s="160">
        <f t="shared" si="28"/>
        <v>0</v>
      </c>
      <c r="Y19" s="160">
        <f t="shared" si="29"/>
        <v>0</v>
      </c>
      <c r="Z19" s="160">
        <f t="shared" si="30"/>
        <v>0</v>
      </c>
      <c r="AA19" s="160">
        <f t="shared" si="31"/>
        <v>0</v>
      </c>
      <c r="AB19" s="160">
        <f t="shared" si="32"/>
        <v>0</v>
      </c>
      <c r="AC19" s="160">
        <f t="shared" si="33"/>
        <v>0</v>
      </c>
      <c r="AD19" s="307">
        <f t="shared" si="34"/>
        <v>0</v>
      </c>
      <c r="AE19" s="308" t="str">
        <f t="shared" si="35"/>
        <v/>
      </c>
      <c r="AF19" s="163" t="str">
        <f t="shared" si="14"/>
        <v/>
      </c>
      <c r="AG19" s="163" t="str">
        <f t="shared" si="15"/>
        <v/>
      </c>
      <c r="AH19" s="163" t="str">
        <f t="shared" si="16"/>
        <v/>
      </c>
      <c r="AI19" s="290"/>
      <c r="AJ19" s="165" t="str">
        <f t="shared" si="17"/>
        <v/>
      </c>
      <c r="AK19" s="180" t="str">
        <f t="shared" si="18"/>
        <v/>
      </c>
      <c r="AM19" s="179"/>
      <c r="AN19" s="179"/>
      <c r="AP19" s="166" t="str">
        <f t="shared" si="19"/>
        <v/>
      </c>
      <c r="AQ19" s="166" t="str">
        <f t="shared" si="20"/>
        <v/>
      </c>
      <c r="AR19" s="166" t="str">
        <f t="shared" si="21"/>
        <v/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IF($J$1="Active",IF(Salary_Master!B20="","",_xlfn.IFS(Salary_Master!M20="Working",IF(Salary_Master!H20&lt;=DATE(2026,1,31),Salary_Master!B20,""),Salary_Master!M20="Left",IF(Salary_Master!N20&gt;DATE(2025,12,31),Salary_Master!B20,""))),"")</f>
        <v/>
      </c>
      <c r="C20" s="156">
        <v>31</v>
      </c>
      <c r="D20" s="305" t="str">
        <f t="shared" si="22"/>
        <v/>
      </c>
      <c r="E20" s="177"/>
      <c r="F20" s="177"/>
      <c r="G20" s="177"/>
      <c r="H20" s="305" t="str">
        <f t="shared" si="23"/>
        <v/>
      </c>
      <c r="I20" s="177"/>
      <c r="J20" s="177"/>
      <c r="K20" s="306" t="str">
        <f t="shared" si="24"/>
        <v/>
      </c>
      <c r="L20" s="306" t="str">
        <f t="shared" si="25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8"/>
        <v/>
      </c>
      <c r="T20" s="170" t="str">
        <f t="shared" si="9"/>
        <v/>
      </c>
      <c r="U20" s="170" t="str">
        <f t="shared" si="10"/>
        <v/>
      </c>
      <c r="V20" s="262">
        <f t="shared" si="26"/>
        <v>0</v>
      </c>
      <c r="W20" s="160">
        <f t="shared" si="27"/>
        <v>0</v>
      </c>
      <c r="X20" s="160">
        <f t="shared" si="28"/>
        <v>0</v>
      </c>
      <c r="Y20" s="160">
        <f t="shared" si="29"/>
        <v>0</v>
      </c>
      <c r="Z20" s="160">
        <f t="shared" si="30"/>
        <v>0</v>
      </c>
      <c r="AA20" s="160">
        <f t="shared" si="31"/>
        <v>0</v>
      </c>
      <c r="AB20" s="160">
        <f t="shared" si="32"/>
        <v>0</v>
      </c>
      <c r="AC20" s="160">
        <f t="shared" si="33"/>
        <v>0</v>
      </c>
      <c r="AD20" s="307">
        <f t="shared" si="34"/>
        <v>0</v>
      </c>
      <c r="AE20" s="308" t="str">
        <f t="shared" si="35"/>
        <v/>
      </c>
      <c r="AF20" s="163" t="str">
        <f t="shared" si="14"/>
        <v/>
      </c>
      <c r="AG20" s="163" t="str">
        <f t="shared" si="15"/>
        <v/>
      </c>
      <c r="AH20" s="163" t="str">
        <f t="shared" si="16"/>
        <v/>
      </c>
      <c r="AI20" s="290"/>
      <c r="AJ20" s="165" t="str">
        <f t="shared" si="17"/>
        <v/>
      </c>
      <c r="AK20" s="180" t="str">
        <f t="shared" si="18"/>
        <v/>
      </c>
      <c r="AM20" s="179"/>
      <c r="AN20" s="179"/>
      <c r="AP20" s="166" t="str">
        <f t="shared" si="19"/>
        <v/>
      </c>
      <c r="AQ20" s="166" t="str">
        <f t="shared" si="20"/>
        <v/>
      </c>
      <c r="AR20" s="166" t="str">
        <f t="shared" si="21"/>
        <v/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IF($J$1="Active",IF(Salary_Master!B21="","",_xlfn.IFS(Salary_Master!M21="Working",IF(Salary_Master!H21&lt;=DATE(2026,1,31),Salary_Master!B21,""),Salary_Master!M21="Left",IF(Salary_Master!N21&gt;DATE(2025,12,31),Salary_Master!B21,""))),"")</f>
        <v/>
      </c>
      <c r="C21" s="156">
        <v>31</v>
      </c>
      <c r="D21" s="305" t="str">
        <f t="shared" si="22"/>
        <v/>
      </c>
      <c r="E21" s="177"/>
      <c r="F21" s="177"/>
      <c r="G21" s="177"/>
      <c r="H21" s="305" t="str">
        <f t="shared" si="23"/>
        <v/>
      </c>
      <c r="I21" s="177"/>
      <c r="J21" s="177"/>
      <c r="K21" s="306" t="str">
        <f t="shared" si="24"/>
        <v/>
      </c>
      <c r="L21" s="306" t="str">
        <f t="shared" si="25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8"/>
        <v/>
      </c>
      <c r="T21" s="170" t="str">
        <f t="shared" si="9"/>
        <v/>
      </c>
      <c r="U21" s="170" t="str">
        <f t="shared" si="10"/>
        <v/>
      </c>
      <c r="V21" s="262">
        <f t="shared" si="26"/>
        <v>0</v>
      </c>
      <c r="W21" s="160">
        <f t="shared" si="27"/>
        <v>0</v>
      </c>
      <c r="X21" s="160">
        <f t="shared" si="28"/>
        <v>0</v>
      </c>
      <c r="Y21" s="160">
        <f t="shared" si="29"/>
        <v>0</v>
      </c>
      <c r="Z21" s="160">
        <f t="shared" si="30"/>
        <v>0</v>
      </c>
      <c r="AA21" s="160">
        <f t="shared" si="31"/>
        <v>0</v>
      </c>
      <c r="AB21" s="160">
        <f t="shared" si="32"/>
        <v>0</v>
      </c>
      <c r="AC21" s="160">
        <f t="shared" si="33"/>
        <v>0</v>
      </c>
      <c r="AD21" s="307">
        <f t="shared" si="34"/>
        <v>0</v>
      </c>
      <c r="AE21" s="308" t="str">
        <f t="shared" si="35"/>
        <v/>
      </c>
      <c r="AF21" s="163" t="str">
        <f t="shared" si="14"/>
        <v/>
      </c>
      <c r="AG21" s="163" t="str">
        <f t="shared" si="15"/>
        <v/>
      </c>
      <c r="AH21" s="163" t="str">
        <f t="shared" si="16"/>
        <v/>
      </c>
      <c r="AI21" s="290"/>
      <c r="AJ21" s="165" t="str">
        <f t="shared" si="17"/>
        <v/>
      </c>
      <c r="AK21" s="180" t="str">
        <f t="shared" si="18"/>
        <v/>
      </c>
      <c r="AM21" s="179"/>
      <c r="AN21" s="179"/>
      <c r="AP21" s="166" t="str">
        <f t="shared" si="19"/>
        <v/>
      </c>
      <c r="AQ21" s="166" t="str">
        <f t="shared" si="20"/>
        <v/>
      </c>
      <c r="AR21" s="166" t="str">
        <f t="shared" si="21"/>
        <v/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IF($J$1="Active",IF(Salary_Master!B22="","",_xlfn.IFS(Salary_Master!M22="Working",IF(Salary_Master!H22&lt;=DATE(2026,1,31),Salary_Master!B22,""),Salary_Master!M22="Left",IF(Salary_Master!N22&gt;DATE(2025,12,31),Salary_Master!B22,""))),"")</f>
        <v/>
      </c>
      <c r="C22" s="156">
        <v>31</v>
      </c>
      <c r="D22" s="305" t="str">
        <f t="shared" si="22"/>
        <v/>
      </c>
      <c r="E22" s="177"/>
      <c r="F22" s="177"/>
      <c r="G22" s="177"/>
      <c r="H22" s="305" t="str">
        <f t="shared" si="23"/>
        <v/>
      </c>
      <c r="I22" s="177"/>
      <c r="J22" s="177"/>
      <c r="K22" s="306" t="str">
        <f t="shared" si="24"/>
        <v/>
      </c>
      <c r="L22" s="306" t="str">
        <f t="shared" si="25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8"/>
        <v/>
      </c>
      <c r="T22" s="170" t="str">
        <f t="shared" si="9"/>
        <v/>
      </c>
      <c r="U22" s="170" t="str">
        <f t="shared" si="10"/>
        <v/>
      </c>
      <c r="V22" s="262">
        <f t="shared" si="26"/>
        <v>0</v>
      </c>
      <c r="W22" s="160">
        <f t="shared" si="27"/>
        <v>0</v>
      </c>
      <c r="X22" s="160">
        <f t="shared" si="28"/>
        <v>0</v>
      </c>
      <c r="Y22" s="160">
        <f t="shared" si="29"/>
        <v>0</v>
      </c>
      <c r="Z22" s="160">
        <f t="shared" si="30"/>
        <v>0</v>
      </c>
      <c r="AA22" s="160">
        <f t="shared" si="31"/>
        <v>0</v>
      </c>
      <c r="AB22" s="160">
        <f t="shared" si="32"/>
        <v>0</v>
      </c>
      <c r="AC22" s="160">
        <f t="shared" si="33"/>
        <v>0</v>
      </c>
      <c r="AD22" s="307">
        <f t="shared" si="34"/>
        <v>0</v>
      </c>
      <c r="AE22" s="308" t="str">
        <f t="shared" si="35"/>
        <v/>
      </c>
      <c r="AF22" s="163" t="str">
        <f t="shared" si="14"/>
        <v/>
      </c>
      <c r="AG22" s="163" t="str">
        <f t="shared" si="15"/>
        <v/>
      </c>
      <c r="AH22" s="163" t="str">
        <f t="shared" si="16"/>
        <v/>
      </c>
      <c r="AI22" s="290"/>
      <c r="AJ22" s="165" t="str">
        <f t="shared" si="17"/>
        <v/>
      </c>
      <c r="AK22" s="180" t="str">
        <f t="shared" si="18"/>
        <v/>
      </c>
      <c r="AM22" s="179"/>
      <c r="AN22" s="179"/>
      <c r="AP22" s="166" t="str">
        <f t="shared" si="19"/>
        <v/>
      </c>
      <c r="AQ22" s="166" t="str">
        <f t="shared" si="20"/>
        <v/>
      </c>
      <c r="AR22" s="166" t="str">
        <f t="shared" si="21"/>
        <v/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IF($J$1="Active",IF(Salary_Master!B23="","",_xlfn.IFS(Salary_Master!M23="Working",IF(Salary_Master!H23&lt;=DATE(2026,1,31),Salary_Master!B23,""),Salary_Master!M23="Left",IF(Salary_Master!N23&gt;DATE(2025,12,31),Salary_Master!B23,""))),"")</f>
        <v/>
      </c>
      <c r="C23" s="156">
        <v>31</v>
      </c>
      <c r="D23" s="305" t="str">
        <f t="shared" si="22"/>
        <v/>
      </c>
      <c r="E23" s="177"/>
      <c r="F23" s="177"/>
      <c r="G23" s="177"/>
      <c r="H23" s="305" t="str">
        <f t="shared" si="23"/>
        <v/>
      </c>
      <c r="I23" s="177"/>
      <c r="J23" s="177"/>
      <c r="K23" s="306" t="str">
        <f t="shared" si="24"/>
        <v/>
      </c>
      <c r="L23" s="306" t="str">
        <f t="shared" si="25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8"/>
        <v/>
      </c>
      <c r="T23" s="170" t="str">
        <f t="shared" si="9"/>
        <v/>
      </c>
      <c r="U23" s="170" t="str">
        <f t="shared" si="10"/>
        <v/>
      </c>
      <c r="V23" s="262">
        <f t="shared" si="26"/>
        <v>0</v>
      </c>
      <c r="W23" s="160">
        <f t="shared" si="27"/>
        <v>0</v>
      </c>
      <c r="X23" s="160">
        <f t="shared" si="28"/>
        <v>0</v>
      </c>
      <c r="Y23" s="160">
        <f t="shared" si="29"/>
        <v>0</v>
      </c>
      <c r="Z23" s="160">
        <f t="shared" si="30"/>
        <v>0</v>
      </c>
      <c r="AA23" s="160">
        <f t="shared" si="31"/>
        <v>0</v>
      </c>
      <c r="AB23" s="160">
        <f t="shared" si="32"/>
        <v>0</v>
      </c>
      <c r="AC23" s="160">
        <f t="shared" si="33"/>
        <v>0</v>
      </c>
      <c r="AD23" s="307">
        <f t="shared" si="34"/>
        <v>0</v>
      </c>
      <c r="AE23" s="308" t="str">
        <f t="shared" si="35"/>
        <v/>
      </c>
      <c r="AF23" s="163" t="str">
        <f t="shared" si="14"/>
        <v/>
      </c>
      <c r="AG23" s="163" t="str">
        <f t="shared" si="15"/>
        <v/>
      </c>
      <c r="AH23" s="163" t="str">
        <f t="shared" si="16"/>
        <v/>
      </c>
      <c r="AI23" s="290"/>
      <c r="AJ23" s="165" t="str">
        <f t="shared" si="17"/>
        <v/>
      </c>
      <c r="AK23" s="180" t="str">
        <f t="shared" si="18"/>
        <v/>
      </c>
      <c r="AM23" s="179"/>
      <c r="AN23" s="179"/>
      <c r="AP23" s="166" t="str">
        <f t="shared" si="19"/>
        <v/>
      </c>
      <c r="AQ23" s="166" t="str">
        <f t="shared" si="20"/>
        <v/>
      </c>
      <c r="AR23" s="166" t="str">
        <f t="shared" si="21"/>
        <v/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IF($J$1="Active",IF(Salary_Master!B24="","",_xlfn.IFS(Salary_Master!M24="Working",IF(Salary_Master!H24&lt;=DATE(2026,1,31),Salary_Master!B24,""),Salary_Master!M24="Left",IF(Salary_Master!N24&gt;DATE(2025,12,31),Salary_Master!B24,""))),"")</f>
        <v/>
      </c>
      <c r="C24" s="156">
        <v>31</v>
      </c>
      <c r="D24" s="305" t="str">
        <f t="shared" si="22"/>
        <v/>
      </c>
      <c r="E24" s="177"/>
      <c r="F24" s="177"/>
      <c r="G24" s="177"/>
      <c r="H24" s="305" t="str">
        <f t="shared" si="23"/>
        <v/>
      </c>
      <c r="I24" s="177"/>
      <c r="J24" s="177"/>
      <c r="K24" s="306" t="str">
        <f t="shared" si="24"/>
        <v/>
      </c>
      <c r="L24" s="306" t="str">
        <f t="shared" si="25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8"/>
        <v/>
      </c>
      <c r="T24" s="170" t="str">
        <f t="shared" si="9"/>
        <v/>
      </c>
      <c r="U24" s="170" t="str">
        <f t="shared" si="10"/>
        <v/>
      </c>
      <c r="V24" s="262">
        <f t="shared" si="26"/>
        <v>0</v>
      </c>
      <c r="W24" s="160">
        <f t="shared" si="27"/>
        <v>0</v>
      </c>
      <c r="X24" s="160">
        <f t="shared" si="28"/>
        <v>0</v>
      </c>
      <c r="Y24" s="160">
        <f t="shared" si="29"/>
        <v>0</v>
      </c>
      <c r="Z24" s="160">
        <f t="shared" si="30"/>
        <v>0</v>
      </c>
      <c r="AA24" s="160">
        <f t="shared" si="31"/>
        <v>0</v>
      </c>
      <c r="AB24" s="160">
        <f t="shared" si="32"/>
        <v>0</v>
      </c>
      <c r="AC24" s="160">
        <f t="shared" si="33"/>
        <v>0</v>
      </c>
      <c r="AD24" s="307">
        <f t="shared" si="34"/>
        <v>0</v>
      </c>
      <c r="AE24" s="308" t="str">
        <f t="shared" si="35"/>
        <v/>
      </c>
      <c r="AF24" s="163" t="str">
        <f t="shared" si="14"/>
        <v/>
      </c>
      <c r="AG24" s="163" t="str">
        <f t="shared" si="15"/>
        <v/>
      </c>
      <c r="AH24" s="163" t="str">
        <f t="shared" si="16"/>
        <v/>
      </c>
      <c r="AI24" s="290"/>
      <c r="AJ24" s="165" t="str">
        <f t="shared" si="17"/>
        <v/>
      </c>
      <c r="AK24" s="180" t="str">
        <f t="shared" si="18"/>
        <v/>
      </c>
      <c r="AM24" s="179"/>
      <c r="AN24" s="179"/>
      <c r="AP24" s="166" t="str">
        <f t="shared" si="19"/>
        <v/>
      </c>
      <c r="AQ24" s="166" t="str">
        <f t="shared" si="20"/>
        <v/>
      </c>
      <c r="AR24" s="166" t="str">
        <f t="shared" si="21"/>
        <v/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IF($J$1="Active",IF(Salary_Master!B25="","",_xlfn.IFS(Salary_Master!M25="Working",IF(Salary_Master!H25&lt;=DATE(2026,1,31),Salary_Master!B25,""),Salary_Master!M25="Left",IF(Salary_Master!N25&gt;DATE(2025,12,31),Salary_Master!B25,""))),"")</f>
        <v/>
      </c>
      <c r="C25" s="156">
        <v>31</v>
      </c>
      <c r="D25" s="305" t="str">
        <f t="shared" si="22"/>
        <v/>
      </c>
      <c r="E25" s="177"/>
      <c r="F25" s="177"/>
      <c r="G25" s="177"/>
      <c r="H25" s="305" t="str">
        <f t="shared" si="23"/>
        <v/>
      </c>
      <c r="I25" s="177"/>
      <c r="J25" s="177"/>
      <c r="K25" s="306" t="str">
        <f t="shared" si="24"/>
        <v/>
      </c>
      <c r="L25" s="306" t="str">
        <f t="shared" si="25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8"/>
        <v/>
      </c>
      <c r="T25" s="170" t="str">
        <f t="shared" si="9"/>
        <v/>
      </c>
      <c r="U25" s="170" t="str">
        <f t="shared" si="10"/>
        <v/>
      </c>
      <c r="V25" s="262">
        <f t="shared" si="26"/>
        <v>0</v>
      </c>
      <c r="W25" s="160">
        <f t="shared" si="27"/>
        <v>0</v>
      </c>
      <c r="X25" s="160">
        <f t="shared" si="28"/>
        <v>0</v>
      </c>
      <c r="Y25" s="160">
        <f t="shared" si="29"/>
        <v>0</v>
      </c>
      <c r="Z25" s="160">
        <f t="shared" si="30"/>
        <v>0</v>
      </c>
      <c r="AA25" s="160">
        <f t="shared" si="31"/>
        <v>0</v>
      </c>
      <c r="AB25" s="160">
        <f t="shared" si="32"/>
        <v>0</v>
      </c>
      <c r="AC25" s="160">
        <f t="shared" si="33"/>
        <v>0</v>
      </c>
      <c r="AD25" s="307">
        <f t="shared" si="34"/>
        <v>0</v>
      </c>
      <c r="AE25" s="308" t="str">
        <f t="shared" si="35"/>
        <v/>
      </c>
      <c r="AF25" s="163" t="str">
        <f t="shared" si="14"/>
        <v/>
      </c>
      <c r="AG25" s="163" t="str">
        <f t="shared" si="15"/>
        <v/>
      </c>
      <c r="AH25" s="163" t="str">
        <f t="shared" si="16"/>
        <v/>
      </c>
      <c r="AI25" s="290"/>
      <c r="AJ25" s="165" t="str">
        <f t="shared" si="17"/>
        <v/>
      </c>
      <c r="AK25" s="180" t="str">
        <f t="shared" si="18"/>
        <v/>
      </c>
      <c r="AM25" s="179"/>
      <c r="AN25" s="179"/>
      <c r="AP25" s="166" t="str">
        <f t="shared" si="19"/>
        <v/>
      </c>
      <c r="AQ25" s="166" t="str">
        <f t="shared" si="20"/>
        <v/>
      </c>
      <c r="AR25" s="166" t="str">
        <f t="shared" si="21"/>
        <v/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IF($J$1="Active",IF(Salary_Master!B26="","",_xlfn.IFS(Salary_Master!M26="Working",IF(Salary_Master!H26&lt;=DATE(2026,1,31),Salary_Master!B26,""),Salary_Master!M26="Left",IF(Salary_Master!N26&gt;DATE(2025,12,31),Salary_Master!B26,""))),"")</f>
        <v/>
      </c>
      <c r="C26" s="156">
        <v>31</v>
      </c>
      <c r="D26" s="305" t="str">
        <f t="shared" si="22"/>
        <v/>
      </c>
      <c r="E26" s="177"/>
      <c r="F26" s="177"/>
      <c r="G26" s="177"/>
      <c r="H26" s="305" t="str">
        <f t="shared" si="23"/>
        <v/>
      </c>
      <c r="I26" s="177"/>
      <c r="J26" s="177"/>
      <c r="K26" s="306" t="str">
        <f t="shared" si="24"/>
        <v/>
      </c>
      <c r="L26" s="306" t="str">
        <f t="shared" si="25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8"/>
        <v/>
      </c>
      <c r="T26" s="170" t="str">
        <f t="shared" si="9"/>
        <v/>
      </c>
      <c r="U26" s="170" t="str">
        <f t="shared" si="10"/>
        <v/>
      </c>
      <c r="V26" s="262">
        <f t="shared" si="26"/>
        <v>0</v>
      </c>
      <c r="W26" s="160">
        <f t="shared" si="27"/>
        <v>0</v>
      </c>
      <c r="X26" s="160">
        <f t="shared" si="28"/>
        <v>0</v>
      </c>
      <c r="Y26" s="160">
        <f t="shared" si="29"/>
        <v>0</v>
      </c>
      <c r="Z26" s="160">
        <f t="shared" si="30"/>
        <v>0</v>
      </c>
      <c r="AA26" s="160">
        <f t="shared" si="31"/>
        <v>0</v>
      </c>
      <c r="AB26" s="160">
        <f t="shared" si="32"/>
        <v>0</v>
      </c>
      <c r="AC26" s="160">
        <f t="shared" si="33"/>
        <v>0</v>
      </c>
      <c r="AD26" s="307">
        <f t="shared" si="34"/>
        <v>0</v>
      </c>
      <c r="AE26" s="308" t="str">
        <f t="shared" si="35"/>
        <v/>
      </c>
      <c r="AF26" s="163" t="str">
        <f t="shared" si="14"/>
        <v/>
      </c>
      <c r="AG26" s="163" t="str">
        <f t="shared" si="15"/>
        <v/>
      </c>
      <c r="AH26" s="163" t="str">
        <f t="shared" si="16"/>
        <v/>
      </c>
      <c r="AI26" s="290"/>
      <c r="AJ26" s="165" t="str">
        <f t="shared" si="17"/>
        <v/>
      </c>
      <c r="AK26" s="180" t="str">
        <f t="shared" si="18"/>
        <v/>
      </c>
      <c r="AM26" s="179"/>
      <c r="AN26" s="179"/>
      <c r="AP26" s="166" t="str">
        <f t="shared" si="19"/>
        <v/>
      </c>
      <c r="AQ26" s="166" t="str">
        <f t="shared" si="20"/>
        <v/>
      </c>
      <c r="AR26" s="166" t="str">
        <f t="shared" si="21"/>
        <v/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IF($J$1="Active",IF(Salary_Master!B27="","",_xlfn.IFS(Salary_Master!M27="Working",IF(Salary_Master!H27&lt;=DATE(2026,1,31),Salary_Master!B27,""),Salary_Master!M27="Left",IF(Salary_Master!N27&gt;DATE(2025,12,31),Salary_Master!B27,""))),"")</f>
        <v/>
      </c>
      <c r="C27" s="156">
        <v>31</v>
      </c>
      <c r="D27" s="305" t="str">
        <f t="shared" si="22"/>
        <v/>
      </c>
      <c r="E27" s="177"/>
      <c r="F27" s="177"/>
      <c r="G27" s="177"/>
      <c r="H27" s="305" t="str">
        <f t="shared" si="23"/>
        <v/>
      </c>
      <c r="I27" s="177"/>
      <c r="J27" s="177"/>
      <c r="K27" s="306" t="str">
        <f t="shared" si="24"/>
        <v/>
      </c>
      <c r="L27" s="306" t="str">
        <f t="shared" si="25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8"/>
        <v/>
      </c>
      <c r="T27" s="170" t="str">
        <f t="shared" si="9"/>
        <v/>
      </c>
      <c r="U27" s="170" t="str">
        <f t="shared" si="10"/>
        <v/>
      </c>
      <c r="V27" s="262">
        <f t="shared" si="26"/>
        <v>0</v>
      </c>
      <c r="W27" s="160">
        <f t="shared" si="27"/>
        <v>0</v>
      </c>
      <c r="X27" s="160">
        <f t="shared" si="28"/>
        <v>0</v>
      </c>
      <c r="Y27" s="160">
        <f t="shared" si="29"/>
        <v>0</v>
      </c>
      <c r="Z27" s="160">
        <f t="shared" si="30"/>
        <v>0</v>
      </c>
      <c r="AA27" s="160">
        <f t="shared" si="31"/>
        <v>0</v>
      </c>
      <c r="AB27" s="160">
        <f t="shared" si="32"/>
        <v>0</v>
      </c>
      <c r="AC27" s="160">
        <f t="shared" si="33"/>
        <v>0</v>
      </c>
      <c r="AD27" s="307">
        <f t="shared" si="34"/>
        <v>0</v>
      </c>
      <c r="AE27" s="308" t="str">
        <f t="shared" si="35"/>
        <v/>
      </c>
      <c r="AF27" s="163" t="str">
        <f t="shared" si="14"/>
        <v/>
      </c>
      <c r="AG27" s="163" t="str">
        <f t="shared" si="15"/>
        <v/>
      </c>
      <c r="AH27" s="163" t="str">
        <f t="shared" si="16"/>
        <v/>
      </c>
      <c r="AI27" s="290"/>
      <c r="AJ27" s="165" t="str">
        <f t="shared" si="17"/>
        <v/>
      </c>
      <c r="AK27" s="180" t="str">
        <f t="shared" si="18"/>
        <v/>
      </c>
      <c r="AM27" s="179"/>
      <c r="AN27" s="179"/>
      <c r="AP27" s="166" t="str">
        <f t="shared" si="19"/>
        <v/>
      </c>
      <c r="AQ27" s="166" t="str">
        <f t="shared" si="20"/>
        <v/>
      </c>
      <c r="AR27" s="166" t="str">
        <f t="shared" si="21"/>
        <v/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IF($J$1="Active",IF(Salary_Master!B28="","",_xlfn.IFS(Salary_Master!M28="Working",IF(Salary_Master!H28&lt;=DATE(2026,1,31),Salary_Master!B28,""),Salary_Master!M28="Left",IF(Salary_Master!N28&gt;DATE(2025,12,31),Salary_Master!B28,""))),"")</f>
        <v/>
      </c>
      <c r="C28" s="156">
        <v>31</v>
      </c>
      <c r="D28" s="305" t="str">
        <f t="shared" si="22"/>
        <v/>
      </c>
      <c r="E28" s="177"/>
      <c r="F28" s="177"/>
      <c r="G28" s="177"/>
      <c r="H28" s="305" t="str">
        <f t="shared" si="23"/>
        <v/>
      </c>
      <c r="I28" s="177"/>
      <c r="J28" s="177"/>
      <c r="K28" s="306" t="str">
        <f t="shared" si="24"/>
        <v/>
      </c>
      <c r="L28" s="306" t="str">
        <f t="shared" si="25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8"/>
        <v/>
      </c>
      <c r="T28" s="170" t="str">
        <f t="shared" si="9"/>
        <v/>
      </c>
      <c r="U28" s="170" t="str">
        <f t="shared" si="10"/>
        <v/>
      </c>
      <c r="V28" s="262">
        <f t="shared" si="26"/>
        <v>0</v>
      </c>
      <c r="W28" s="160">
        <f t="shared" si="27"/>
        <v>0</v>
      </c>
      <c r="X28" s="160">
        <f t="shared" si="28"/>
        <v>0</v>
      </c>
      <c r="Y28" s="160">
        <f t="shared" si="29"/>
        <v>0</v>
      </c>
      <c r="Z28" s="160">
        <f t="shared" si="30"/>
        <v>0</v>
      </c>
      <c r="AA28" s="160">
        <f t="shared" si="31"/>
        <v>0</v>
      </c>
      <c r="AB28" s="160">
        <f t="shared" si="32"/>
        <v>0</v>
      </c>
      <c r="AC28" s="160">
        <f t="shared" si="33"/>
        <v>0</v>
      </c>
      <c r="AD28" s="307">
        <f t="shared" si="34"/>
        <v>0</v>
      </c>
      <c r="AE28" s="308" t="str">
        <f t="shared" si="35"/>
        <v/>
      </c>
      <c r="AF28" s="163" t="str">
        <f t="shared" si="14"/>
        <v/>
      </c>
      <c r="AG28" s="163" t="str">
        <f t="shared" si="15"/>
        <v/>
      </c>
      <c r="AH28" s="163" t="str">
        <f t="shared" si="16"/>
        <v/>
      </c>
      <c r="AI28" s="290"/>
      <c r="AJ28" s="165" t="str">
        <f t="shared" si="17"/>
        <v/>
      </c>
      <c r="AK28" s="180" t="str">
        <f t="shared" si="18"/>
        <v/>
      </c>
      <c r="AM28" s="179"/>
      <c r="AN28" s="179"/>
      <c r="AP28" s="166" t="str">
        <f t="shared" si="19"/>
        <v/>
      </c>
      <c r="AQ28" s="166" t="str">
        <f t="shared" si="20"/>
        <v/>
      </c>
      <c r="AR28" s="166" t="str">
        <f t="shared" si="21"/>
        <v/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IF($J$1="Active",IF(Salary_Master!B29="","",_xlfn.IFS(Salary_Master!M29="Working",IF(Salary_Master!H29&lt;=DATE(2026,1,31),Salary_Master!B29,""),Salary_Master!M29="Left",IF(Salary_Master!N29&gt;DATE(2025,12,31),Salary_Master!B29,""))),"")</f>
        <v/>
      </c>
      <c r="C29" s="156">
        <v>31</v>
      </c>
      <c r="D29" s="305" t="str">
        <f t="shared" si="22"/>
        <v/>
      </c>
      <c r="E29" s="177"/>
      <c r="F29" s="177"/>
      <c r="G29" s="177"/>
      <c r="H29" s="305" t="str">
        <f t="shared" si="23"/>
        <v/>
      </c>
      <c r="I29" s="177"/>
      <c r="J29" s="177"/>
      <c r="K29" s="306" t="str">
        <f t="shared" si="24"/>
        <v/>
      </c>
      <c r="L29" s="306" t="str">
        <f t="shared" si="25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8"/>
        <v/>
      </c>
      <c r="T29" s="170" t="str">
        <f t="shared" si="9"/>
        <v/>
      </c>
      <c r="U29" s="170" t="str">
        <f t="shared" si="10"/>
        <v/>
      </c>
      <c r="V29" s="262">
        <f t="shared" si="26"/>
        <v>0</v>
      </c>
      <c r="W29" s="160">
        <f t="shared" si="27"/>
        <v>0</v>
      </c>
      <c r="X29" s="160">
        <f t="shared" si="28"/>
        <v>0</v>
      </c>
      <c r="Y29" s="160">
        <f t="shared" si="29"/>
        <v>0</v>
      </c>
      <c r="Z29" s="160">
        <f t="shared" si="30"/>
        <v>0</v>
      </c>
      <c r="AA29" s="160">
        <f t="shared" si="31"/>
        <v>0</v>
      </c>
      <c r="AB29" s="160">
        <f t="shared" si="32"/>
        <v>0</v>
      </c>
      <c r="AC29" s="160">
        <f t="shared" si="33"/>
        <v>0</v>
      </c>
      <c r="AD29" s="307">
        <f t="shared" si="34"/>
        <v>0</v>
      </c>
      <c r="AE29" s="308" t="str">
        <f t="shared" si="35"/>
        <v/>
      </c>
      <c r="AF29" s="163" t="str">
        <f t="shared" si="14"/>
        <v/>
      </c>
      <c r="AG29" s="163" t="str">
        <f t="shared" si="15"/>
        <v/>
      </c>
      <c r="AH29" s="163" t="str">
        <f t="shared" si="16"/>
        <v/>
      </c>
      <c r="AI29" s="290"/>
      <c r="AJ29" s="165" t="str">
        <f t="shared" si="17"/>
        <v/>
      </c>
      <c r="AK29" s="180" t="str">
        <f t="shared" si="18"/>
        <v/>
      </c>
      <c r="AM29" s="179"/>
      <c r="AN29" s="179"/>
      <c r="AP29" s="166" t="str">
        <f t="shared" si="19"/>
        <v/>
      </c>
      <c r="AQ29" s="166" t="str">
        <f t="shared" si="20"/>
        <v/>
      </c>
      <c r="AR29" s="166" t="str">
        <f t="shared" si="21"/>
        <v/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IF($J$1="Active",IF(Salary_Master!B30="","",_xlfn.IFS(Salary_Master!M30="Working",IF(Salary_Master!H30&lt;=DATE(2026,1,31),Salary_Master!B30,""),Salary_Master!M30="Left",IF(Salary_Master!N30&gt;DATE(2025,12,31),Salary_Master!B30,""))),"")</f>
        <v/>
      </c>
      <c r="C30" s="156">
        <v>31</v>
      </c>
      <c r="D30" s="305" t="str">
        <f t="shared" si="22"/>
        <v/>
      </c>
      <c r="E30" s="177"/>
      <c r="F30" s="177"/>
      <c r="G30" s="177"/>
      <c r="H30" s="305" t="str">
        <f t="shared" si="23"/>
        <v/>
      </c>
      <c r="I30" s="177"/>
      <c r="J30" s="177"/>
      <c r="K30" s="306" t="str">
        <f t="shared" si="24"/>
        <v/>
      </c>
      <c r="L30" s="306" t="str">
        <f t="shared" si="25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8"/>
        <v/>
      </c>
      <c r="T30" s="170" t="str">
        <f t="shared" si="9"/>
        <v/>
      </c>
      <c r="U30" s="170" t="str">
        <f t="shared" si="10"/>
        <v/>
      </c>
      <c r="V30" s="262">
        <f t="shared" si="26"/>
        <v>0</v>
      </c>
      <c r="W30" s="160">
        <f t="shared" si="27"/>
        <v>0</v>
      </c>
      <c r="X30" s="160">
        <f t="shared" si="28"/>
        <v>0</v>
      </c>
      <c r="Y30" s="160">
        <f t="shared" si="29"/>
        <v>0</v>
      </c>
      <c r="Z30" s="160">
        <f t="shared" si="30"/>
        <v>0</v>
      </c>
      <c r="AA30" s="160">
        <f t="shared" si="31"/>
        <v>0</v>
      </c>
      <c r="AB30" s="160">
        <f t="shared" si="32"/>
        <v>0</v>
      </c>
      <c r="AC30" s="160">
        <f t="shared" si="33"/>
        <v>0</v>
      </c>
      <c r="AD30" s="307">
        <f t="shared" si="34"/>
        <v>0</v>
      </c>
      <c r="AE30" s="308" t="str">
        <f t="shared" si="35"/>
        <v/>
      </c>
      <c r="AF30" s="163" t="str">
        <f t="shared" si="14"/>
        <v/>
      </c>
      <c r="AG30" s="163" t="str">
        <f t="shared" si="15"/>
        <v/>
      </c>
      <c r="AH30" s="163" t="str">
        <f t="shared" si="16"/>
        <v/>
      </c>
      <c r="AI30" s="290"/>
      <c r="AJ30" s="165" t="str">
        <f t="shared" si="17"/>
        <v/>
      </c>
      <c r="AK30" s="180" t="str">
        <f t="shared" si="18"/>
        <v/>
      </c>
      <c r="AM30" s="179"/>
      <c r="AN30" s="179"/>
      <c r="AP30" s="166" t="str">
        <f t="shared" si="19"/>
        <v/>
      </c>
      <c r="AQ30" s="166" t="str">
        <f t="shared" si="20"/>
        <v/>
      </c>
      <c r="AR30" s="166" t="str">
        <f t="shared" si="21"/>
        <v/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IF($J$1="Active",IF(Salary_Master!B31="","",_xlfn.IFS(Salary_Master!M31="Working",IF(Salary_Master!H31&lt;=DATE(2026,1,31),Salary_Master!B31,""),Salary_Master!M31="Left",IF(Salary_Master!N31&gt;DATE(2025,12,31),Salary_Master!B31,""))),"")</f>
        <v/>
      </c>
      <c r="C31" s="156">
        <v>31</v>
      </c>
      <c r="D31" s="305" t="str">
        <f t="shared" si="22"/>
        <v/>
      </c>
      <c r="E31" s="177"/>
      <c r="F31" s="177"/>
      <c r="G31" s="177"/>
      <c r="H31" s="305" t="str">
        <f t="shared" si="23"/>
        <v/>
      </c>
      <c r="I31" s="177"/>
      <c r="J31" s="177"/>
      <c r="K31" s="306" t="str">
        <f t="shared" si="24"/>
        <v/>
      </c>
      <c r="L31" s="306" t="str">
        <f t="shared" si="25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8"/>
        <v/>
      </c>
      <c r="T31" s="170" t="str">
        <f t="shared" si="9"/>
        <v/>
      </c>
      <c r="U31" s="170" t="str">
        <f t="shared" si="10"/>
        <v/>
      </c>
      <c r="V31" s="262">
        <f t="shared" si="26"/>
        <v>0</v>
      </c>
      <c r="W31" s="160">
        <f t="shared" si="27"/>
        <v>0</v>
      </c>
      <c r="X31" s="160">
        <f t="shared" si="28"/>
        <v>0</v>
      </c>
      <c r="Y31" s="160">
        <f t="shared" si="29"/>
        <v>0</v>
      </c>
      <c r="Z31" s="160">
        <f t="shared" si="30"/>
        <v>0</v>
      </c>
      <c r="AA31" s="160">
        <f t="shared" si="31"/>
        <v>0</v>
      </c>
      <c r="AB31" s="160">
        <f t="shared" si="32"/>
        <v>0</v>
      </c>
      <c r="AC31" s="160">
        <f t="shared" si="33"/>
        <v>0</v>
      </c>
      <c r="AD31" s="307">
        <f t="shared" si="34"/>
        <v>0</v>
      </c>
      <c r="AE31" s="308" t="str">
        <f t="shared" si="35"/>
        <v/>
      </c>
      <c r="AF31" s="163" t="str">
        <f t="shared" si="14"/>
        <v/>
      </c>
      <c r="AG31" s="163" t="str">
        <f t="shared" si="15"/>
        <v/>
      </c>
      <c r="AH31" s="163" t="str">
        <f t="shared" si="16"/>
        <v/>
      </c>
      <c r="AI31" s="290"/>
      <c r="AJ31" s="165" t="str">
        <f t="shared" si="17"/>
        <v/>
      </c>
      <c r="AK31" s="180" t="str">
        <f t="shared" si="18"/>
        <v/>
      </c>
      <c r="AM31" s="179"/>
      <c r="AN31" s="179"/>
      <c r="AP31" s="166" t="str">
        <f t="shared" si="19"/>
        <v/>
      </c>
      <c r="AQ31" s="166" t="str">
        <f t="shared" si="20"/>
        <v/>
      </c>
      <c r="AR31" s="166" t="str">
        <f t="shared" si="21"/>
        <v/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IF($J$1="Active",IF(Salary_Master!B32="","",_xlfn.IFS(Salary_Master!M32="Working",IF(Salary_Master!H32&lt;=DATE(2026,1,31),Salary_Master!B32,""),Salary_Master!M32="Left",IF(Salary_Master!N32&gt;DATE(2025,12,31),Salary_Master!B32,""))),"")</f>
        <v/>
      </c>
      <c r="C32" s="156">
        <v>31</v>
      </c>
      <c r="D32" s="305" t="str">
        <f t="shared" si="22"/>
        <v/>
      </c>
      <c r="E32" s="177"/>
      <c r="F32" s="177"/>
      <c r="G32" s="177"/>
      <c r="H32" s="305" t="str">
        <f t="shared" si="23"/>
        <v/>
      </c>
      <c r="I32" s="177"/>
      <c r="J32" s="177"/>
      <c r="K32" s="306" t="str">
        <f t="shared" si="24"/>
        <v/>
      </c>
      <c r="L32" s="306" t="str">
        <f t="shared" si="25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8"/>
        <v/>
      </c>
      <c r="T32" s="170" t="str">
        <f t="shared" si="9"/>
        <v/>
      </c>
      <c r="U32" s="170" t="str">
        <f t="shared" si="10"/>
        <v/>
      </c>
      <c r="V32" s="262">
        <f t="shared" si="26"/>
        <v>0</v>
      </c>
      <c r="W32" s="160">
        <f t="shared" si="27"/>
        <v>0</v>
      </c>
      <c r="X32" s="160">
        <f t="shared" si="28"/>
        <v>0</v>
      </c>
      <c r="Y32" s="160">
        <f t="shared" si="29"/>
        <v>0</v>
      </c>
      <c r="Z32" s="160">
        <f t="shared" si="30"/>
        <v>0</v>
      </c>
      <c r="AA32" s="160">
        <f t="shared" si="31"/>
        <v>0</v>
      </c>
      <c r="AB32" s="160">
        <f t="shared" si="32"/>
        <v>0</v>
      </c>
      <c r="AC32" s="160">
        <f t="shared" si="33"/>
        <v>0</v>
      </c>
      <c r="AD32" s="307">
        <f t="shared" si="34"/>
        <v>0</v>
      </c>
      <c r="AE32" s="308" t="str">
        <f t="shared" si="35"/>
        <v/>
      </c>
      <c r="AF32" s="163" t="str">
        <f t="shared" si="14"/>
        <v/>
      </c>
      <c r="AG32" s="163" t="str">
        <f t="shared" si="15"/>
        <v/>
      </c>
      <c r="AH32" s="163" t="str">
        <f t="shared" si="16"/>
        <v/>
      </c>
      <c r="AI32" s="290"/>
      <c r="AJ32" s="165" t="str">
        <f t="shared" si="17"/>
        <v/>
      </c>
      <c r="AK32" s="180" t="str">
        <f t="shared" si="18"/>
        <v/>
      </c>
      <c r="AM32" s="179"/>
      <c r="AN32" s="179"/>
      <c r="AP32" s="166" t="str">
        <f t="shared" si="19"/>
        <v/>
      </c>
      <c r="AQ32" s="166" t="str">
        <f t="shared" si="20"/>
        <v/>
      </c>
      <c r="AR32" s="166" t="str">
        <f t="shared" si="21"/>
        <v/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IF($J$1="Active",IF(Salary_Master!B33="","",_xlfn.IFS(Salary_Master!M33="Working",IF(Salary_Master!H33&lt;=DATE(2026,1,31),Salary_Master!B33,""),Salary_Master!M33="Left",IF(Salary_Master!N33&gt;DATE(2025,12,31),Salary_Master!B33,""))),"")</f>
        <v/>
      </c>
      <c r="C33" s="156">
        <v>31</v>
      </c>
      <c r="D33" s="305" t="str">
        <f t="shared" si="22"/>
        <v/>
      </c>
      <c r="E33" s="177"/>
      <c r="F33" s="177"/>
      <c r="G33" s="177"/>
      <c r="H33" s="305" t="str">
        <f t="shared" si="23"/>
        <v/>
      </c>
      <c r="I33" s="177"/>
      <c r="J33" s="177"/>
      <c r="K33" s="306" t="str">
        <f t="shared" si="24"/>
        <v/>
      </c>
      <c r="L33" s="306" t="str">
        <f t="shared" si="25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6"/>
        <v>0</v>
      </c>
      <c r="W33" s="160">
        <f t="shared" si="27"/>
        <v>0</v>
      </c>
      <c r="X33" s="160">
        <f t="shared" si="28"/>
        <v>0</v>
      </c>
      <c r="Y33" s="160">
        <f t="shared" si="29"/>
        <v>0</v>
      </c>
      <c r="Z33" s="160">
        <f t="shared" si="30"/>
        <v>0</v>
      </c>
      <c r="AA33" s="160">
        <f t="shared" si="31"/>
        <v>0</v>
      </c>
      <c r="AB33" s="160">
        <f t="shared" si="32"/>
        <v>0</v>
      </c>
      <c r="AC33" s="160">
        <f t="shared" si="33"/>
        <v>0</v>
      </c>
      <c r="AD33" s="307">
        <f t="shared" si="34"/>
        <v>0</v>
      </c>
      <c r="AE33" s="308" t="str">
        <f t="shared" si="35"/>
        <v/>
      </c>
      <c r="AF33" s="163" t="str">
        <f t="shared" si="14"/>
        <v/>
      </c>
      <c r="AG33" s="163" t="str">
        <f t="shared" si="15"/>
        <v/>
      </c>
      <c r="AH33" s="163" t="str">
        <f t="shared" si="16"/>
        <v/>
      </c>
      <c r="AI33" s="290"/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19"/>
        <v/>
      </c>
      <c r="AQ33" s="166" t="str">
        <f t="shared" si="20"/>
        <v/>
      </c>
      <c r="AR33" s="166" t="str">
        <f t="shared" si="21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IF($J$1="Active",IF(Salary_Master!B34="","",_xlfn.IFS(Salary_Master!M34="Working",IF(Salary_Master!H34&lt;=DATE(2026,1,31),Salary_Master!B34,""),Salary_Master!M34="Left",IF(Salary_Master!N34&gt;DATE(2025,12,31),Salary_Master!B34,""))),"")</f>
        <v/>
      </c>
      <c r="C34" s="156">
        <v>31</v>
      </c>
      <c r="D34" s="305" t="str">
        <f t="shared" si="22"/>
        <v/>
      </c>
      <c r="E34" s="177"/>
      <c r="F34" s="177"/>
      <c r="G34" s="177"/>
      <c r="H34" s="305" t="str">
        <f t="shared" si="23"/>
        <v/>
      </c>
      <c r="I34" s="177"/>
      <c r="J34" s="177"/>
      <c r="K34" s="306" t="str">
        <f t="shared" si="24"/>
        <v/>
      </c>
      <c r="L34" s="306" t="str">
        <f t="shared" si="25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6"/>
        <v>0</v>
      </c>
      <c r="W34" s="160">
        <f t="shared" si="27"/>
        <v>0</v>
      </c>
      <c r="X34" s="160">
        <f t="shared" si="28"/>
        <v>0</v>
      </c>
      <c r="Y34" s="160">
        <f t="shared" si="29"/>
        <v>0</v>
      </c>
      <c r="Z34" s="160">
        <f t="shared" si="30"/>
        <v>0</v>
      </c>
      <c r="AA34" s="160">
        <f t="shared" si="31"/>
        <v>0</v>
      </c>
      <c r="AB34" s="160">
        <f t="shared" si="32"/>
        <v>0</v>
      </c>
      <c r="AC34" s="160">
        <f t="shared" si="33"/>
        <v>0</v>
      </c>
      <c r="AD34" s="307">
        <f t="shared" si="34"/>
        <v>0</v>
      </c>
      <c r="AE34" s="308" t="str">
        <f t="shared" si="35"/>
        <v/>
      </c>
      <c r="AF34" s="163" t="str">
        <f t="shared" si="14"/>
        <v/>
      </c>
      <c r="AG34" s="163" t="str">
        <f t="shared" si="15"/>
        <v/>
      </c>
      <c r="AH34" s="163" t="str">
        <f t="shared" si="16"/>
        <v/>
      </c>
      <c r="AI34" s="290"/>
      <c r="AJ34" s="165" t="str">
        <f t="shared" si="17"/>
        <v/>
      </c>
      <c r="AK34" s="180" t="str">
        <f t="shared" si="18"/>
        <v/>
      </c>
      <c r="AM34" s="179"/>
      <c r="AN34" s="179"/>
      <c r="AP34" s="166" t="str">
        <f t="shared" si="19"/>
        <v/>
      </c>
      <c r="AQ34" s="166" t="str">
        <f t="shared" si="20"/>
        <v/>
      </c>
      <c r="AR34" s="166" t="str">
        <f t="shared" si="21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IF($J$1="Active",IF(Salary_Master!B35="","",_xlfn.IFS(Salary_Master!M35="Working",IF(Salary_Master!H35&lt;=DATE(2026,1,31),Salary_Master!B35,""),Salary_Master!M35="Left",IF(Salary_Master!N35&gt;DATE(2025,12,31),Salary_Master!B35,""))),"")</f>
        <v/>
      </c>
      <c r="C35" s="156">
        <v>31</v>
      </c>
      <c r="D35" s="305" t="str">
        <f t="shared" si="22"/>
        <v/>
      </c>
      <c r="E35" s="177"/>
      <c r="F35" s="177"/>
      <c r="G35" s="177"/>
      <c r="H35" s="305" t="str">
        <f t="shared" si="23"/>
        <v/>
      </c>
      <c r="I35" s="177"/>
      <c r="J35" s="177"/>
      <c r="K35" s="306" t="str">
        <f t="shared" si="24"/>
        <v/>
      </c>
      <c r="L35" s="306" t="str">
        <f t="shared" si="25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6"/>
        <v>0</v>
      </c>
      <c r="W35" s="160">
        <f t="shared" si="27"/>
        <v>0</v>
      </c>
      <c r="X35" s="160">
        <f t="shared" si="28"/>
        <v>0</v>
      </c>
      <c r="Y35" s="160">
        <f t="shared" si="29"/>
        <v>0</v>
      </c>
      <c r="Z35" s="160">
        <f t="shared" si="30"/>
        <v>0</v>
      </c>
      <c r="AA35" s="160">
        <f t="shared" si="31"/>
        <v>0</v>
      </c>
      <c r="AB35" s="160">
        <f t="shared" si="32"/>
        <v>0</v>
      </c>
      <c r="AC35" s="160">
        <f t="shared" si="33"/>
        <v>0</v>
      </c>
      <c r="AD35" s="307">
        <f t="shared" si="34"/>
        <v>0</v>
      </c>
      <c r="AE35" s="308" t="str">
        <f t="shared" si="35"/>
        <v/>
      </c>
      <c r="AF35" s="163" t="str">
        <f t="shared" si="14"/>
        <v/>
      </c>
      <c r="AG35" s="163" t="str">
        <f t="shared" si="15"/>
        <v/>
      </c>
      <c r="AH35" s="163" t="str">
        <f t="shared" si="16"/>
        <v/>
      </c>
      <c r="AI35" s="290"/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19"/>
        <v/>
      </c>
      <c r="AQ35" s="166" t="str">
        <f t="shared" si="20"/>
        <v/>
      </c>
      <c r="AR35" s="166" t="str">
        <f t="shared" si="21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IF($J$1="Active",IF(Salary_Master!B36="","",_xlfn.IFS(Salary_Master!M36="Working",IF(Salary_Master!H36&lt;=DATE(2026,1,31),Salary_Master!B36,""),Salary_Master!M36="Left",IF(Salary_Master!N36&gt;DATE(2025,12,31),Salary_Master!B36,""))),"")</f>
        <v/>
      </c>
      <c r="C36" s="156">
        <v>31</v>
      </c>
      <c r="D36" s="305" t="str">
        <f t="shared" si="22"/>
        <v/>
      </c>
      <c r="E36" s="177"/>
      <c r="F36" s="177"/>
      <c r="G36" s="177"/>
      <c r="H36" s="305" t="str">
        <f t="shared" si="23"/>
        <v/>
      </c>
      <c r="I36" s="177"/>
      <c r="J36" s="177"/>
      <c r="K36" s="306" t="str">
        <f t="shared" si="24"/>
        <v/>
      </c>
      <c r="L36" s="306" t="str">
        <f t="shared" si="25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6"/>
        <v>0</v>
      </c>
      <c r="W36" s="160">
        <f t="shared" si="27"/>
        <v>0</v>
      </c>
      <c r="X36" s="160">
        <f t="shared" si="28"/>
        <v>0</v>
      </c>
      <c r="Y36" s="160">
        <f t="shared" si="29"/>
        <v>0</v>
      </c>
      <c r="Z36" s="160">
        <f t="shared" si="30"/>
        <v>0</v>
      </c>
      <c r="AA36" s="160">
        <f t="shared" si="31"/>
        <v>0</v>
      </c>
      <c r="AB36" s="160">
        <f t="shared" si="32"/>
        <v>0</v>
      </c>
      <c r="AC36" s="160">
        <f t="shared" si="33"/>
        <v>0</v>
      </c>
      <c r="AD36" s="307">
        <f t="shared" si="34"/>
        <v>0</v>
      </c>
      <c r="AE36" s="308" t="str">
        <f t="shared" si="35"/>
        <v/>
      </c>
      <c r="AF36" s="163" t="str">
        <f t="shared" si="14"/>
        <v/>
      </c>
      <c r="AG36" s="163" t="str">
        <f t="shared" si="15"/>
        <v/>
      </c>
      <c r="AH36" s="163" t="str">
        <f t="shared" si="16"/>
        <v/>
      </c>
      <c r="AI36" s="290"/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19"/>
        <v/>
      </c>
      <c r="AQ36" s="166" t="str">
        <f t="shared" si="20"/>
        <v/>
      </c>
      <c r="AR36" s="166" t="str">
        <f t="shared" si="21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IF($J$1="Active",IF(Salary_Master!B37="","",_xlfn.IFS(Salary_Master!M37="Working",IF(Salary_Master!H37&lt;=DATE(2026,1,31),Salary_Master!B37,""),Salary_Master!M37="Left",IF(Salary_Master!N37&gt;DATE(2025,12,31),Salary_Master!B37,""))),"")</f>
        <v/>
      </c>
      <c r="C37" s="156">
        <v>31</v>
      </c>
      <c r="D37" s="305" t="str">
        <f t="shared" si="22"/>
        <v/>
      </c>
      <c r="E37" s="177"/>
      <c r="F37" s="177"/>
      <c r="G37" s="177"/>
      <c r="H37" s="305" t="str">
        <f t="shared" si="23"/>
        <v/>
      </c>
      <c r="I37" s="177"/>
      <c r="J37" s="177"/>
      <c r="K37" s="306" t="str">
        <f t="shared" si="24"/>
        <v/>
      </c>
      <c r="L37" s="306" t="str">
        <f t="shared" si="25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6"/>
        <v>0</v>
      </c>
      <c r="W37" s="160">
        <f t="shared" si="27"/>
        <v>0</v>
      </c>
      <c r="X37" s="160">
        <f t="shared" si="28"/>
        <v>0</v>
      </c>
      <c r="Y37" s="160">
        <f t="shared" si="29"/>
        <v>0</v>
      </c>
      <c r="Z37" s="160">
        <f t="shared" si="30"/>
        <v>0</v>
      </c>
      <c r="AA37" s="160">
        <f t="shared" si="31"/>
        <v>0</v>
      </c>
      <c r="AB37" s="160">
        <f t="shared" si="32"/>
        <v>0</v>
      </c>
      <c r="AC37" s="160">
        <f t="shared" si="33"/>
        <v>0</v>
      </c>
      <c r="AD37" s="307">
        <f t="shared" si="34"/>
        <v>0</v>
      </c>
      <c r="AE37" s="308" t="str">
        <f t="shared" si="35"/>
        <v/>
      </c>
      <c r="AF37" s="163" t="str">
        <f t="shared" si="14"/>
        <v/>
      </c>
      <c r="AG37" s="163" t="str">
        <f t="shared" si="15"/>
        <v/>
      </c>
      <c r="AH37" s="163" t="str">
        <f t="shared" si="16"/>
        <v/>
      </c>
      <c r="AI37" s="290"/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19"/>
        <v/>
      </c>
      <c r="AQ37" s="166" t="str">
        <f t="shared" si="20"/>
        <v/>
      </c>
      <c r="AR37" s="166" t="str">
        <f t="shared" si="21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IF($J$1="Active",IF(Salary_Master!B38="","",_xlfn.IFS(Salary_Master!M38="Working",IF(Salary_Master!H38&lt;=DATE(2026,1,31),Salary_Master!B38,""),Salary_Master!M38="Left",IF(Salary_Master!N38&gt;DATE(2025,12,31),Salary_Master!B38,""))),"")</f>
        <v/>
      </c>
      <c r="C38" s="156">
        <v>31</v>
      </c>
      <c r="D38" s="305" t="str">
        <f t="shared" si="22"/>
        <v/>
      </c>
      <c r="E38" s="177"/>
      <c r="F38" s="177"/>
      <c r="G38" s="177"/>
      <c r="H38" s="305" t="str">
        <f t="shared" si="23"/>
        <v/>
      </c>
      <c r="I38" s="177"/>
      <c r="J38" s="177"/>
      <c r="K38" s="306" t="str">
        <f t="shared" si="24"/>
        <v/>
      </c>
      <c r="L38" s="306" t="str">
        <f t="shared" si="25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6"/>
        <v>0</v>
      </c>
      <c r="W38" s="160">
        <f t="shared" si="27"/>
        <v>0</v>
      </c>
      <c r="X38" s="160">
        <f t="shared" si="28"/>
        <v>0</v>
      </c>
      <c r="Y38" s="160">
        <f t="shared" si="29"/>
        <v>0</v>
      </c>
      <c r="Z38" s="160">
        <f t="shared" si="30"/>
        <v>0</v>
      </c>
      <c r="AA38" s="160">
        <f t="shared" si="31"/>
        <v>0</v>
      </c>
      <c r="AB38" s="160">
        <f t="shared" si="32"/>
        <v>0</v>
      </c>
      <c r="AC38" s="160">
        <f t="shared" si="33"/>
        <v>0</v>
      </c>
      <c r="AD38" s="307">
        <f t="shared" si="34"/>
        <v>0</v>
      </c>
      <c r="AE38" s="308" t="str">
        <f t="shared" si="35"/>
        <v/>
      </c>
      <c r="AF38" s="163" t="str">
        <f t="shared" si="14"/>
        <v/>
      </c>
      <c r="AG38" s="163" t="str">
        <f t="shared" si="15"/>
        <v/>
      </c>
      <c r="AH38" s="163" t="str">
        <f t="shared" si="16"/>
        <v/>
      </c>
      <c r="AI38" s="290"/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19"/>
        <v/>
      </c>
      <c r="AQ38" s="166" t="str">
        <f t="shared" si="20"/>
        <v/>
      </c>
      <c r="AR38" s="166" t="str">
        <f t="shared" si="21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IF($J$1="Active",IF(Salary_Master!B39="","",_xlfn.IFS(Salary_Master!M39="Working",IF(Salary_Master!H39&lt;=DATE(2026,1,31),Salary_Master!B39,""),Salary_Master!M39="Left",IF(Salary_Master!N39&gt;DATE(2025,12,31),Salary_Master!B39,""))),"")</f>
        <v/>
      </c>
      <c r="C39" s="156">
        <v>31</v>
      </c>
      <c r="D39" s="310" t="str">
        <f t="shared" si="22"/>
        <v/>
      </c>
      <c r="E39" s="311"/>
      <c r="F39" s="311"/>
      <c r="G39" s="311"/>
      <c r="H39" s="310" t="str">
        <f t="shared" si="23"/>
        <v/>
      </c>
      <c r="I39" s="311"/>
      <c r="J39" s="311"/>
      <c r="K39" s="312" t="str">
        <f t="shared" si="24"/>
        <v/>
      </c>
      <c r="L39" s="312" t="str">
        <f t="shared" si="25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6"/>
        <v>0</v>
      </c>
      <c r="W39" s="297">
        <f t="shared" si="27"/>
        <v>0</v>
      </c>
      <c r="X39" s="297">
        <f t="shared" si="28"/>
        <v>0</v>
      </c>
      <c r="Y39" s="297">
        <f t="shared" si="29"/>
        <v>0</v>
      </c>
      <c r="Z39" s="297">
        <f t="shared" si="30"/>
        <v>0</v>
      </c>
      <c r="AA39" s="297">
        <f t="shared" si="31"/>
        <v>0</v>
      </c>
      <c r="AB39" s="297">
        <f t="shared" si="32"/>
        <v>0</v>
      </c>
      <c r="AC39" s="297">
        <f t="shared" si="33"/>
        <v>0</v>
      </c>
      <c r="AD39" s="317">
        <f t="shared" si="34"/>
        <v>0</v>
      </c>
      <c r="AE39" s="318" t="str">
        <f t="shared" si="35"/>
        <v/>
      </c>
      <c r="AF39" s="163" t="str">
        <f t="shared" si="14"/>
        <v/>
      </c>
      <c r="AG39" s="163" t="str">
        <f t="shared" si="15"/>
        <v/>
      </c>
      <c r="AH39" s="163" t="str">
        <f t="shared" si="16"/>
        <v/>
      </c>
      <c r="AI39" s="292"/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19"/>
        <v/>
      </c>
      <c r="AQ39" s="166" t="str">
        <f t="shared" si="20"/>
        <v/>
      </c>
      <c r="AR39" s="166" t="str">
        <f t="shared" si="21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6">SUM(W5:W39)</f>
        <v>0</v>
      </c>
      <c r="X40" s="183">
        <f t="shared" si="36"/>
        <v>0</v>
      </c>
      <c r="Y40" s="183">
        <f t="shared" si="36"/>
        <v>0</v>
      </c>
      <c r="Z40" s="183">
        <f t="shared" si="36"/>
        <v>0</v>
      </c>
      <c r="AA40" s="183">
        <f t="shared" si="36"/>
        <v>0</v>
      </c>
      <c r="AB40" s="183">
        <f t="shared" si="36"/>
        <v>0</v>
      </c>
      <c r="AC40" s="183">
        <f t="shared" si="36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mergeCells count="3">
    <mergeCell ref="J1:K1"/>
    <mergeCell ref="AP2:AR2"/>
    <mergeCell ref="A40:U40"/>
  </mergeCells>
  <conditionalFormatting sqref="H5:H39">
    <cfRule type="cellIs" dxfId="8" priority="2" operator="greaterThan">
      <formula>32</formula>
    </cfRule>
    <cfRule type="cellIs" dxfId="7" priority="3" operator="greaterThan">
      <formula>31</formula>
    </cfRule>
  </conditionalFormatting>
  <conditionalFormatting sqref="H5:H39">
    <cfRule type="cellIs" dxfId="6" priority="1" operator="greaterThan">
      <formula>32</formula>
    </cfRule>
  </conditionalFormatting>
  <dataValidations count="6">
    <dataValidation type="custom" allowBlank="1" showInputMessage="1" showErrorMessage="1" errorTitle="Below Limit !!!" error="Total leaves are going negative if this value is entered. Try to enter less value." sqref="G5:G39" xr:uid="{DC2212BF-2A67-4E33-93CF-102E1A85B973}">
      <formula1>$AP5&lt;=7</formula1>
    </dataValidation>
    <dataValidation type="list" allowBlank="1" sqref="K5:L39" xr:uid="{EFC3B34B-6175-4617-972B-D9B26193E129}">
      <formula1>"Yes,No"</formula1>
    </dataValidation>
    <dataValidation type="list" allowBlank="1" showInputMessage="1" showErrorMessage="1" sqref="AK5:AK39 AL40 M5:M39" xr:uid="{5218851C-3906-404A-ABD1-938549A0D37C}">
      <formula1>"Yes,No"</formula1>
    </dataValidation>
    <dataValidation type="list" allowBlank="1" showInputMessage="1" showErrorMessage="1" sqref="J1:K1" xr:uid="{DC522BC7-37F0-49C6-8BE3-5EC0E6D06C19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E5:E39" xr:uid="{97297619-C72B-431D-883F-AD199A22E2CD}">
      <formula1>$AN5&lt;=7</formula1>
    </dataValidation>
    <dataValidation type="custom" allowBlank="1" showInputMessage="1" showErrorMessage="1" errorTitle="Below Limit !!!" error="Total leaves are going negative if this value is entered. Try to enter less value." sqref="F5:F39" xr:uid="{B91006E9-3401-4A3A-829C-76A48F26ED50}">
      <formula1>$AO5&lt;=7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7FE0D-5423-43F0-A642-E02123DF0E43}">
  <sheetPr codeName="Sheet46">
    <tabColor rgb="FF92D050"/>
  </sheetPr>
  <dimension ref="A1:AT40"/>
  <sheetViews>
    <sheetView workbookViewId="0">
      <pane xSplit="13" ySplit="4" topLeftCell="U5" activePane="bottomRight" state="frozen"/>
      <selection activeCell="J1" sqref="J1:K1"/>
      <selection pane="topRight" activeCell="J1" sqref="J1:K1"/>
      <selection pane="bottomLeft" activeCell="J1" sqref="J1:K1"/>
      <selection pane="bottomRight" activeCell="J1" sqref="J1:K1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10937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190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IF($J$1="Active",IF(Salary_Master!B5="","",_xlfn.IFS(Salary_Master!M5="Working",IF(Salary_Master!H5&lt;=DATE(2026,2,28),Salary_Master!B5,""),Salary_Master!M5="Left",IF(Salary_Master!N5&gt;DATE(2026,1,31),Salary_Master!B5,""))),"")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" si="1">IF($J$1="Active",IF(B5="","",VLOOKUP(B5,Salary_Master,14,FALSE)),"")</f>
        <v/>
      </c>
      <c r="L5" s="158" t="str">
        <f t="shared" ref="L5" si="2">IF($J$1="Active",IF(B5="","",VLOOKUP(B5,Salary_Master,15,FALSE)),"")</f>
        <v/>
      </c>
      <c r="M5" s="159"/>
      <c r="N5" s="169" t="str">
        <f t="shared" ref="N5:N39" si="3">IFERROR(ROUND(IF($B5="","",SUM(VLOOKUP($B5,Salary_Master,17,FALSE)/31*$H5)),0),"")</f>
        <v/>
      </c>
      <c r="O5" s="170" t="str">
        <f t="shared" ref="O5:O39" si="4">IFERROR(ROUND(IF($B5="","",SUM(VLOOKUP($B5,Salary_Master,18,FALSE)/31*$H5)),0),"")</f>
        <v/>
      </c>
      <c r="P5" s="170" t="str">
        <f t="shared" ref="P5:P39" si="5">IFERROR(ROUND(IF($B5="","",SUM(VLOOKUP($B5,Salary_Master,19,FALSE)/31*$H5)),0),"")</f>
        <v/>
      </c>
      <c r="Q5" s="170" t="str">
        <f t="shared" ref="Q5:Q39" si="6">IFERROR(ROUND(IF($B5="","",SUM(VLOOKUP($B5,Salary_Master,20,FALSE)/31*$H5)),0),"")</f>
        <v/>
      </c>
      <c r="R5" s="170" t="str">
        <f t="shared" ref="R5:R39" si="7">IFERROR(ROUND(IF($B5="","",SUM(VLOOKUP($B5,Salary_Master,21,FALSE)/31*$H5)),0),"")</f>
        <v/>
      </c>
      <c r="S5" s="170" t="str">
        <f t="shared" ref="S5:S39" si="8">IFERROR(ROUND(IF($B5="","",SUM(VLOOKUP($B5,Salary_Master,22,FALSE)/31*$H5)),0),"")</f>
        <v/>
      </c>
      <c r="T5" s="170" t="str">
        <f t="shared" ref="T5:T39" si="9">IFERROR(ROUND(IF($B5="","",SUM(VLOOKUP($B5,Salary_Master,23,FALSE)/31*$H5)),0),"")</f>
        <v/>
      </c>
      <c r="U5" s="170" t="str">
        <f t="shared" ref="U5:U39" si="10">IFERROR(ROUND(IF($B5="","",SUM(VLOOKUP($B5,Salary_Master,24,FALSE)/31*$H5)),0),"")</f>
        <v/>
      </c>
      <c r="V5" s="261">
        <f>ROUND(SUM(N5:U5),0)</f>
        <v>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" si="13">IF(B5="","",VLOOKUP(B5,Salary_Master,8,FALSE))</f>
        <v/>
      </c>
      <c r="AF5" s="164" t="str">
        <f t="shared" ref="AF5:AF39" si="14">IFERROR(IF($J$1="Non-Active","",IF(VLOOKUP($B5,Jann26,36,FALSE)="No",IF($AK5="Yes",MROUND($AJ5/3,0.5)-$E5,""),IF(VLOOKUP($B5,Jann26,36,FALSE)="Yes",(VLOOKUP($B5,Jann26,31,FALSE)-$E5),""))),"")</f>
        <v/>
      </c>
      <c r="AG5" s="164" t="str">
        <f t="shared" ref="AG5:AG39" si="15">IFERROR(IF($J$1="Non-Active","",IF(VLOOKUP($B5,Jann26,36,FALSE)="No",IF($AK5="Yes",MROUND($AJ5/3,0.5)-$F5,""),IF(VLOOKUP($B5,Jann26,36,FALSE)="Yes",(VLOOKUP($B5,Jann26,32,FALSE)-$F5),""))),"")</f>
        <v/>
      </c>
      <c r="AH5" s="164" t="str">
        <f t="shared" ref="AH5:AH39" si="16">IFERROR(IF($J$1="Non-Active","",IF(VLOOKUP($B5,Jann26,36,FALSE)="No",IF($AK5="Yes",($AJ5-(AF5+AG5)-(E5+F5))-$G5,""),IF(VLOOKUP($B5,Jann26,36,FALSE)="Yes",(VLOOKUP($B5,Jann26,33,FALSE)-$G5),""))),"")</f>
        <v/>
      </c>
      <c r="AI5" s="289"/>
      <c r="AJ5" s="296" t="str">
        <f t="shared" ref="AJ5:AJ39" si="17">IF(AK5="Yes",IF(VLOOKUP($B5,Jann26,36,FALSE)="No",MROUND(SUM(21/12*6),0.5),""),"")</f>
        <v/>
      </c>
      <c r="AK5" s="287" t="str">
        <f t="shared" ref="AK5:AK39" si="18">IF($J$1="Non-Active","",IF($B5="","",VLOOKUP($B5,Jann26,36,FALSE)))</f>
        <v/>
      </c>
      <c r="AM5" s="179"/>
      <c r="AN5" s="179"/>
      <c r="AP5" s="166" t="str">
        <f t="shared" ref="AP5:AP39" si="19">IFERROR(IF($B5="","",(VLOOKUP($B5,Aprr25,4,FALSE)+VLOOKUP($B5,Mayy25,4,FALSE)+VLOOKUP($B5,Junn25,4,FALSE)+VLOOKUP($B5,Jull25,4,FALSE)+VLOOKUP($B5,Augg25,4,FALSE)+VLOOKUP($B5,Sepp25,4,FALSE)+VLOOKUP($B5,Octt25,4,FALSE)+VLOOKUP($B5,Novv25,4,FALSE)+VLOOKUP($B5,Decc25,4,FALSE)+VLOOKUP($B5,Jann26,4,FALSE)+VLOOKUP($B5,Febb26,4,FALSE))),0)</f>
        <v/>
      </c>
      <c r="AQ5" s="166" t="str">
        <f t="shared" ref="AQ5:AQ39" si="20">IFERROR(IF($B5="","",(VLOOKUP($B5,Aprr25,5,FALSE)+VLOOKUP($B5,Mayy25,5,FALSE)+VLOOKUP($B5,Junn25,5,FALSE)+VLOOKUP($B5,Jull25,5,FALSE)+VLOOKUP($B5,Augg25,5,FALSE)+VLOOKUP($B5,Sepp25,5,FALSE)+VLOOKUP($B5,Octt25,5,FALSE)+VLOOKUP($B5,Novv25,5,FALSE)+VLOOKUP($B5,Decc25,5,FALSE)+VLOOKUP($B5,Jann26,5,FALSE)+VLOOKUP($B5,Febb26,5,FALSE))),0)</f>
        <v/>
      </c>
      <c r="AR5" s="166" t="str">
        <f t="shared" ref="AR5:AR39" si="21">IFERROR(IF($B5="","",(VLOOKUP($B5,Aprr25,6,FALSE)+VLOOKUP($B5,Mayy25,6,FALSE)+VLOOKUP($B5,Junn25,6,FALSE)+VLOOKUP($B5,Jull25,6,FALSE)+VLOOKUP($B5,Augg25,6,FALSE)+VLOOKUP($B5,Sepp25,6,FALSE)+VLOOKUP($B5,Octt25,6,FALSE)+VLOOKUP($B5,Novv25,6,FALSE)+VLOOKUP($B5,Decc25,6,FALSE)+VLOOKUP($B5,Jann26,6,FALSE)+VLOOKUP($B5,Febb26,6,FALSE))),0)</f>
        <v/>
      </c>
    </row>
    <row r="6" spans="1:46" s="162" customFormat="1" ht="25.2" customHeight="1" x14ac:dyDescent="0.3">
      <c r="A6" s="167">
        <v>2</v>
      </c>
      <c r="B6" s="156" t="str" cm="1">
        <f t="array" ref="B6">IF($J$1="Active",IF(Salary_Master!B6="","",_xlfn.IFS(Salary_Master!M6="Working",IF(Salary_Master!H6&lt;=DATE(2026,2,28),Salary_Master!B6,""),Salary_Master!M6="Left",IF(Salary_Master!N6&gt;DATE(2026,1,31),Salary_Master!B6,""))),"")</f>
        <v/>
      </c>
      <c r="C6" s="156">
        <v>31</v>
      </c>
      <c r="D6" s="305" t="str">
        <f t="shared" ref="D6:D39" si="22">IF($J$1="Active",IF(B6="","",C6-SUM(E6:G6)-I6),"")</f>
        <v/>
      </c>
      <c r="E6" s="177"/>
      <c r="F6" s="177"/>
      <c r="G6" s="177"/>
      <c r="H6" s="305" t="str">
        <f t="shared" ref="H6:H39" si="23">IF(SUM(D6:G6)=0,"",SUM(D6:G6))</f>
        <v/>
      </c>
      <c r="I6" s="177"/>
      <c r="J6" s="177"/>
      <c r="K6" s="306" t="str">
        <f t="shared" ref="K6:K39" si="24">IF($J$1="Active",IF(B6="","",VLOOKUP(B6,Salary_Master,14,FALSE)),"")</f>
        <v/>
      </c>
      <c r="L6" s="306" t="str">
        <f t="shared" ref="L6:L39" si="25">IF($J$1="Active",IF(B6="","",VLOOKUP(B6,Salary_Master,15,FALSE)),"")</f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si="8"/>
        <v/>
      </c>
      <c r="T6" s="170" t="str">
        <f t="shared" si="9"/>
        <v/>
      </c>
      <c r="U6" s="170" t="str">
        <f t="shared" si="10"/>
        <v/>
      </c>
      <c r="V6" s="262">
        <f t="shared" ref="V6:V39" si="26">ROUND(SUM(N6:U6),0)</f>
        <v>0</v>
      </c>
      <c r="W6" s="160">
        <f t="shared" ref="W6:W39" si="27">IFERROR(ROUND(IF(K6="Yes",IF((V6-O6)&gt;15000,1800,SUM(V6-O6)*12%),),),"")</f>
        <v>0</v>
      </c>
      <c r="X6" s="160">
        <f t="shared" ref="X6:X39" si="28">IF(B6="Sagar Kadam",0,IF(B6="Rahul Jadhav",0,IF(W6="","",W6)))</f>
        <v>0</v>
      </c>
      <c r="Y6" s="160">
        <f t="shared" ref="Y6:Y39" si="29">ROUND(IF(L6="Yes",V6*0.75%,0),0)</f>
        <v>0</v>
      </c>
      <c r="Z6" s="160">
        <f t="shared" ref="Z6:Z39" si="30">IF(B6="Sagar Kadam",0,IF(B6="Rahul Jadhav",0,ROUND(IF(L6="Yes",V6*3.25%,0),0)))</f>
        <v>0</v>
      </c>
      <c r="AA6" s="160">
        <f t="shared" ref="AA6:AA39" si="31">IF(AE6="Female",IF(V6&gt;24999,200,0),IF(V6&gt;7500,200,0))</f>
        <v>0</v>
      </c>
      <c r="AB6" s="160">
        <f t="shared" ref="AB6:AB39" si="32">AM6</f>
        <v>0</v>
      </c>
      <c r="AC6" s="160">
        <f t="shared" ref="AC6:AC39" si="33">AN6</f>
        <v>0</v>
      </c>
      <c r="AD6" s="307">
        <f t="shared" ref="AD6:AD39" si="34">ROUND(V6-SUM(W6:AC6),0)</f>
        <v>0</v>
      </c>
      <c r="AE6" s="308" t="str">
        <f t="shared" ref="AE6:AE39" si="35">IF(B6="","",VLOOKUP(B6,Salary_Master,8,FALSE))</f>
        <v/>
      </c>
      <c r="AF6" s="163" t="str">
        <f t="shared" si="14"/>
        <v/>
      </c>
      <c r="AG6" s="163" t="str">
        <f t="shared" si="15"/>
        <v/>
      </c>
      <c r="AH6" s="163" t="str">
        <f t="shared" si="16"/>
        <v/>
      </c>
      <c r="AI6" s="290"/>
      <c r="AJ6" s="165" t="str">
        <f t="shared" si="17"/>
        <v/>
      </c>
      <c r="AK6" s="180" t="str">
        <f t="shared" si="18"/>
        <v/>
      </c>
      <c r="AM6" s="179"/>
      <c r="AN6" s="179"/>
      <c r="AP6" s="166" t="str">
        <f t="shared" si="19"/>
        <v/>
      </c>
      <c r="AQ6" s="166" t="str">
        <f t="shared" si="20"/>
        <v/>
      </c>
      <c r="AR6" s="166" t="str">
        <f t="shared" si="21"/>
        <v/>
      </c>
    </row>
    <row r="7" spans="1:46" s="162" customFormat="1" ht="25.2" customHeight="1" x14ac:dyDescent="0.3">
      <c r="A7" s="167">
        <v>3</v>
      </c>
      <c r="B7" s="156" t="str" cm="1">
        <f t="array" ref="B7">IF($J$1="Active",IF(Salary_Master!B7="","",_xlfn.IFS(Salary_Master!M7="Working",IF(Salary_Master!H7&lt;=DATE(2026,2,28),Salary_Master!B7,""),Salary_Master!M7="Left",IF(Salary_Master!N7&gt;DATE(2026,1,31),Salary_Master!B7,""))),"")</f>
        <v/>
      </c>
      <c r="C7" s="156">
        <v>31</v>
      </c>
      <c r="D7" s="305" t="str">
        <f t="shared" si="22"/>
        <v/>
      </c>
      <c r="E7" s="177"/>
      <c r="F7" s="177"/>
      <c r="G7" s="177"/>
      <c r="H7" s="305" t="str">
        <f t="shared" si="23"/>
        <v/>
      </c>
      <c r="I7" s="177"/>
      <c r="J7" s="177"/>
      <c r="K7" s="306" t="str">
        <f t="shared" si="24"/>
        <v/>
      </c>
      <c r="L7" s="306" t="str">
        <f t="shared" si="25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8"/>
        <v/>
      </c>
      <c r="T7" s="170" t="str">
        <f t="shared" si="9"/>
        <v/>
      </c>
      <c r="U7" s="170" t="str">
        <f t="shared" si="10"/>
        <v/>
      </c>
      <c r="V7" s="262">
        <f t="shared" si="26"/>
        <v>0</v>
      </c>
      <c r="W7" s="160">
        <f t="shared" si="27"/>
        <v>0</v>
      </c>
      <c r="X7" s="160">
        <f t="shared" si="28"/>
        <v>0</v>
      </c>
      <c r="Y7" s="160">
        <f t="shared" si="29"/>
        <v>0</v>
      </c>
      <c r="Z7" s="160">
        <f t="shared" si="30"/>
        <v>0</v>
      </c>
      <c r="AA7" s="160">
        <f t="shared" si="31"/>
        <v>0</v>
      </c>
      <c r="AB7" s="160">
        <f t="shared" si="32"/>
        <v>0</v>
      </c>
      <c r="AC7" s="160">
        <f t="shared" si="33"/>
        <v>0</v>
      </c>
      <c r="AD7" s="307">
        <f t="shared" si="34"/>
        <v>0</v>
      </c>
      <c r="AE7" s="308" t="str">
        <f t="shared" si="35"/>
        <v/>
      </c>
      <c r="AF7" s="163" t="str">
        <f t="shared" si="14"/>
        <v/>
      </c>
      <c r="AG7" s="163" t="str">
        <f t="shared" si="15"/>
        <v/>
      </c>
      <c r="AH7" s="163" t="str">
        <f t="shared" si="16"/>
        <v/>
      </c>
      <c r="AI7" s="290"/>
      <c r="AJ7" s="165" t="str">
        <f t="shared" si="17"/>
        <v/>
      </c>
      <c r="AK7" s="180" t="str">
        <f t="shared" si="18"/>
        <v/>
      </c>
      <c r="AM7" s="179"/>
      <c r="AN7" s="179"/>
      <c r="AP7" s="166" t="str">
        <f t="shared" si="19"/>
        <v/>
      </c>
      <c r="AQ7" s="166" t="str">
        <f t="shared" si="20"/>
        <v/>
      </c>
      <c r="AR7" s="166" t="str">
        <f t="shared" si="21"/>
        <v/>
      </c>
    </row>
    <row r="8" spans="1:46" s="162" customFormat="1" ht="25.2" customHeight="1" x14ac:dyDescent="0.3">
      <c r="A8" s="167">
        <v>4</v>
      </c>
      <c r="B8" s="156" t="str" cm="1">
        <f t="array" ref="B8">IF($J$1="Active",IF(Salary_Master!B8="","",_xlfn.IFS(Salary_Master!M8="Working",IF(Salary_Master!H8&lt;=DATE(2026,2,28),Salary_Master!B8,""),Salary_Master!M8="Left",IF(Salary_Master!N8&gt;DATE(2026,1,31),Salary_Master!B8,""))),"")</f>
        <v/>
      </c>
      <c r="C8" s="156">
        <v>31</v>
      </c>
      <c r="D8" s="305" t="str">
        <f t="shared" si="22"/>
        <v/>
      </c>
      <c r="E8" s="177"/>
      <c r="F8" s="177"/>
      <c r="G8" s="177"/>
      <c r="H8" s="305" t="str">
        <f t="shared" si="23"/>
        <v/>
      </c>
      <c r="I8" s="177"/>
      <c r="J8" s="177"/>
      <c r="K8" s="306" t="str">
        <f t="shared" si="24"/>
        <v/>
      </c>
      <c r="L8" s="306" t="str">
        <f t="shared" si="25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8"/>
        <v/>
      </c>
      <c r="T8" s="170" t="str">
        <f t="shared" si="9"/>
        <v/>
      </c>
      <c r="U8" s="170" t="str">
        <f t="shared" si="10"/>
        <v/>
      </c>
      <c r="V8" s="262">
        <f t="shared" si="26"/>
        <v>0</v>
      </c>
      <c r="W8" s="160">
        <f t="shared" si="27"/>
        <v>0</v>
      </c>
      <c r="X8" s="160">
        <f t="shared" si="28"/>
        <v>0</v>
      </c>
      <c r="Y8" s="160">
        <f t="shared" si="29"/>
        <v>0</v>
      </c>
      <c r="Z8" s="160">
        <f t="shared" si="30"/>
        <v>0</v>
      </c>
      <c r="AA8" s="160">
        <f t="shared" si="31"/>
        <v>0</v>
      </c>
      <c r="AB8" s="160">
        <f t="shared" si="32"/>
        <v>0</v>
      </c>
      <c r="AC8" s="160">
        <f t="shared" si="33"/>
        <v>0</v>
      </c>
      <c r="AD8" s="307">
        <f t="shared" si="34"/>
        <v>0</v>
      </c>
      <c r="AE8" s="308" t="str">
        <f t="shared" si="35"/>
        <v/>
      </c>
      <c r="AF8" s="163" t="str">
        <f t="shared" si="14"/>
        <v/>
      </c>
      <c r="AG8" s="163" t="str">
        <f t="shared" si="15"/>
        <v/>
      </c>
      <c r="AH8" s="163" t="str">
        <f t="shared" si="16"/>
        <v/>
      </c>
      <c r="AI8" s="290"/>
      <c r="AJ8" s="165" t="str">
        <f t="shared" si="17"/>
        <v/>
      </c>
      <c r="AK8" s="180" t="str">
        <f t="shared" si="18"/>
        <v/>
      </c>
      <c r="AM8" s="179"/>
      <c r="AN8" s="179"/>
      <c r="AP8" s="166" t="str">
        <f t="shared" si="19"/>
        <v/>
      </c>
      <c r="AQ8" s="166" t="str">
        <f t="shared" si="20"/>
        <v/>
      </c>
      <c r="AR8" s="166" t="str">
        <f t="shared" si="21"/>
        <v/>
      </c>
    </row>
    <row r="9" spans="1:46" s="162" customFormat="1" ht="25.2" customHeight="1" x14ac:dyDescent="0.3">
      <c r="A9" s="167">
        <v>5</v>
      </c>
      <c r="B9" s="156" t="str" cm="1">
        <f t="array" ref="B9">IF($J$1="Active",IF(Salary_Master!B9="","",_xlfn.IFS(Salary_Master!M9="Working",IF(Salary_Master!H9&lt;=DATE(2026,2,28),Salary_Master!B9,""),Salary_Master!M9="Left",IF(Salary_Master!N9&gt;DATE(2026,1,31),Salary_Master!B9,""))),"")</f>
        <v/>
      </c>
      <c r="C9" s="156">
        <v>31</v>
      </c>
      <c r="D9" s="305" t="str">
        <f t="shared" si="22"/>
        <v/>
      </c>
      <c r="E9" s="177"/>
      <c r="F9" s="177"/>
      <c r="G9" s="177"/>
      <c r="H9" s="305" t="str">
        <f t="shared" si="23"/>
        <v/>
      </c>
      <c r="I9" s="177"/>
      <c r="J9" s="177"/>
      <c r="K9" s="306" t="str">
        <f t="shared" si="24"/>
        <v/>
      </c>
      <c r="L9" s="306" t="str">
        <f t="shared" si="25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8"/>
        <v/>
      </c>
      <c r="T9" s="170" t="str">
        <f t="shared" si="9"/>
        <v/>
      </c>
      <c r="U9" s="170" t="str">
        <f t="shared" si="10"/>
        <v/>
      </c>
      <c r="V9" s="262">
        <f t="shared" si="26"/>
        <v>0</v>
      </c>
      <c r="W9" s="160">
        <f t="shared" si="27"/>
        <v>0</v>
      </c>
      <c r="X9" s="160">
        <f t="shared" si="28"/>
        <v>0</v>
      </c>
      <c r="Y9" s="160">
        <f t="shared" si="29"/>
        <v>0</v>
      </c>
      <c r="Z9" s="160">
        <f t="shared" si="30"/>
        <v>0</v>
      </c>
      <c r="AA9" s="160">
        <f t="shared" si="31"/>
        <v>0</v>
      </c>
      <c r="AB9" s="160">
        <f t="shared" si="32"/>
        <v>0</v>
      </c>
      <c r="AC9" s="160">
        <f t="shared" si="33"/>
        <v>0</v>
      </c>
      <c r="AD9" s="307">
        <f t="shared" si="34"/>
        <v>0</v>
      </c>
      <c r="AE9" s="308" t="str">
        <f t="shared" si="35"/>
        <v/>
      </c>
      <c r="AF9" s="163" t="str">
        <f t="shared" si="14"/>
        <v/>
      </c>
      <c r="AG9" s="163" t="str">
        <f t="shared" si="15"/>
        <v/>
      </c>
      <c r="AH9" s="163" t="str">
        <f t="shared" si="16"/>
        <v/>
      </c>
      <c r="AI9" s="290"/>
      <c r="AJ9" s="165" t="str">
        <f t="shared" si="17"/>
        <v/>
      </c>
      <c r="AK9" s="180" t="str">
        <f t="shared" si="18"/>
        <v/>
      </c>
      <c r="AM9" s="179"/>
      <c r="AN9" s="179"/>
      <c r="AP9" s="166" t="str">
        <f t="shared" si="19"/>
        <v/>
      </c>
      <c r="AQ9" s="166" t="str">
        <f t="shared" si="20"/>
        <v/>
      </c>
      <c r="AR9" s="166" t="str">
        <f t="shared" si="21"/>
        <v/>
      </c>
    </row>
    <row r="10" spans="1:46" s="162" customFormat="1" ht="25.2" customHeight="1" x14ac:dyDescent="0.3">
      <c r="A10" s="167">
        <v>6</v>
      </c>
      <c r="B10" s="156" t="str" cm="1">
        <f t="array" ref="B10">IF($J$1="Active",IF(Salary_Master!B10="","",_xlfn.IFS(Salary_Master!M10="Working",IF(Salary_Master!H10&lt;=DATE(2026,2,28),Salary_Master!B10,""),Salary_Master!M10="Left",IF(Salary_Master!N10&gt;DATE(2026,1,31),Salary_Master!B10,""))),"")</f>
        <v/>
      </c>
      <c r="C10" s="156">
        <v>31</v>
      </c>
      <c r="D10" s="305" t="str">
        <f t="shared" si="22"/>
        <v/>
      </c>
      <c r="E10" s="177"/>
      <c r="F10" s="177"/>
      <c r="G10" s="177"/>
      <c r="H10" s="305" t="str">
        <f t="shared" si="23"/>
        <v/>
      </c>
      <c r="I10" s="177"/>
      <c r="J10" s="177"/>
      <c r="K10" s="306" t="str">
        <f t="shared" si="24"/>
        <v/>
      </c>
      <c r="L10" s="306" t="str">
        <f t="shared" si="25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8"/>
        <v/>
      </c>
      <c r="T10" s="170" t="str">
        <f t="shared" si="9"/>
        <v/>
      </c>
      <c r="U10" s="170" t="str">
        <f t="shared" si="10"/>
        <v/>
      </c>
      <c r="V10" s="262">
        <f t="shared" si="26"/>
        <v>0</v>
      </c>
      <c r="W10" s="160">
        <f t="shared" si="27"/>
        <v>0</v>
      </c>
      <c r="X10" s="160">
        <f t="shared" si="28"/>
        <v>0</v>
      </c>
      <c r="Y10" s="160">
        <f t="shared" si="29"/>
        <v>0</v>
      </c>
      <c r="Z10" s="160">
        <f t="shared" si="30"/>
        <v>0</v>
      </c>
      <c r="AA10" s="160">
        <f t="shared" si="31"/>
        <v>0</v>
      </c>
      <c r="AB10" s="160">
        <f t="shared" si="32"/>
        <v>0</v>
      </c>
      <c r="AC10" s="160">
        <f t="shared" si="33"/>
        <v>0</v>
      </c>
      <c r="AD10" s="307">
        <f t="shared" si="34"/>
        <v>0</v>
      </c>
      <c r="AE10" s="308" t="str">
        <f t="shared" si="35"/>
        <v/>
      </c>
      <c r="AF10" s="163" t="str">
        <f t="shared" si="14"/>
        <v/>
      </c>
      <c r="AG10" s="163" t="str">
        <f t="shared" si="15"/>
        <v/>
      </c>
      <c r="AH10" s="163" t="str">
        <f t="shared" si="16"/>
        <v/>
      </c>
      <c r="AI10" s="290"/>
      <c r="AJ10" s="165" t="str">
        <f t="shared" si="17"/>
        <v/>
      </c>
      <c r="AK10" s="180" t="str">
        <f t="shared" si="18"/>
        <v/>
      </c>
      <c r="AM10" s="179"/>
      <c r="AN10" s="179"/>
      <c r="AP10" s="166" t="str">
        <f t="shared" si="19"/>
        <v/>
      </c>
      <c r="AQ10" s="166" t="str">
        <f t="shared" si="20"/>
        <v/>
      </c>
      <c r="AR10" s="166" t="str">
        <f t="shared" si="21"/>
        <v/>
      </c>
    </row>
    <row r="11" spans="1:46" s="162" customFormat="1" ht="25.2" customHeight="1" x14ac:dyDescent="0.3">
      <c r="A11" s="167">
        <v>7</v>
      </c>
      <c r="B11" s="156" t="str" cm="1">
        <f t="array" ref="B11">IF($J$1="Active",IF(Salary_Master!B11="","",_xlfn.IFS(Salary_Master!M11="Working",IF(Salary_Master!H11&lt;=DATE(2026,2,28),Salary_Master!B11,""),Salary_Master!M11="Left",IF(Salary_Master!N11&gt;DATE(2026,1,31),Salary_Master!B11,""))),"")</f>
        <v/>
      </c>
      <c r="C11" s="156">
        <v>31</v>
      </c>
      <c r="D11" s="305" t="str">
        <f t="shared" si="22"/>
        <v/>
      </c>
      <c r="E11" s="177"/>
      <c r="F11" s="177"/>
      <c r="G11" s="177"/>
      <c r="H11" s="305" t="str">
        <f t="shared" si="23"/>
        <v/>
      </c>
      <c r="I11" s="177"/>
      <c r="J11" s="177"/>
      <c r="K11" s="306" t="str">
        <f t="shared" si="24"/>
        <v/>
      </c>
      <c r="L11" s="306" t="str">
        <f t="shared" si="25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8"/>
        <v/>
      </c>
      <c r="T11" s="170" t="str">
        <f t="shared" si="9"/>
        <v/>
      </c>
      <c r="U11" s="170" t="str">
        <f t="shared" si="10"/>
        <v/>
      </c>
      <c r="V11" s="262">
        <f t="shared" si="26"/>
        <v>0</v>
      </c>
      <c r="W11" s="160">
        <f t="shared" si="27"/>
        <v>0</v>
      </c>
      <c r="X11" s="160">
        <f t="shared" si="28"/>
        <v>0</v>
      </c>
      <c r="Y11" s="160">
        <f t="shared" si="29"/>
        <v>0</v>
      </c>
      <c r="Z11" s="160">
        <f t="shared" si="30"/>
        <v>0</v>
      </c>
      <c r="AA11" s="160">
        <f t="shared" si="31"/>
        <v>0</v>
      </c>
      <c r="AB11" s="160">
        <f t="shared" si="32"/>
        <v>0</v>
      </c>
      <c r="AC11" s="160">
        <f t="shared" si="33"/>
        <v>0</v>
      </c>
      <c r="AD11" s="307">
        <f t="shared" si="34"/>
        <v>0</v>
      </c>
      <c r="AE11" s="308" t="str">
        <f t="shared" si="35"/>
        <v/>
      </c>
      <c r="AF11" s="163" t="str">
        <f t="shared" si="14"/>
        <v/>
      </c>
      <c r="AG11" s="163" t="str">
        <f t="shared" si="15"/>
        <v/>
      </c>
      <c r="AH11" s="163" t="str">
        <f t="shared" si="16"/>
        <v/>
      </c>
      <c r="AI11" s="290"/>
      <c r="AJ11" s="165" t="str">
        <f t="shared" si="17"/>
        <v/>
      </c>
      <c r="AK11" s="180" t="str">
        <f t="shared" si="18"/>
        <v/>
      </c>
      <c r="AM11" s="179"/>
      <c r="AN11" s="179"/>
      <c r="AP11" s="166" t="str">
        <f t="shared" si="19"/>
        <v/>
      </c>
      <c r="AQ11" s="166" t="str">
        <f t="shared" si="20"/>
        <v/>
      </c>
      <c r="AR11" s="166" t="str">
        <f t="shared" si="21"/>
        <v/>
      </c>
    </row>
    <row r="12" spans="1:46" s="173" customFormat="1" ht="25.2" customHeight="1" x14ac:dyDescent="0.3">
      <c r="A12" s="172">
        <v>8</v>
      </c>
      <c r="B12" s="156" t="str" cm="1">
        <f t="array" ref="B12">IF($J$1="Active",IF(Salary_Master!B12="","",_xlfn.IFS(Salary_Master!M12="Working",IF(Salary_Master!H12&lt;=DATE(2026,2,28),Salary_Master!B12,""),Salary_Master!M12="Left",IF(Salary_Master!N12&gt;DATE(2026,1,31),Salary_Master!B12,""))),"")</f>
        <v/>
      </c>
      <c r="C12" s="156">
        <v>31</v>
      </c>
      <c r="D12" s="305" t="str">
        <f t="shared" si="22"/>
        <v/>
      </c>
      <c r="E12" s="177"/>
      <c r="F12" s="177"/>
      <c r="G12" s="177"/>
      <c r="H12" s="305" t="str">
        <f t="shared" si="23"/>
        <v/>
      </c>
      <c r="I12" s="177"/>
      <c r="J12" s="177"/>
      <c r="K12" s="306" t="str">
        <f t="shared" si="24"/>
        <v/>
      </c>
      <c r="L12" s="306" t="str">
        <f t="shared" si="25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8"/>
        <v/>
      </c>
      <c r="T12" s="170" t="str">
        <f t="shared" si="9"/>
        <v/>
      </c>
      <c r="U12" s="170" t="str">
        <f t="shared" si="10"/>
        <v/>
      </c>
      <c r="V12" s="262">
        <f t="shared" si="26"/>
        <v>0</v>
      </c>
      <c r="W12" s="160">
        <f t="shared" si="27"/>
        <v>0</v>
      </c>
      <c r="X12" s="160">
        <f t="shared" si="28"/>
        <v>0</v>
      </c>
      <c r="Y12" s="160">
        <f t="shared" si="29"/>
        <v>0</v>
      </c>
      <c r="Z12" s="160">
        <f t="shared" si="30"/>
        <v>0</v>
      </c>
      <c r="AA12" s="160">
        <f t="shared" si="31"/>
        <v>0</v>
      </c>
      <c r="AB12" s="160">
        <f t="shared" si="32"/>
        <v>0</v>
      </c>
      <c r="AC12" s="160">
        <f t="shared" si="33"/>
        <v>0</v>
      </c>
      <c r="AD12" s="307">
        <f t="shared" si="34"/>
        <v>0</v>
      </c>
      <c r="AE12" s="308" t="str">
        <f t="shared" si="35"/>
        <v/>
      </c>
      <c r="AF12" s="163" t="str">
        <f t="shared" si="14"/>
        <v/>
      </c>
      <c r="AG12" s="163" t="str">
        <f t="shared" si="15"/>
        <v/>
      </c>
      <c r="AH12" s="163" t="str">
        <f t="shared" si="16"/>
        <v/>
      </c>
      <c r="AI12" s="290"/>
      <c r="AJ12" s="165" t="str">
        <f t="shared" si="17"/>
        <v/>
      </c>
      <c r="AK12" s="180" t="str">
        <f t="shared" si="18"/>
        <v/>
      </c>
      <c r="AM12" s="179"/>
      <c r="AN12" s="179"/>
      <c r="AP12" s="166" t="str">
        <f t="shared" si="19"/>
        <v/>
      </c>
      <c r="AQ12" s="166" t="str">
        <f t="shared" si="20"/>
        <v/>
      </c>
      <c r="AR12" s="166" t="str">
        <f t="shared" si="21"/>
        <v/>
      </c>
      <c r="AT12" s="162"/>
    </row>
    <row r="13" spans="1:46" s="173" customFormat="1" ht="25.2" customHeight="1" x14ac:dyDescent="0.3">
      <c r="A13" s="172">
        <v>9</v>
      </c>
      <c r="B13" s="156" t="str" cm="1">
        <f t="array" ref="B13">IF($J$1="Active",IF(Salary_Master!B13="","",_xlfn.IFS(Salary_Master!M13="Working",IF(Salary_Master!H13&lt;=DATE(2026,2,28),Salary_Master!B13,""),Salary_Master!M13="Left",IF(Salary_Master!N13&gt;DATE(2026,1,31),Salary_Master!B13,""))),"")</f>
        <v/>
      </c>
      <c r="C13" s="156">
        <v>31</v>
      </c>
      <c r="D13" s="305" t="str">
        <f t="shared" si="22"/>
        <v/>
      </c>
      <c r="E13" s="177"/>
      <c r="F13" s="177"/>
      <c r="G13" s="177"/>
      <c r="H13" s="305" t="str">
        <f t="shared" si="23"/>
        <v/>
      </c>
      <c r="I13" s="177"/>
      <c r="J13" s="177"/>
      <c r="K13" s="306" t="str">
        <f t="shared" si="24"/>
        <v/>
      </c>
      <c r="L13" s="306" t="str">
        <f t="shared" si="25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8"/>
        <v/>
      </c>
      <c r="T13" s="170" t="str">
        <f t="shared" si="9"/>
        <v/>
      </c>
      <c r="U13" s="170" t="str">
        <f t="shared" si="10"/>
        <v/>
      </c>
      <c r="V13" s="262">
        <f t="shared" si="26"/>
        <v>0</v>
      </c>
      <c r="W13" s="160">
        <f t="shared" si="27"/>
        <v>0</v>
      </c>
      <c r="X13" s="160">
        <f t="shared" si="28"/>
        <v>0</v>
      </c>
      <c r="Y13" s="160">
        <f t="shared" si="29"/>
        <v>0</v>
      </c>
      <c r="Z13" s="160">
        <f t="shared" si="30"/>
        <v>0</v>
      </c>
      <c r="AA13" s="160">
        <f t="shared" si="31"/>
        <v>0</v>
      </c>
      <c r="AB13" s="160">
        <f t="shared" si="32"/>
        <v>0</v>
      </c>
      <c r="AC13" s="160">
        <f t="shared" si="33"/>
        <v>0</v>
      </c>
      <c r="AD13" s="307">
        <f t="shared" si="34"/>
        <v>0</v>
      </c>
      <c r="AE13" s="308" t="str">
        <f t="shared" si="35"/>
        <v/>
      </c>
      <c r="AF13" s="163" t="str">
        <f t="shared" si="14"/>
        <v/>
      </c>
      <c r="AG13" s="163" t="str">
        <f t="shared" si="15"/>
        <v/>
      </c>
      <c r="AH13" s="163" t="str">
        <f t="shared" si="16"/>
        <v/>
      </c>
      <c r="AI13" s="290"/>
      <c r="AJ13" s="165" t="str">
        <f t="shared" si="17"/>
        <v/>
      </c>
      <c r="AK13" s="180" t="str">
        <f t="shared" si="18"/>
        <v/>
      </c>
      <c r="AM13" s="179"/>
      <c r="AN13" s="179"/>
      <c r="AP13" s="166" t="str">
        <f t="shared" si="19"/>
        <v/>
      </c>
      <c r="AQ13" s="166" t="str">
        <f t="shared" si="20"/>
        <v/>
      </c>
      <c r="AR13" s="166" t="str">
        <f t="shared" si="21"/>
        <v/>
      </c>
      <c r="AT13" s="162"/>
    </row>
    <row r="14" spans="1:46" s="162" customFormat="1" ht="25.2" customHeight="1" x14ac:dyDescent="0.3">
      <c r="A14" s="167">
        <v>10</v>
      </c>
      <c r="B14" s="156" t="str" cm="1">
        <f t="array" ref="B14">IF($J$1="Active",IF(Salary_Master!B14="","",_xlfn.IFS(Salary_Master!M14="Working",IF(Salary_Master!H14&lt;=DATE(2026,2,28),Salary_Master!B14,""),Salary_Master!M14="Left",IF(Salary_Master!N14&gt;DATE(2026,1,31),Salary_Master!B14,""))),"")</f>
        <v/>
      </c>
      <c r="C14" s="156">
        <v>31</v>
      </c>
      <c r="D14" s="305" t="str">
        <f t="shared" si="22"/>
        <v/>
      </c>
      <c r="E14" s="177"/>
      <c r="F14" s="177"/>
      <c r="G14" s="177"/>
      <c r="H14" s="305" t="str">
        <f t="shared" si="23"/>
        <v/>
      </c>
      <c r="I14" s="177"/>
      <c r="J14" s="177"/>
      <c r="K14" s="306" t="str">
        <f t="shared" si="24"/>
        <v/>
      </c>
      <c r="L14" s="306" t="str">
        <f t="shared" si="25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8"/>
        <v/>
      </c>
      <c r="T14" s="170" t="str">
        <f t="shared" si="9"/>
        <v/>
      </c>
      <c r="U14" s="170" t="str">
        <f t="shared" si="10"/>
        <v/>
      </c>
      <c r="V14" s="262">
        <f t="shared" si="26"/>
        <v>0</v>
      </c>
      <c r="W14" s="160">
        <f t="shared" si="27"/>
        <v>0</v>
      </c>
      <c r="X14" s="160">
        <f t="shared" si="28"/>
        <v>0</v>
      </c>
      <c r="Y14" s="160">
        <f t="shared" si="29"/>
        <v>0</v>
      </c>
      <c r="Z14" s="160">
        <f t="shared" si="30"/>
        <v>0</v>
      </c>
      <c r="AA14" s="160">
        <f t="shared" si="31"/>
        <v>0</v>
      </c>
      <c r="AB14" s="160">
        <f t="shared" si="32"/>
        <v>0</v>
      </c>
      <c r="AC14" s="160">
        <f t="shared" si="33"/>
        <v>0</v>
      </c>
      <c r="AD14" s="307">
        <f t="shared" si="34"/>
        <v>0</v>
      </c>
      <c r="AE14" s="308" t="str">
        <f t="shared" si="35"/>
        <v/>
      </c>
      <c r="AF14" s="163" t="str">
        <f t="shared" si="14"/>
        <v/>
      </c>
      <c r="AG14" s="163" t="str">
        <f t="shared" si="15"/>
        <v/>
      </c>
      <c r="AH14" s="163" t="str">
        <f t="shared" si="16"/>
        <v/>
      </c>
      <c r="AI14" s="290"/>
      <c r="AJ14" s="165" t="str">
        <f t="shared" si="17"/>
        <v/>
      </c>
      <c r="AK14" s="180" t="str">
        <f t="shared" si="18"/>
        <v/>
      </c>
      <c r="AM14" s="179"/>
      <c r="AN14" s="179"/>
      <c r="AP14" s="166" t="str">
        <f t="shared" si="19"/>
        <v/>
      </c>
      <c r="AQ14" s="166" t="str">
        <f t="shared" si="20"/>
        <v/>
      </c>
      <c r="AR14" s="166" t="str">
        <f t="shared" si="21"/>
        <v/>
      </c>
    </row>
    <row r="15" spans="1:46" s="162" customFormat="1" ht="25.2" customHeight="1" x14ac:dyDescent="0.3">
      <c r="A15" s="167">
        <v>11</v>
      </c>
      <c r="B15" s="156" t="str" cm="1">
        <f t="array" ref="B15">IF($J$1="Active",IF(Salary_Master!B15="","",_xlfn.IFS(Salary_Master!M15="Working",IF(Salary_Master!H15&lt;=DATE(2026,2,28),Salary_Master!B15,""),Salary_Master!M15="Left",IF(Salary_Master!N15&gt;DATE(2026,1,31),Salary_Master!B15,""))),"")</f>
        <v/>
      </c>
      <c r="C15" s="156">
        <v>31</v>
      </c>
      <c r="D15" s="305" t="str">
        <f t="shared" si="22"/>
        <v/>
      </c>
      <c r="E15" s="177"/>
      <c r="F15" s="177"/>
      <c r="G15" s="177"/>
      <c r="H15" s="305" t="str">
        <f t="shared" si="23"/>
        <v/>
      </c>
      <c r="I15" s="177"/>
      <c r="J15" s="177"/>
      <c r="K15" s="306" t="str">
        <f t="shared" si="24"/>
        <v/>
      </c>
      <c r="L15" s="306" t="str">
        <f t="shared" si="25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8"/>
        <v/>
      </c>
      <c r="T15" s="170" t="str">
        <f t="shared" si="9"/>
        <v/>
      </c>
      <c r="U15" s="170" t="str">
        <f t="shared" si="10"/>
        <v/>
      </c>
      <c r="V15" s="262">
        <f t="shared" si="26"/>
        <v>0</v>
      </c>
      <c r="W15" s="160">
        <f t="shared" si="27"/>
        <v>0</v>
      </c>
      <c r="X15" s="160">
        <f t="shared" si="28"/>
        <v>0</v>
      </c>
      <c r="Y15" s="160">
        <f t="shared" si="29"/>
        <v>0</v>
      </c>
      <c r="Z15" s="160">
        <f t="shared" si="30"/>
        <v>0</v>
      </c>
      <c r="AA15" s="160">
        <f t="shared" si="31"/>
        <v>0</v>
      </c>
      <c r="AB15" s="160">
        <f t="shared" si="32"/>
        <v>0</v>
      </c>
      <c r="AC15" s="160">
        <f t="shared" si="33"/>
        <v>0</v>
      </c>
      <c r="AD15" s="307">
        <f t="shared" si="34"/>
        <v>0</v>
      </c>
      <c r="AE15" s="308" t="str">
        <f t="shared" si="35"/>
        <v/>
      </c>
      <c r="AF15" s="163" t="str">
        <f t="shared" si="14"/>
        <v/>
      </c>
      <c r="AG15" s="163" t="str">
        <f t="shared" si="15"/>
        <v/>
      </c>
      <c r="AH15" s="163" t="str">
        <f t="shared" si="16"/>
        <v/>
      </c>
      <c r="AI15" s="290"/>
      <c r="AJ15" s="165" t="str">
        <f t="shared" si="17"/>
        <v/>
      </c>
      <c r="AK15" s="180" t="str">
        <f t="shared" si="18"/>
        <v/>
      </c>
      <c r="AM15" s="179"/>
      <c r="AN15" s="179"/>
      <c r="AP15" s="166" t="str">
        <f t="shared" si="19"/>
        <v/>
      </c>
      <c r="AQ15" s="166" t="str">
        <f t="shared" si="20"/>
        <v/>
      </c>
      <c r="AR15" s="166" t="str">
        <f t="shared" si="21"/>
        <v/>
      </c>
    </row>
    <row r="16" spans="1:46" s="162" customFormat="1" ht="25.2" customHeight="1" x14ac:dyDescent="0.3">
      <c r="A16" s="167">
        <v>12</v>
      </c>
      <c r="B16" s="156" t="str" cm="1">
        <f t="array" ref="B16">IF($J$1="Active",IF(Salary_Master!B16="","",_xlfn.IFS(Salary_Master!M16="Working",IF(Salary_Master!H16&lt;=DATE(2026,2,28),Salary_Master!B16,""),Salary_Master!M16="Left",IF(Salary_Master!N16&gt;DATE(2026,1,31),Salary_Master!B16,""))),"")</f>
        <v/>
      </c>
      <c r="C16" s="156">
        <v>31</v>
      </c>
      <c r="D16" s="305" t="str">
        <f t="shared" si="22"/>
        <v/>
      </c>
      <c r="E16" s="177"/>
      <c r="F16" s="177"/>
      <c r="G16" s="177"/>
      <c r="H16" s="305" t="str">
        <f t="shared" si="23"/>
        <v/>
      </c>
      <c r="I16" s="177"/>
      <c r="J16" s="177"/>
      <c r="K16" s="306" t="str">
        <f t="shared" si="24"/>
        <v/>
      </c>
      <c r="L16" s="306" t="str">
        <f t="shared" si="25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8"/>
        <v/>
      </c>
      <c r="T16" s="170" t="str">
        <f t="shared" si="9"/>
        <v/>
      </c>
      <c r="U16" s="170" t="str">
        <f t="shared" si="10"/>
        <v/>
      </c>
      <c r="V16" s="262">
        <f t="shared" si="26"/>
        <v>0</v>
      </c>
      <c r="W16" s="160">
        <f t="shared" si="27"/>
        <v>0</v>
      </c>
      <c r="X16" s="160">
        <f t="shared" si="28"/>
        <v>0</v>
      </c>
      <c r="Y16" s="160">
        <f t="shared" si="29"/>
        <v>0</v>
      </c>
      <c r="Z16" s="160">
        <f t="shared" si="30"/>
        <v>0</v>
      </c>
      <c r="AA16" s="160">
        <f t="shared" si="31"/>
        <v>0</v>
      </c>
      <c r="AB16" s="160">
        <f t="shared" si="32"/>
        <v>0</v>
      </c>
      <c r="AC16" s="160">
        <f t="shared" si="33"/>
        <v>0</v>
      </c>
      <c r="AD16" s="307">
        <f t="shared" si="34"/>
        <v>0</v>
      </c>
      <c r="AE16" s="308" t="str">
        <f t="shared" si="35"/>
        <v/>
      </c>
      <c r="AF16" s="163" t="str">
        <f t="shared" si="14"/>
        <v/>
      </c>
      <c r="AG16" s="163" t="str">
        <f t="shared" si="15"/>
        <v/>
      </c>
      <c r="AH16" s="163" t="str">
        <f t="shared" si="16"/>
        <v/>
      </c>
      <c r="AI16" s="290"/>
      <c r="AJ16" s="165" t="str">
        <f t="shared" si="17"/>
        <v/>
      </c>
      <c r="AK16" s="180" t="str">
        <f t="shared" si="18"/>
        <v/>
      </c>
      <c r="AM16" s="179"/>
      <c r="AN16" s="179"/>
      <c r="AP16" s="166" t="str">
        <f t="shared" si="19"/>
        <v/>
      </c>
      <c r="AQ16" s="166" t="str">
        <f t="shared" si="20"/>
        <v/>
      </c>
      <c r="AR16" s="166" t="str">
        <f t="shared" si="21"/>
        <v/>
      </c>
    </row>
    <row r="17" spans="1:46" s="162" customFormat="1" ht="25.2" customHeight="1" x14ac:dyDescent="0.3">
      <c r="A17" s="172">
        <v>13</v>
      </c>
      <c r="B17" s="156" t="str" cm="1">
        <f t="array" ref="B17">IF($J$1="Active",IF(Salary_Master!B17="","",_xlfn.IFS(Salary_Master!M17="Working",IF(Salary_Master!H17&lt;=DATE(2026,2,28),Salary_Master!B17,""),Salary_Master!M17="Left",IF(Salary_Master!N17&gt;DATE(2026,1,31),Salary_Master!B17,""))),"")</f>
        <v/>
      </c>
      <c r="C17" s="156">
        <v>31</v>
      </c>
      <c r="D17" s="305" t="str">
        <f t="shared" si="22"/>
        <v/>
      </c>
      <c r="E17" s="177"/>
      <c r="F17" s="177"/>
      <c r="G17" s="177"/>
      <c r="H17" s="305" t="str">
        <f t="shared" si="23"/>
        <v/>
      </c>
      <c r="I17" s="177"/>
      <c r="J17" s="177"/>
      <c r="K17" s="306" t="str">
        <f t="shared" si="24"/>
        <v/>
      </c>
      <c r="L17" s="306" t="str">
        <f t="shared" si="25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8"/>
        <v/>
      </c>
      <c r="T17" s="170" t="str">
        <f t="shared" si="9"/>
        <v/>
      </c>
      <c r="U17" s="170" t="str">
        <f t="shared" si="10"/>
        <v/>
      </c>
      <c r="V17" s="262">
        <f t="shared" si="26"/>
        <v>0</v>
      </c>
      <c r="W17" s="160">
        <f t="shared" si="27"/>
        <v>0</v>
      </c>
      <c r="X17" s="160">
        <f t="shared" si="28"/>
        <v>0</v>
      </c>
      <c r="Y17" s="160">
        <f t="shared" si="29"/>
        <v>0</v>
      </c>
      <c r="Z17" s="160">
        <f t="shared" si="30"/>
        <v>0</v>
      </c>
      <c r="AA17" s="160">
        <f t="shared" si="31"/>
        <v>0</v>
      </c>
      <c r="AB17" s="160">
        <f t="shared" si="32"/>
        <v>0</v>
      </c>
      <c r="AC17" s="160">
        <f t="shared" si="33"/>
        <v>0</v>
      </c>
      <c r="AD17" s="307">
        <f t="shared" si="34"/>
        <v>0</v>
      </c>
      <c r="AE17" s="308" t="str">
        <f t="shared" si="35"/>
        <v/>
      </c>
      <c r="AF17" s="163" t="str">
        <f t="shared" si="14"/>
        <v/>
      </c>
      <c r="AG17" s="163" t="str">
        <f t="shared" si="15"/>
        <v/>
      </c>
      <c r="AH17" s="163" t="str">
        <f t="shared" si="16"/>
        <v/>
      </c>
      <c r="AI17" s="290"/>
      <c r="AJ17" s="165" t="str">
        <f t="shared" si="17"/>
        <v/>
      </c>
      <c r="AK17" s="180" t="str">
        <f t="shared" si="18"/>
        <v/>
      </c>
      <c r="AM17" s="179"/>
      <c r="AN17" s="179"/>
      <c r="AP17" s="166" t="str">
        <f t="shared" si="19"/>
        <v/>
      </c>
      <c r="AQ17" s="166" t="str">
        <f t="shared" si="20"/>
        <v/>
      </c>
      <c r="AR17" s="166" t="str">
        <f t="shared" si="21"/>
        <v/>
      </c>
    </row>
    <row r="18" spans="1:46" s="173" customFormat="1" ht="25.2" customHeight="1" x14ac:dyDescent="0.3">
      <c r="A18" s="167">
        <v>14</v>
      </c>
      <c r="B18" s="156" t="str" cm="1">
        <f t="array" ref="B18">IF($J$1="Active",IF(Salary_Master!B18="","",_xlfn.IFS(Salary_Master!M18="Working",IF(Salary_Master!H18&lt;=DATE(2026,2,28),Salary_Master!B18,""),Salary_Master!M18="Left",IF(Salary_Master!N18&gt;DATE(2026,1,31),Salary_Master!B18,""))),"")</f>
        <v/>
      </c>
      <c r="C18" s="156">
        <v>31</v>
      </c>
      <c r="D18" s="305" t="str">
        <f t="shared" si="22"/>
        <v/>
      </c>
      <c r="E18" s="177"/>
      <c r="F18" s="177"/>
      <c r="G18" s="177"/>
      <c r="H18" s="305" t="str">
        <f t="shared" si="23"/>
        <v/>
      </c>
      <c r="I18" s="177"/>
      <c r="J18" s="177"/>
      <c r="K18" s="306" t="str">
        <f t="shared" si="24"/>
        <v/>
      </c>
      <c r="L18" s="306" t="str">
        <f t="shared" si="25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8"/>
        <v/>
      </c>
      <c r="T18" s="170" t="str">
        <f t="shared" si="9"/>
        <v/>
      </c>
      <c r="U18" s="170" t="str">
        <f t="shared" si="10"/>
        <v/>
      </c>
      <c r="V18" s="262">
        <f t="shared" si="26"/>
        <v>0</v>
      </c>
      <c r="W18" s="160">
        <f t="shared" si="27"/>
        <v>0</v>
      </c>
      <c r="X18" s="160">
        <f t="shared" si="28"/>
        <v>0</v>
      </c>
      <c r="Y18" s="160">
        <f t="shared" si="29"/>
        <v>0</v>
      </c>
      <c r="Z18" s="160">
        <f t="shared" si="30"/>
        <v>0</v>
      </c>
      <c r="AA18" s="160">
        <f t="shared" si="31"/>
        <v>0</v>
      </c>
      <c r="AB18" s="160">
        <f t="shared" si="32"/>
        <v>0</v>
      </c>
      <c r="AC18" s="160">
        <f t="shared" si="33"/>
        <v>0</v>
      </c>
      <c r="AD18" s="307">
        <f t="shared" si="34"/>
        <v>0</v>
      </c>
      <c r="AE18" s="308" t="str">
        <f t="shared" si="35"/>
        <v/>
      </c>
      <c r="AF18" s="163" t="str">
        <f t="shared" si="14"/>
        <v/>
      </c>
      <c r="AG18" s="163" t="str">
        <f t="shared" si="15"/>
        <v/>
      </c>
      <c r="AH18" s="163" t="str">
        <f t="shared" si="16"/>
        <v/>
      </c>
      <c r="AI18" s="290"/>
      <c r="AJ18" s="165" t="str">
        <f t="shared" si="17"/>
        <v/>
      </c>
      <c r="AK18" s="180" t="str">
        <f t="shared" si="18"/>
        <v/>
      </c>
      <c r="AM18" s="179"/>
      <c r="AN18" s="179"/>
      <c r="AP18" s="166" t="str">
        <f t="shared" si="19"/>
        <v/>
      </c>
      <c r="AQ18" s="166" t="str">
        <f t="shared" si="20"/>
        <v/>
      </c>
      <c r="AR18" s="166" t="str">
        <f t="shared" si="21"/>
        <v/>
      </c>
      <c r="AT18" s="162"/>
    </row>
    <row r="19" spans="1:46" s="162" customFormat="1" ht="25.2" customHeight="1" x14ac:dyDescent="0.3">
      <c r="A19" s="167">
        <v>15</v>
      </c>
      <c r="B19" s="156" t="str" cm="1">
        <f t="array" ref="B19">IF($J$1="Active",IF(Salary_Master!B19="","",_xlfn.IFS(Salary_Master!M19="Working",IF(Salary_Master!H19&lt;=DATE(2026,2,28),Salary_Master!B19,""),Salary_Master!M19="Left",IF(Salary_Master!N19&gt;DATE(2026,1,31),Salary_Master!B19,""))),"")</f>
        <v/>
      </c>
      <c r="C19" s="156">
        <v>31</v>
      </c>
      <c r="D19" s="305" t="str">
        <f t="shared" si="22"/>
        <v/>
      </c>
      <c r="E19" s="177"/>
      <c r="F19" s="177"/>
      <c r="G19" s="177"/>
      <c r="H19" s="305" t="str">
        <f t="shared" si="23"/>
        <v/>
      </c>
      <c r="I19" s="177"/>
      <c r="J19" s="177"/>
      <c r="K19" s="306" t="str">
        <f t="shared" si="24"/>
        <v/>
      </c>
      <c r="L19" s="306" t="str">
        <f t="shared" si="25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8"/>
        <v/>
      </c>
      <c r="T19" s="170" t="str">
        <f t="shared" si="9"/>
        <v/>
      </c>
      <c r="U19" s="170" t="str">
        <f t="shared" si="10"/>
        <v/>
      </c>
      <c r="V19" s="262">
        <f t="shared" si="26"/>
        <v>0</v>
      </c>
      <c r="W19" s="160">
        <f t="shared" si="27"/>
        <v>0</v>
      </c>
      <c r="X19" s="160">
        <f t="shared" si="28"/>
        <v>0</v>
      </c>
      <c r="Y19" s="160">
        <f t="shared" si="29"/>
        <v>0</v>
      </c>
      <c r="Z19" s="160">
        <f t="shared" si="30"/>
        <v>0</v>
      </c>
      <c r="AA19" s="160">
        <f t="shared" si="31"/>
        <v>0</v>
      </c>
      <c r="AB19" s="160">
        <f t="shared" si="32"/>
        <v>0</v>
      </c>
      <c r="AC19" s="160">
        <f t="shared" si="33"/>
        <v>0</v>
      </c>
      <c r="AD19" s="307">
        <f t="shared" si="34"/>
        <v>0</v>
      </c>
      <c r="AE19" s="308" t="str">
        <f t="shared" si="35"/>
        <v/>
      </c>
      <c r="AF19" s="163" t="str">
        <f t="shared" si="14"/>
        <v/>
      </c>
      <c r="AG19" s="163" t="str">
        <f t="shared" si="15"/>
        <v/>
      </c>
      <c r="AH19" s="163" t="str">
        <f t="shared" si="16"/>
        <v/>
      </c>
      <c r="AI19" s="290"/>
      <c r="AJ19" s="165" t="str">
        <f t="shared" si="17"/>
        <v/>
      </c>
      <c r="AK19" s="180" t="str">
        <f t="shared" si="18"/>
        <v/>
      </c>
      <c r="AM19" s="179"/>
      <c r="AN19" s="179"/>
      <c r="AP19" s="166" t="str">
        <f t="shared" si="19"/>
        <v/>
      </c>
      <c r="AQ19" s="166" t="str">
        <f t="shared" si="20"/>
        <v/>
      </c>
      <c r="AR19" s="166" t="str">
        <f t="shared" si="21"/>
        <v/>
      </c>
    </row>
    <row r="20" spans="1:46" s="162" customFormat="1" ht="25.2" customHeight="1" x14ac:dyDescent="0.3">
      <c r="A20" s="167">
        <v>16</v>
      </c>
      <c r="B20" s="156" t="str" cm="1">
        <f t="array" ref="B20">IF($J$1="Active",IF(Salary_Master!B20="","",_xlfn.IFS(Salary_Master!M20="Working",IF(Salary_Master!H20&lt;=DATE(2026,2,28),Salary_Master!B20,""),Salary_Master!M20="Left",IF(Salary_Master!N20&gt;DATE(2026,1,31),Salary_Master!B20,""))),"")</f>
        <v/>
      </c>
      <c r="C20" s="156">
        <v>31</v>
      </c>
      <c r="D20" s="305" t="str">
        <f t="shared" si="22"/>
        <v/>
      </c>
      <c r="E20" s="177"/>
      <c r="F20" s="177"/>
      <c r="G20" s="177"/>
      <c r="H20" s="305" t="str">
        <f t="shared" si="23"/>
        <v/>
      </c>
      <c r="I20" s="177"/>
      <c r="J20" s="177"/>
      <c r="K20" s="306" t="str">
        <f t="shared" si="24"/>
        <v/>
      </c>
      <c r="L20" s="306" t="str">
        <f t="shared" si="25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8"/>
        <v/>
      </c>
      <c r="T20" s="170" t="str">
        <f t="shared" si="9"/>
        <v/>
      </c>
      <c r="U20" s="170" t="str">
        <f t="shared" si="10"/>
        <v/>
      </c>
      <c r="V20" s="262">
        <f t="shared" si="26"/>
        <v>0</v>
      </c>
      <c r="W20" s="160">
        <f t="shared" si="27"/>
        <v>0</v>
      </c>
      <c r="X20" s="160">
        <f t="shared" si="28"/>
        <v>0</v>
      </c>
      <c r="Y20" s="160">
        <f t="shared" si="29"/>
        <v>0</v>
      </c>
      <c r="Z20" s="160">
        <f t="shared" si="30"/>
        <v>0</v>
      </c>
      <c r="AA20" s="160">
        <f t="shared" si="31"/>
        <v>0</v>
      </c>
      <c r="AB20" s="160">
        <f t="shared" si="32"/>
        <v>0</v>
      </c>
      <c r="AC20" s="160">
        <f t="shared" si="33"/>
        <v>0</v>
      </c>
      <c r="AD20" s="307">
        <f t="shared" si="34"/>
        <v>0</v>
      </c>
      <c r="AE20" s="308" t="str">
        <f t="shared" si="35"/>
        <v/>
      </c>
      <c r="AF20" s="163" t="str">
        <f t="shared" si="14"/>
        <v/>
      </c>
      <c r="AG20" s="163" t="str">
        <f t="shared" si="15"/>
        <v/>
      </c>
      <c r="AH20" s="163" t="str">
        <f t="shared" si="16"/>
        <v/>
      </c>
      <c r="AI20" s="290"/>
      <c r="AJ20" s="165" t="str">
        <f t="shared" si="17"/>
        <v/>
      </c>
      <c r="AK20" s="180" t="str">
        <f t="shared" si="18"/>
        <v/>
      </c>
      <c r="AM20" s="179"/>
      <c r="AN20" s="179"/>
      <c r="AP20" s="166" t="str">
        <f t="shared" si="19"/>
        <v/>
      </c>
      <c r="AQ20" s="166" t="str">
        <f t="shared" si="20"/>
        <v/>
      </c>
      <c r="AR20" s="166" t="str">
        <f t="shared" si="21"/>
        <v/>
      </c>
    </row>
    <row r="21" spans="1:46" s="162" customFormat="1" ht="25.2" customHeight="1" x14ac:dyDescent="0.3">
      <c r="A21" s="172">
        <v>17</v>
      </c>
      <c r="B21" s="156" t="str" cm="1">
        <f t="array" ref="B21">IF($J$1="Active",IF(Salary_Master!B21="","",_xlfn.IFS(Salary_Master!M21="Working",IF(Salary_Master!H21&lt;=DATE(2026,2,28),Salary_Master!B21,""),Salary_Master!M21="Left",IF(Salary_Master!N21&gt;DATE(2026,1,31),Salary_Master!B21,""))),"")</f>
        <v/>
      </c>
      <c r="C21" s="156">
        <v>31</v>
      </c>
      <c r="D21" s="305" t="str">
        <f t="shared" si="22"/>
        <v/>
      </c>
      <c r="E21" s="177"/>
      <c r="F21" s="177"/>
      <c r="G21" s="177"/>
      <c r="H21" s="305" t="str">
        <f t="shared" si="23"/>
        <v/>
      </c>
      <c r="I21" s="177"/>
      <c r="J21" s="177"/>
      <c r="K21" s="306" t="str">
        <f t="shared" si="24"/>
        <v/>
      </c>
      <c r="L21" s="306" t="str">
        <f t="shared" si="25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8"/>
        <v/>
      </c>
      <c r="T21" s="170" t="str">
        <f t="shared" si="9"/>
        <v/>
      </c>
      <c r="U21" s="170" t="str">
        <f t="shared" si="10"/>
        <v/>
      </c>
      <c r="V21" s="262">
        <f t="shared" si="26"/>
        <v>0</v>
      </c>
      <c r="W21" s="160">
        <f t="shared" si="27"/>
        <v>0</v>
      </c>
      <c r="X21" s="160">
        <f t="shared" si="28"/>
        <v>0</v>
      </c>
      <c r="Y21" s="160">
        <f t="shared" si="29"/>
        <v>0</v>
      </c>
      <c r="Z21" s="160">
        <f t="shared" si="30"/>
        <v>0</v>
      </c>
      <c r="AA21" s="160">
        <f t="shared" si="31"/>
        <v>0</v>
      </c>
      <c r="AB21" s="160">
        <f t="shared" si="32"/>
        <v>0</v>
      </c>
      <c r="AC21" s="160">
        <f t="shared" si="33"/>
        <v>0</v>
      </c>
      <c r="AD21" s="307">
        <f t="shared" si="34"/>
        <v>0</v>
      </c>
      <c r="AE21" s="308" t="str">
        <f t="shared" si="35"/>
        <v/>
      </c>
      <c r="AF21" s="163" t="str">
        <f t="shared" si="14"/>
        <v/>
      </c>
      <c r="AG21" s="163" t="str">
        <f t="shared" si="15"/>
        <v/>
      </c>
      <c r="AH21" s="163" t="str">
        <f t="shared" si="16"/>
        <v/>
      </c>
      <c r="AI21" s="290"/>
      <c r="AJ21" s="165" t="str">
        <f t="shared" si="17"/>
        <v/>
      </c>
      <c r="AK21" s="180" t="str">
        <f t="shared" si="18"/>
        <v/>
      </c>
      <c r="AM21" s="179"/>
      <c r="AN21" s="179"/>
      <c r="AP21" s="166" t="str">
        <f t="shared" si="19"/>
        <v/>
      </c>
      <c r="AQ21" s="166" t="str">
        <f t="shared" si="20"/>
        <v/>
      </c>
      <c r="AR21" s="166" t="str">
        <f t="shared" si="21"/>
        <v/>
      </c>
    </row>
    <row r="22" spans="1:46" s="173" customFormat="1" ht="25.2" customHeight="1" x14ac:dyDescent="0.3">
      <c r="A22" s="167">
        <v>18</v>
      </c>
      <c r="B22" s="156" t="str" cm="1">
        <f t="array" ref="B22">IF($J$1="Active",IF(Salary_Master!B22="","",_xlfn.IFS(Salary_Master!M22="Working",IF(Salary_Master!H22&lt;=DATE(2026,2,28),Salary_Master!B22,""),Salary_Master!M22="Left",IF(Salary_Master!N22&gt;DATE(2026,1,31),Salary_Master!B22,""))),"")</f>
        <v/>
      </c>
      <c r="C22" s="156">
        <v>31</v>
      </c>
      <c r="D22" s="305" t="str">
        <f t="shared" si="22"/>
        <v/>
      </c>
      <c r="E22" s="177"/>
      <c r="F22" s="177"/>
      <c r="G22" s="177"/>
      <c r="H22" s="305" t="str">
        <f t="shared" si="23"/>
        <v/>
      </c>
      <c r="I22" s="177"/>
      <c r="J22" s="177"/>
      <c r="K22" s="306" t="str">
        <f t="shared" si="24"/>
        <v/>
      </c>
      <c r="L22" s="306" t="str">
        <f t="shared" si="25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8"/>
        <v/>
      </c>
      <c r="T22" s="170" t="str">
        <f t="shared" si="9"/>
        <v/>
      </c>
      <c r="U22" s="170" t="str">
        <f t="shared" si="10"/>
        <v/>
      </c>
      <c r="V22" s="262">
        <f t="shared" si="26"/>
        <v>0</v>
      </c>
      <c r="W22" s="160">
        <f t="shared" si="27"/>
        <v>0</v>
      </c>
      <c r="X22" s="160">
        <f t="shared" si="28"/>
        <v>0</v>
      </c>
      <c r="Y22" s="160">
        <f t="shared" si="29"/>
        <v>0</v>
      </c>
      <c r="Z22" s="160">
        <f t="shared" si="30"/>
        <v>0</v>
      </c>
      <c r="AA22" s="160">
        <f t="shared" si="31"/>
        <v>0</v>
      </c>
      <c r="AB22" s="160">
        <f t="shared" si="32"/>
        <v>0</v>
      </c>
      <c r="AC22" s="160">
        <f t="shared" si="33"/>
        <v>0</v>
      </c>
      <c r="AD22" s="307">
        <f t="shared" si="34"/>
        <v>0</v>
      </c>
      <c r="AE22" s="308" t="str">
        <f t="shared" si="35"/>
        <v/>
      </c>
      <c r="AF22" s="163" t="str">
        <f t="shared" si="14"/>
        <v/>
      </c>
      <c r="AG22" s="163" t="str">
        <f t="shared" si="15"/>
        <v/>
      </c>
      <c r="AH22" s="163" t="str">
        <f t="shared" si="16"/>
        <v/>
      </c>
      <c r="AI22" s="290"/>
      <c r="AJ22" s="165" t="str">
        <f t="shared" si="17"/>
        <v/>
      </c>
      <c r="AK22" s="180" t="str">
        <f t="shared" si="18"/>
        <v/>
      </c>
      <c r="AM22" s="179"/>
      <c r="AN22" s="179"/>
      <c r="AP22" s="166" t="str">
        <f t="shared" si="19"/>
        <v/>
      </c>
      <c r="AQ22" s="166" t="str">
        <f t="shared" si="20"/>
        <v/>
      </c>
      <c r="AR22" s="166" t="str">
        <f t="shared" si="21"/>
        <v/>
      </c>
      <c r="AT22" s="162"/>
    </row>
    <row r="23" spans="1:46" s="162" customFormat="1" ht="25.2" customHeight="1" x14ac:dyDescent="0.3">
      <c r="A23" s="167">
        <v>19</v>
      </c>
      <c r="B23" s="156" t="str" cm="1">
        <f t="array" ref="B23">IF($J$1="Active",IF(Salary_Master!B23="","",_xlfn.IFS(Salary_Master!M23="Working",IF(Salary_Master!H23&lt;=DATE(2026,2,28),Salary_Master!B23,""),Salary_Master!M23="Left",IF(Salary_Master!N23&gt;DATE(2026,1,31),Salary_Master!B23,""))),"")</f>
        <v/>
      </c>
      <c r="C23" s="156">
        <v>31</v>
      </c>
      <c r="D23" s="305" t="str">
        <f t="shared" si="22"/>
        <v/>
      </c>
      <c r="E23" s="177"/>
      <c r="F23" s="177"/>
      <c r="G23" s="177"/>
      <c r="H23" s="305" t="str">
        <f t="shared" si="23"/>
        <v/>
      </c>
      <c r="I23" s="177"/>
      <c r="J23" s="177"/>
      <c r="K23" s="306" t="str">
        <f t="shared" si="24"/>
        <v/>
      </c>
      <c r="L23" s="306" t="str">
        <f t="shared" si="25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8"/>
        <v/>
      </c>
      <c r="T23" s="170" t="str">
        <f t="shared" si="9"/>
        <v/>
      </c>
      <c r="U23" s="170" t="str">
        <f t="shared" si="10"/>
        <v/>
      </c>
      <c r="V23" s="262">
        <f t="shared" si="26"/>
        <v>0</v>
      </c>
      <c r="W23" s="160">
        <f t="shared" si="27"/>
        <v>0</v>
      </c>
      <c r="X23" s="160">
        <f t="shared" si="28"/>
        <v>0</v>
      </c>
      <c r="Y23" s="160">
        <f t="shared" si="29"/>
        <v>0</v>
      </c>
      <c r="Z23" s="160">
        <f t="shared" si="30"/>
        <v>0</v>
      </c>
      <c r="AA23" s="160">
        <f t="shared" si="31"/>
        <v>0</v>
      </c>
      <c r="AB23" s="160">
        <f t="shared" si="32"/>
        <v>0</v>
      </c>
      <c r="AC23" s="160">
        <f t="shared" si="33"/>
        <v>0</v>
      </c>
      <c r="AD23" s="307">
        <f t="shared" si="34"/>
        <v>0</v>
      </c>
      <c r="AE23" s="308" t="str">
        <f t="shared" si="35"/>
        <v/>
      </c>
      <c r="AF23" s="163" t="str">
        <f t="shared" si="14"/>
        <v/>
      </c>
      <c r="AG23" s="163" t="str">
        <f t="shared" si="15"/>
        <v/>
      </c>
      <c r="AH23" s="163" t="str">
        <f t="shared" si="16"/>
        <v/>
      </c>
      <c r="AI23" s="290"/>
      <c r="AJ23" s="165" t="str">
        <f t="shared" si="17"/>
        <v/>
      </c>
      <c r="AK23" s="180" t="str">
        <f t="shared" si="18"/>
        <v/>
      </c>
      <c r="AM23" s="179"/>
      <c r="AN23" s="179"/>
      <c r="AP23" s="166" t="str">
        <f t="shared" si="19"/>
        <v/>
      </c>
      <c r="AQ23" s="166" t="str">
        <f t="shared" si="20"/>
        <v/>
      </c>
      <c r="AR23" s="166" t="str">
        <f t="shared" si="21"/>
        <v/>
      </c>
    </row>
    <row r="24" spans="1:46" s="162" customFormat="1" ht="25.2" customHeight="1" x14ac:dyDescent="0.3">
      <c r="A24" s="172">
        <v>20</v>
      </c>
      <c r="B24" s="156" t="str" cm="1">
        <f t="array" ref="B24">IF($J$1="Active",IF(Salary_Master!B24="","",_xlfn.IFS(Salary_Master!M24="Working",IF(Salary_Master!H24&lt;=DATE(2026,2,28),Salary_Master!B24,""),Salary_Master!M24="Left",IF(Salary_Master!N24&gt;DATE(2026,1,31),Salary_Master!B24,""))),"")</f>
        <v/>
      </c>
      <c r="C24" s="156">
        <v>31</v>
      </c>
      <c r="D24" s="305" t="str">
        <f t="shared" si="22"/>
        <v/>
      </c>
      <c r="E24" s="177"/>
      <c r="F24" s="177"/>
      <c r="G24" s="177"/>
      <c r="H24" s="305" t="str">
        <f t="shared" si="23"/>
        <v/>
      </c>
      <c r="I24" s="177"/>
      <c r="J24" s="177"/>
      <c r="K24" s="306" t="str">
        <f t="shared" si="24"/>
        <v/>
      </c>
      <c r="L24" s="306" t="str">
        <f t="shared" si="25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8"/>
        <v/>
      </c>
      <c r="T24" s="170" t="str">
        <f t="shared" si="9"/>
        <v/>
      </c>
      <c r="U24" s="170" t="str">
        <f t="shared" si="10"/>
        <v/>
      </c>
      <c r="V24" s="262">
        <f t="shared" si="26"/>
        <v>0</v>
      </c>
      <c r="W24" s="160">
        <f t="shared" si="27"/>
        <v>0</v>
      </c>
      <c r="X24" s="160">
        <f t="shared" si="28"/>
        <v>0</v>
      </c>
      <c r="Y24" s="160">
        <f t="shared" si="29"/>
        <v>0</v>
      </c>
      <c r="Z24" s="160">
        <f t="shared" si="30"/>
        <v>0</v>
      </c>
      <c r="AA24" s="160">
        <f t="shared" si="31"/>
        <v>0</v>
      </c>
      <c r="AB24" s="160">
        <f t="shared" si="32"/>
        <v>0</v>
      </c>
      <c r="AC24" s="160">
        <f t="shared" si="33"/>
        <v>0</v>
      </c>
      <c r="AD24" s="307">
        <f t="shared" si="34"/>
        <v>0</v>
      </c>
      <c r="AE24" s="308" t="str">
        <f t="shared" si="35"/>
        <v/>
      </c>
      <c r="AF24" s="163" t="str">
        <f t="shared" si="14"/>
        <v/>
      </c>
      <c r="AG24" s="163" t="str">
        <f t="shared" si="15"/>
        <v/>
      </c>
      <c r="AH24" s="163" t="str">
        <f t="shared" si="16"/>
        <v/>
      </c>
      <c r="AI24" s="290"/>
      <c r="AJ24" s="165" t="str">
        <f t="shared" si="17"/>
        <v/>
      </c>
      <c r="AK24" s="180" t="str">
        <f t="shared" si="18"/>
        <v/>
      </c>
      <c r="AM24" s="179"/>
      <c r="AN24" s="179"/>
      <c r="AP24" s="166" t="str">
        <f t="shared" si="19"/>
        <v/>
      </c>
      <c r="AQ24" s="166" t="str">
        <f t="shared" si="20"/>
        <v/>
      </c>
      <c r="AR24" s="166" t="str">
        <f t="shared" si="21"/>
        <v/>
      </c>
    </row>
    <row r="25" spans="1:46" s="173" customFormat="1" ht="25.2" customHeight="1" x14ac:dyDescent="0.3">
      <c r="A25" s="167">
        <v>21</v>
      </c>
      <c r="B25" s="156" t="str" cm="1">
        <f t="array" ref="B25">IF($J$1="Active",IF(Salary_Master!B25="","",_xlfn.IFS(Salary_Master!M25="Working",IF(Salary_Master!H25&lt;=DATE(2026,2,28),Salary_Master!B25,""),Salary_Master!M25="Left",IF(Salary_Master!N25&gt;DATE(2026,1,31),Salary_Master!B25,""))),"")</f>
        <v/>
      </c>
      <c r="C25" s="156">
        <v>31</v>
      </c>
      <c r="D25" s="305" t="str">
        <f t="shared" si="22"/>
        <v/>
      </c>
      <c r="E25" s="177"/>
      <c r="F25" s="177"/>
      <c r="G25" s="177"/>
      <c r="H25" s="305" t="str">
        <f t="shared" si="23"/>
        <v/>
      </c>
      <c r="I25" s="177"/>
      <c r="J25" s="177"/>
      <c r="K25" s="306" t="str">
        <f t="shared" si="24"/>
        <v/>
      </c>
      <c r="L25" s="306" t="str">
        <f t="shared" si="25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8"/>
        <v/>
      </c>
      <c r="T25" s="170" t="str">
        <f t="shared" si="9"/>
        <v/>
      </c>
      <c r="U25" s="170" t="str">
        <f t="shared" si="10"/>
        <v/>
      </c>
      <c r="V25" s="262">
        <f t="shared" si="26"/>
        <v>0</v>
      </c>
      <c r="W25" s="160">
        <f t="shared" si="27"/>
        <v>0</v>
      </c>
      <c r="X25" s="160">
        <f t="shared" si="28"/>
        <v>0</v>
      </c>
      <c r="Y25" s="160">
        <f t="shared" si="29"/>
        <v>0</v>
      </c>
      <c r="Z25" s="160">
        <f t="shared" si="30"/>
        <v>0</v>
      </c>
      <c r="AA25" s="160">
        <f t="shared" si="31"/>
        <v>0</v>
      </c>
      <c r="AB25" s="160">
        <f t="shared" si="32"/>
        <v>0</v>
      </c>
      <c r="AC25" s="160">
        <f t="shared" si="33"/>
        <v>0</v>
      </c>
      <c r="AD25" s="307">
        <f t="shared" si="34"/>
        <v>0</v>
      </c>
      <c r="AE25" s="308" t="str">
        <f t="shared" si="35"/>
        <v/>
      </c>
      <c r="AF25" s="163" t="str">
        <f t="shared" si="14"/>
        <v/>
      </c>
      <c r="AG25" s="163" t="str">
        <f t="shared" si="15"/>
        <v/>
      </c>
      <c r="AH25" s="163" t="str">
        <f t="shared" si="16"/>
        <v/>
      </c>
      <c r="AI25" s="290"/>
      <c r="AJ25" s="165" t="str">
        <f t="shared" si="17"/>
        <v/>
      </c>
      <c r="AK25" s="180" t="str">
        <f t="shared" si="18"/>
        <v/>
      </c>
      <c r="AM25" s="179"/>
      <c r="AN25" s="179"/>
      <c r="AP25" s="166" t="str">
        <f t="shared" si="19"/>
        <v/>
      </c>
      <c r="AQ25" s="166" t="str">
        <f t="shared" si="20"/>
        <v/>
      </c>
      <c r="AR25" s="166" t="str">
        <f t="shared" si="21"/>
        <v/>
      </c>
      <c r="AT25" s="162"/>
    </row>
    <row r="26" spans="1:46" s="162" customFormat="1" ht="25.2" customHeight="1" x14ac:dyDescent="0.3">
      <c r="A26" s="167">
        <v>22</v>
      </c>
      <c r="B26" s="156" t="str" cm="1">
        <f t="array" ref="B26">IF($J$1="Active",IF(Salary_Master!B26="","",_xlfn.IFS(Salary_Master!M26="Working",IF(Salary_Master!H26&lt;=DATE(2026,2,28),Salary_Master!B26,""),Salary_Master!M26="Left",IF(Salary_Master!N26&gt;DATE(2026,1,31),Salary_Master!B26,""))),"")</f>
        <v/>
      </c>
      <c r="C26" s="156">
        <v>31</v>
      </c>
      <c r="D26" s="305" t="str">
        <f t="shared" si="22"/>
        <v/>
      </c>
      <c r="E26" s="177"/>
      <c r="F26" s="177"/>
      <c r="G26" s="177"/>
      <c r="H26" s="305" t="str">
        <f t="shared" si="23"/>
        <v/>
      </c>
      <c r="I26" s="177"/>
      <c r="J26" s="177"/>
      <c r="K26" s="306" t="str">
        <f t="shared" si="24"/>
        <v/>
      </c>
      <c r="L26" s="306" t="str">
        <f t="shared" si="25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8"/>
        <v/>
      </c>
      <c r="T26" s="170" t="str">
        <f t="shared" si="9"/>
        <v/>
      </c>
      <c r="U26" s="170" t="str">
        <f t="shared" si="10"/>
        <v/>
      </c>
      <c r="V26" s="262">
        <f t="shared" si="26"/>
        <v>0</v>
      </c>
      <c r="W26" s="160">
        <f t="shared" si="27"/>
        <v>0</v>
      </c>
      <c r="X26" s="160">
        <f t="shared" si="28"/>
        <v>0</v>
      </c>
      <c r="Y26" s="160">
        <f t="shared" si="29"/>
        <v>0</v>
      </c>
      <c r="Z26" s="160">
        <f t="shared" si="30"/>
        <v>0</v>
      </c>
      <c r="AA26" s="160">
        <f t="shared" si="31"/>
        <v>0</v>
      </c>
      <c r="AB26" s="160">
        <f t="shared" si="32"/>
        <v>0</v>
      </c>
      <c r="AC26" s="160">
        <f t="shared" si="33"/>
        <v>0</v>
      </c>
      <c r="AD26" s="307">
        <f t="shared" si="34"/>
        <v>0</v>
      </c>
      <c r="AE26" s="308" t="str">
        <f t="shared" si="35"/>
        <v/>
      </c>
      <c r="AF26" s="163" t="str">
        <f t="shared" si="14"/>
        <v/>
      </c>
      <c r="AG26" s="163" t="str">
        <f t="shared" si="15"/>
        <v/>
      </c>
      <c r="AH26" s="163" t="str">
        <f t="shared" si="16"/>
        <v/>
      </c>
      <c r="AI26" s="290"/>
      <c r="AJ26" s="165" t="str">
        <f t="shared" si="17"/>
        <v/>
      </c>
      <c r="AK26" s="180" t="str">
        <f t="shared" si="18"/>
        <v/>
      </c>
      <c r="AM26" s="179"/>
      <c r="AN26" s="179"/>
      <c r="AP26" s="166" t="str">
        <f t="shared" si="19"/>
        <v/>
      </c>
      <c r="AQ26" s="166" t="str">
        <f t="shared" si="20"/>
        <v/>
      </c>
      <c r="AR26" s="166" t="str">
        <f t="shared" si="21"/>
        <v/>
      </c>
    </row>
    <row r="27" spans="1:46" s="162" customFormat="1" ht="25.2" customHeight="1" x14ac:dyDescent="0.3">
      <c r="A27" s="167">
        <v>23</v>
      </c>
      <c r="B27" s="156" t="str" cm="1">
        <f t="array" ref="B27">IF($J$1="Active",IF(Salary_Master!B27="","",_xlfn.IFS(Salary_Master!M27="Working",IF(Salary_Master!H27&lt;=DATE(2026,2,28),Salary_Master!B27,""),Salary_Master!M27="Left",IF(Salary_Master!N27&gt;DATE(2026,1,31),Salary_Master!B27,""))),"")</f>
        <v/>
      </c>
      <c r="C27" s="156">
        <v>31</v>
      </c>
      <c r="D27" s="305" t="str">
        <f t="shared" si="22"/>
        <v/>
      </c>
      <c r="E27" s="177"/>
      <c r="F27" s="177"/>
      <c r="G27" s="177"/>
      <c r="H27" s="305" t="str">
        <f t="shared" si="23"/>
        <v/>
      </c>
      <c r="I27" s="177"/>
      <c r="J27" s="177"/>
      <c r="K27" s="306" t="str">
        <f t="shared" si="24"/>
        <v/>
      </c>
      <c r="L27" s="306" t="str">
        <f t="shared" si="25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8"/>
        <v/>
      </c>
      <c r="T27" s="170" t="str">
        <f t="shared" si="9"/>
        <v/>
      </c>
      <c r="U27" s="170" t="str">
        <f t="shared" si="10"/>
        <v/>
      </c>
      <c r="V27" s="262">
        <f t="shared" si="26"/>
        <v>0</v>
      </c>
      <c r="W27" s="160">
        <f t="shared" si="27"/>
        <v>0</v>
      </c>
      <c r="X27" s="160">
        <f t="shared" si="28"/>
        <v>0</v>
      </c>
      <c r="Y27" s="160">
        <f t="shared" si="29"/>
        <v>0</v>
      </c>
      <c r="Z27" s="160">
        <f t="shared" si="30"/>
        <v>0</v>
      </c>
      <c r="AA27" s="160">
        <f t="shared" si="31"/>
        <v>0</v>
      </c>
      <c r="AB27" s="160">
        <f t="shared" si="32"/>
        <v>0</v>
      </c>
      <c r="AC27" s="160">
        <f t="shared" si="33"/>
        <v>0</v>
      </c>
      <c r="AD27" s="307">
        <f t="shared" si="34"/>
        <v>0</v>
      </c>
      <c r="AE27" s="308" t="str">
        <f t="shared" si="35"/>
        <v/>
      </c>
      <c r="AF27" s="163" t="str">
        <f t="shared" si="14"/>
        <v/>
      </c>
      <c r="AG27" s="163" t="str">
        <f t="shared" si="15"/>
        <v/>
      </c>
      <c r="AH27" s="163" t="str">
        <f t="shared" si="16"/>
        <v/>
      </c>
      <c r="AI27" s="290"/>
      <c r="AJ27" s="165" t="str">
        <f t="shared" si="17"/>
        <v/>
      </c>
      <c r="AK27" s="180" t="str">
        <f t="shared" si="18"/>
        <v/>
      </c>
      <c r="AM27" s="179"/>
      <c r="AN27" s="179"/>
      <c r="AP27" s="166" t="str">
        <f t="shared" si="19"/>
        <v/>
      </c>
      <c r="AQ27" s="166" t="str">
        <f t="shared" si="20"/>
        <v/>
      </c>
      <c r="AR27" s="166" t="str">
        <f t="shared" si="21"/>
        <v/>
      </c>
    </row>
    <row r="28" spans="1:46" s="162" customFormat="1" ht="25.2" customHeight="1" x14ac:dyDescent="0.3">
      <c r="A28" s="167">
        <v>24</v>
      </c>
      <c r="B28" s="156" t="str" cm="1">
        <f t="array" ref="B28">IF($J$1="Active",IF(Salary_Master!B28="","",_xlfn.IFS(Salary_Master!M28="Working",IF(Salary_Master!H28&lt;=DATE(2026,2,28),Salary_Master!B28,""),Salary_Master!M28="Left",IF(Salary_Master!N28&gt;DATE(2026,1,31),Salary_Master!B28,""))),"")</f>
        <v/>
      </c>
      <c r="C28" s="156">
        <v>31</v>
      </c>
      <c r="D28" s="305" t="str">
        <f t="shared" si="22"/>
        <v/>
      </c>
      <c r="E28" s="177"/>
      <c r="F28" s="177"/>
      <c r="G28" s="177"/>
      <c r="H28" s="305" t="str">
        <f t="shared" si="23"/>
        <v/>
      </c>
      <c r="I28" s="177"/>
      <c r="J28" s="177"/>
      <c r="K28" s="306" t="str">
        <f t="shared" si="24"/>
        <v/>
      </c>
      <c r="L28" s="306" t="str">
        <f t="shared" si="25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8"/>
        <v/>
      </c>
      <c r="T28" s="170" t="str">
        <f t="shared" si="9"/>
        <v/>
      </c>
      <c r="U28" s="170" t="str">
        <f t="shared" si="10"/>
        <v/>
      </c>
      <c r="V28" s="262">
        <f t="shared" si="26"/>
        <v>0</v>
      </c>
      <c r="W28" s="160">
        <f t="shared" si="27"/>
        <v>0</v>
      </c>
      <c r="X28" s="160">
        <f t="shared" si="28"/>
        <v>0</v>
      </c>
      <c r="Y28" s="160">
        <f t="shared" si="29"/>
        <v>0</v>
      </c>
      <c r="Z28" s="160">
        <f t="shared" si="30"/>
        <v>0</v>
      </c>
      <c r="AA28" s="160">
        <f t="shared" si="31"/>
        <v>0</v>
      </c>
      <c r="AB28" s="160">
        <f t="shared" si="32"/>
        <v>0</v>
      </c>
      <c r="AC28" s="160">
        <f t="shared" si="33"/>
        <v>0</v>
      </c>
      <c r="AD28" s="307">
        <f t="shared" si="34"/>
        <v>0</v>
      </c>
      <c r="AE28" s="308" t="str">
        <f t="shared" si="35"/>
        <v/>
      </c>
      <c r="AF28" s="163" t="str">
        <f t="shared" si="14"/>
        <v/>
      </c>
      <c r="AG28" s="163" t="str">
        <f t="shared" si="15"/>
        <v/>
      </c>
      <c r="AH28" s="163" t="str">
        <f t="shared" si="16"/>
        <v/>
      </c>
      <c r="AI28" s="290"/>
      <c r="AJ28" s="165" t="str">
        <f t="shared" si="17"/>
        <v/>
      </c>
      <c r="AK28" s="180" t="str">
        <f t="shared" si="18"/>
        <v/>
      </c>
      <c r="AM28" s="179"/>
      <c r="AN28" s="179"/>
      <c r="AP28" s="166" t="str">
        <f t="shared" si="19"/>
        <v/>
      </c>
      <c r="AQ28" s="166" t="str">
        <f t="shared" si="20"/>
        <v/>
      </c>
      <c r="AR28" s="166" t="str">
        <f t="shared" si="21"/>
        <v/>
      </c>
    </row>
    <row r="29" spans="1:46" s="173" customFormat="1" ht="25.2" customHeight="1" x14ac:dyDescent="0.3">
      <c r="A29" s="172">
        <v>25</v>
      </c>
      <c r="B29" s="156" t="str" cm="1">
        <f t="array" ref="B29">IF($J$1="Active",IF(Salary_Master!B29="","",_xlfn.IFS(Salary_Master!M29="Working",IF(Salary_Master!H29&lt;=DATE(2026,2,28),Salary_Master!B29,""),Salary_Master!M29="Left",IF(Salary_Master!N29&gt;DATE(2026,1,31),Salary_Master!B29,""))),"")</f>
        <v/>
      </c>
      <c r="C29" s="156">
        <v>31</v>
      </c>
      <c r="D29" s="305" t="str">
        <f t="shared" si="22"/>
        <v/>
      </c>
      <c r="E29" s="177"/>
      <c r="F29" s="177"/>
      <c r="G29" s="177"/>
      <c r="H29" s="305" t="str">
        <f t="shared" si="23"/>
        <v/>
      </c>
      <c r="I29" s="177"/>
      <c r="J29" s="177"/>
      <c r="K29" s="306" t="str">
        <f t="shared" si="24"/>
        <v/>
      </c>
      <c r="L29" s="306" t="str">
        <f t="shared" si="25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8"/>
        <v/>
      </c>
      <c r="T29" s="170" t="str">
        <f t="shared" si="9"/>
        <v/>
      </c>
      <c r="U29" s="170" t="str">
        <f t="shared" si="10"/>
        <v/>
      </c>
      <c r="V29" s="262">
        <f t="shared" si="26"/>
        <v>0</v>
      </c>
      <c r="W29" s="160">
        <f t="shared" si="27"/>
        <v>0</v>
      </c>
      <c r="X29" s="160">
        <f t="shared" si="28"/>
        <v>0</v>
      </c>
      <c r="Y29" s="160">
        <f t="shared" si="29"/>
        <v>0</v>
      </c>
      <c r="Z29" s="160">
        <f t="shared" si="30"/>
        <v>0</v>
      </c>
      <c r="AA29" s="160">
        <f t="shared" si="31"/>
        <v>0</v>
      </c>
      <c r="AB29" s="160">
        <f t="shared" si="32"/>
        <v>0</v>
      </c>
      <c r="AC29" s="160">
        <f t="shared" si="33"/>
        <v>0</v>
      </c>
      <c r="AD29" s="307">
        <f t="shared" si="34"/>
        <v>0</v>
      </c>
      <c r="AE29" s="308" t="str">
        <f t="shared" si="35"/>
        <v/>
      </c>
      <c r="AF29" s="163" t="str">
        <f t="shared" si="14"/>
        <v/>
      </c>
      <c r="AG29" s="163" t="str">
        <f t="shared" si="15"/>
        <v/>
      </c>
      <c r="AH29" s="163" t="str">
        <f t="shared" si="16"/>
        <v/>
      </c>
      <c r="AI29" s="290"/>
      <c r="AJ29" s="165" t="str">
        <f t="shared" si="17"/>
        <v/>
      </c>
      <c r="AK29" s="180" t="str">
        <f t="shared" si="18"/>
        <v/>
      </c>
      <c r="AM29" s="179"/>
      <c r="AN29" s="179"/>
      <c r="AP29" s="166" t="str">
        <f t="shared" si="19"/>
        <v/>
      </c>
      <c r="AQ29" s="166" t="str">
        <f t="shared" si="20"/>
        <v/>
      </c>
      <c r="AR29" s="166" t="str">
        <f t="shared" si="21"/>
        <v/>
      </c>
      <c r="AT29" s="162"/>
    </row>
    <row r="30" spans="1:46" s="162" customFormat="1" ht="25.2" customHeight="1" x14ac:dyDescent="0.3">
      <c r="A30" s="167">
        <v>26</v>
      </c>
      <c r="B30" s="156" t="str" cm="1">
        <f t="array" ref="B30">IF($J$1="Active",IF(Salary_Master!B30="","",_xlfn.IFS(Salary_Master!M30="Working",IF(Salary_Master!H30&lt;=DATE(2026,2,28),Salary_Master!B30,""),Salary_Master!M30="Left",IF(Salary_Master!N30&gt;DATE(2026,1,31),Salary_Master!B30,""))),"")</f>
        <v/>
      </c>
      <c r="C30" s="156">
        <v>31</v>
      </c>
      <c r="D30" s="305" t="str">
        <f t="shared" si="22"/>
        <v/>
      </c>
      <c r="E30" s="177"/>
      <c r="F30" s="177"/>
      <c r="G30" s="177"/>
      <c r="H30" s="305" t="str">
        <f t="shared" si="23"/>
        <v/>
      </c>
      <c r="I30" s="177"/>
      <c r="J30" s="177"/>
      <c r="K30" s="306" t="str">
        <f t="shared" si="24"/>
        <v/>
      </c>
      <c r="L30" s="306" t="str">
        <f t="shared" si="25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8"/>
        <v/>
      </c>
      <c r="T30" s="170" t="str">
        <f t="shared" si="9"/>
        <v/>
      </c>
      <c r="U30" s="170" t="str">
        <f t="shared" si="10"/>
        <v/>
      </c>
      <c r="V30" s="262">
        <f t="shared" si="26"/>
        <v>0</v>
      </c>
      <c r="W30" s="160">
        <f t="shared" si="27"/>
        <v>0</v>
      </c>
      <c r="X30" s="160">
        <f t="shared" si="28"/>
        <v>0</v>
      </c>
      <c r="Y30" s="160">
        <f t="shared" si="29"/>
        <v>0</v>
      </c>
      <c r="Z30" s="160">
        <f t="shared" si="30"/>
        <v>0</v>
      </c>
      <c r="AA30" s="160">
        <f t="shared" si="31"/>
        <v>0</v>
      </c>
      <c r="AB30" s="160">
        <f t="shared" si="32"/>
        <v>0</v>
      </c>
      <c r="AC30" s="160">
        <f t="shared" si="33"/>
        <v>0</v>
      </c>
      <c r="AD30" s="307">
        <f t="shared" si="34"/>
        <v>0</v>
      </c>
      <c r="AE30" s="308" t="str">
        <f t="shared" si="35"/>
        <v/>
      </c>
      <c r="AF30" s="163" t="str">
        <f t="shared" si="14"/>
        <v/>
      </c>
      <c r="AG30" s="163" t="str">
        <f t="shared" si="15"/>
        <v/>
      </c>
      <c r="AH30" s="163" t="str">
        <f t="shared" si="16"/>
        <v/>
      </c>
      <c r="AI30" s="290"/>
      <c r="AJ30" s="165" t="str">
        <f t="shared" si="17"/>
        <v/>
      </c>
      <c r="AK30" s="180" t="str">
        <f t="shared" si="18"/>
        <v/>
      </c>
      <c r="AM30" s="179"/>
      <c r="AN30" s="179"/>
      <c r="AP30" s="166" t="str">
        <f t="shared" si="19"/>
        <v/>
      </c>
      <c r="AQ30" s="166" t="str">
        <f t="shared" si="20"/>
        <v/>
      </c>
      <c r="AR30" s="166" t="str">
        <f t="shared" si="21"/>
        <v/>
      </c>
    </row>
    <row r="31" spans="1:46" s="162" customFormat="1" ht="25.2" customHeight="1" x14ac:dyDescent="0.3">
      <c r="A31" s="167">
        <v>27</v>
      </c>
      <c r="B31" s="156" t="str" cm="1">
        <f t="array" ref="B31">IF($J$1="Active",IF(Salary_Master!B31="","",_xlfn.IFS(Salary_Master!M31="Working",IF(Salary_Master!H31&lt;=DATE(2026,2,28),Salary_Master!B31,""),Salary_Master!M31="Left",IF(Salary_Master!N31&gt;DATE(2026,1,31),Salary_Master!B31,""))),"")</f>
        <v/>
      </c>
      <c r="C31" s="156">
        <v>31</v>
      </c>
      <c r="D31" s="305" t="str">
        <f t="shared" si="22"/>
        <v/>
      </c>
      <c r="E31" s="177"/>
      <c r="F31" s="177"/>
      <c r="G31" s="177"/>
      <c r="H31" s="305" t="str">
        <f t="shared" si="23"/>
        <v/>
      </c>
      <c r="I31" s="177"/>
      <c r="J31" s="177"/>
      <c r="K31" s="306" t="str">
        <f t="shared" si="24"/>
        <v/>
      </c>
      <c r="L31" s="306" t="str">
        <f t="shared" si="25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8"/>
        <v/>
      </c>
      <c r="T31" s="170" t="str">
        <f t="shared" si="9"/>
        <v/>
      </c>
      <c r="U31" s="170" t="str">
        <f t="shared" si="10"/>
        <v/>
      </c>
      <c r="V31" s="262">
        <f t="shared" si="26"/>
        <v>0</v>
      </c>
      <c r="W31" s="160">
        <f t="shared" si="27"/>
        <v>0</v>
      </c>
      <c r="X31" s="160">
        <f t="shared" si="28"/>
        <v>0</v>
      </c>
      <c r="Y31" s="160">
        <f t="shared" si="29"/>
        <v>0</v>
      </c>
      <c r="Z31" s="160">
        <f t="shared" si="30"/>
        <v>0</v>
      </c>
      <c r="AA31" s="160">
        <f t="shared" si="31"/>
        <v>0</v>
      </c>
      <c r="AB31" s="160">
        <f t="shared" si="32"/>
        <v>0</v>
      </c>
      <c r="AC31" s="160">
        <f t="shared" si="33"/>
        <v>0</v>
      </c>
      <c r="AD31" s="307">
        <f t="shared" si="34"/>
        <v>0</v>
      </c>
      <c r="AE31" s="308" t="str">
        <f t="shared" si="35"/>
        <v/>
      </c>
      <c r="AF31" s="163" t="str">
        <f t="shared" si="14"/>
        <v/>
      </c>
      <c r="AG31" s="163" t="str">
        <f t="shared" si="15"/>
        <v/>
      </c>
      <c r="AH31" s="163" t="str">
        <f t="shared" si="16"/>
        <v/>
      </c>
      <c r="AI31" s="290"/>
      <c r="AJ31" s="165" t="str">
        <f t="shared" si="17"/>
        <v/>
      </c>
      <c r="AK31" s="180" t="str">
        <f t="shared" si="18"/>
        <v/>
      </c>
      <c r="AM31" s="179"/>
      <c r="AN31" s="179"/>
      <c r="AP31" s="166" t="str">
        <f t="shared" si="19"/>
        <v/>
      </c>
      <c r="AQ31" s="166" t="str">
        <f t="shared" si="20"/>
        <v/>
      </c>
      <c r="AR31" s="166" t="str">
        <f t="shared" si="21"/>
        <v/>
      </c>
    </row>
    <row r="32" spans="1:46" s="173" customFormat="1" ht="25.2" customHeight="1" x14ac:dyDescent="0.3">
      <c r="A32" s="172">
        <v>28</v>
      </c>
      <c r="B32" s="156" t="str" cm="1">
        <f t="array" ref="B32">IF($J$1="Active",IF(Salary_Master!B32="","",_xlfn.IFS(Salary_Master!M32="Working",IF(Salary_Master!H32&lt;=DATE(2026,2,28),Salary_Master!B32,""),Salary_Master!M32="Left",IF(Salary_Master!N32&gt;DATE(2026,1,31),Salary_Master!B32,""))),"")</f>
        <v/>
      </c>
      <c r="C32" s="156">
        <v>31</v>
      </c>
      <c r="D32" s="305" t="str">
        <f t="shared" si="22"/>
        <v/>
      </c>
      <c r="E32" s="177"/>
      <c r="F32" s="177"/>
      <c r="G32" s="177"/>
      <c r="H32" s="305" t="str">
        <f t="shared" si="23"/>
        <v/>
      </c>
      <c r="I32" s="177"/>
      <c r="J32" s="177"/>
      <c r="K32" s="306" t="str">
        <f t="shared" si="24"/>
        <v/>
      </c>
      <c r="L32" s="306" t="str">
        <f t="shared" si="25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8"/>
        <v/>
      </c>
      <c r="T32" s="170" t="str">
        <f t="shared" si="9"/>
        <v/>
      </c>
      <c r="U32" s="170" t="str">
        <f t="shared" si="10"/>
        <v/>
      </c>
      <c r="V32" s="262">
        <f t="shared" si="26"/>
        <v>0</v>
      </c>
      <c r="W32" s="160">
        <f t="shared" si="27"/>
        <v>0</v>
      </c>
      <c r="X32" s="160">
        <f t="shared" si="28"/>
        <v>0</v>
      </c>
      <c r="Y32" s="160">
        <f t="shared" si="29"/>
        <v>0</v>
      </c>
      <c r="Z32" s="160">
        <f t="shared" si="30"/>
        <v>0</v>
      </c>
      <c r="AA32" s="160">
        <f t="shared" si="31"/>
        <v>0</v>
      </c>
      <c r="AB32" s="160">
        <f t="shared" si="32"/>
        <v>0</v>
      </c>
      <c r="AC32" s="160">
        <f t="shared" si="33"/>
        <v>0</v>
      </c>
      <c r="AD32" s="307">
        <f t="shared" si="34"/>
        <v>0</v>
      </c>
      <c r="AE32" s="308" t="str">
        <f t="shared" si="35"/>
        <v/>
      </c>
      <c r="AF32" s="163" t="str">
        <f t="shared" si="14"/>
        <v/>
      </c>
      <c r="AG32" s="163" t="str">
        <f t="shared" si="15"/>
        <v/>
      </c>
      <c r="AH32" s="163" t="str">
        <f t="shared" si="16"/>
        <v/>
      </c>
      <c r="AI32" s="290"/>
      <c r="AJ32" s="165" t="str">
        <f t="shared" si="17"/>
        <v/>
      </c>
      <c r="AK32" s="180" t="str">
        <f t="shared" si="18"/>
        <v/>
      </c>
      <c r="AM32" s="179"/>
      <c r="AN32" s="179"/>
      <c r="AP32" s="166" t="str">
        <f t="shared" si="19"/>
        <v/>
      </c>
      <c r="AQ32" s="166" t="str">
        <f t="shared" si="20"/>
        <v/>
      </c>
      <c r="AR32" s="166" t="str">
        <f t="shared" si="21"/>
        <v/>
      </c>
      <c r="AT32" s="162"/>
    </row>
    <row r="33" spans="1:45" s="162" customFormat="1" ht="25.2" customHeight="1" x14ac:dyDescent="0.3">
      <c r="A33" s="167">
        <v>29</v>
      </c>
      <c r="B33" s="156" t="str" cm="1">
        <f t="array" ref="B33">IF($J$1="Active",IF(Salary_Master!B33="","",_xlfn.IFS(Salary_Master!M33="Working",IF(Salary_Master!H33&lt;=DATE(2026,2,28),Salary_Master!B33,""),Salary_Master!M33="Left",IF(Salary_Master!N33&gt;DATE(2026,1,31),Salary_Master!B33,""))),"")</f>
        <v/>
      </c>
      <c r="C33" s="156">
        <v>31</v>
      </c>
      <c r="D33" s="305" t="str">
        <f t="shared" si="22"/>
        <v/>
      </c>
      <c r="E33" s="177"/>
      <c r="F33" s="177"/>
      <c r="G33" s="177"/>
      <c r="H33" s="305" t="str">
        <f t="shared" si="23"/>
        <v/>
      </c>
      <c r="I33" s="177"/>
      <c r="J33" s="177"/>
      <c r="K33" s="306" t="str">
        <f t="shared" si="24"/>
        <v/>
      </c>
      <c r="L33" s="306" t="str">
        <f t="shared" si="25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6"/>
        <v>0</v>
      </c>
      <c r="W33" s="160">
        <f t="shared" si="27"/>
        <v>0</v>
      </c>
      <c r="X33" s="160">
        <f t="shared" si="28"/>
        <v>0</v>
      </c>
      <c r="Y33" s="160">
        <f t="shared" si="29"/>
        <v>0</v>
      </c>
      <c r="Z33" s="160">
        <f t="shared" si="30"/>
        <v>0</v>
      </c>
      <c r="AA33" s="160">
        <f t="shared" si="31"/>
        <v>0</v>
      </c>
      <c r="AB33" s="160">
        <f t="shared" si="32"/>
        <v>0</v>
      </c>
      <c r="AC33" s="160">
        <f t="shared" si="33"/>
        <v>0</v>
      </c>
      <c r="AD33" s="307">
        <f t="shared" si="34"/>
        <v>0</v>
      </c>
      <c r="AE33" s="308" t="str">
        <f t="shared" si="35"/>
        <v/>
      </c>
      <c r="AF33" s="163" t="str">
        <f t="shared" si="14"/>
        <v/>
      </c>
      <c r="AG33" s="163" t="str">
        <f t="shared" si="15"/>
        <v/>
      </c>
      <c r="AH33" s="163" t="str">
        <f t="shared" si="16"/>
        <v/>
      </c>
      <c r="AI33" s="290"/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19"/>
        <v/>
      </c>
      <c r="AQ33" s="166" t="str">
        <f t="shared" si="20"/>
        <v/>
      </c>
      <c r="AR33" s="166" t="str">
        <f t="shared" si="21"/>
        <v/>
      </c>
    </row>
    <row r="34" spans="1:45" s="162" customFormat="1" ht="25.2" customHeight="1" x14ac:dyDescent="0.3">
      <c r="A34" s="223">
        <v>30</v>
      </c>
      <c r="B34" s="156" t="str" cm="1">
        <f t="array" ref="B34">IF($J$1="Active",IF(Salary_Master!B34="","",_xlfn.IFS(Salary_Master!M34="Working",IF(Salary_Master!H34&lt;=DATE(2026,2,28),Salary_Master!B34,""),Salary_Master!M34="Left",IF(Salary_Master!N34&gt;DATE(2026,1,31),Salary_Master!B34,""))),"")</f>
        <v/>
      </c>
      <c r="C34" s="156">
        <v>31</v>
      </c>
      <c r="D34" s="305" t="str">
        <f t="shared" si="22"/>
        <v/>
      </c>
      <c r="E34" s="177"/>
      <c r="F34" s="177"/>
      <c r="G34" s="177"/>
      <c r="H34" s="305" t="str">
        <f t="shared" si="23"/>
        <v/>
      </c>
      <c r="I34" s="177"/>
      <c r="J34" s="177"/>
      <c r="K34" s="306" t="str">
        <f t="shared" si="24"/>
        <v/>
      </c>
      <c r="L34" s="306" t="str">
        <f t="shared" si="25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6"/>
        <v>0</v>
      </c>
      <c r="W34" s="160">
        <f t="shared" si="27"/>
        <v>0</v>
      </c>
      <c r="X34" s="160">
        <f t="shared" si="28"/>
        <v>0</v>
      </c>
      <c r="Y34" s="160">
        <f t="shared" si="29"/>
        <v>0</v>
      </c>
      <c r="Z34" s="160">
        <f t="shared" si="30"/>
        <v>0</v>
      </c>
      <c r="AA34" s="160">
        <f t="shared" si="31"/>
        <v>0</v>
      </c>
      <c r="AB34" s="160">
        <f t="shared" si="32"/>
        <v>0</v>
      </c>
      <c r="AC34" s="160">
        <f t="shared" si="33"/>
        <v>0</v>
      </c>
      <c r="AD34" s="307">
        <f t="shared" si="34"/>
        <v>0</v>
      </c>
      <c r="AE34" s="308" t="str">
        <f t="shared" si="35"/>
        <v/>
      </c>
      <c r="AF34" s="163" t="str">
        <f t="shared" si="14"/>
        <v/>
      </c>
      <c r="AG34" s="163" t="str">
        <f t="shared" si="15"/>
        <v/>
      </c>
      <c r="AH34" s="163" t="str">
        <f t="shared" si="16"/>
        <v/>
      </c>
      <c r="AI34" s="290"/>
      <c r="AJ34" s="165" t="str">
        <f t="shared" si="17"/>
        <v/>
      </c>
      <c r="AK34" s="180" t="str">
        <f t="shared" si="18"/>
        <v/>
      </c>
      <c r="AM34" s="179"/>
      <c r="AN34" s="179"/>
      <c r="AP34" s="166" t="str">
        <f t="shared" si="19"/>
        <v/>
      </c>
      <c r="AQ34" s="166" t="str">
        <f t="shared" si="20"/>
        <v/>
      </c>
      <c r="AR34" s="166" t="str">
        <f t="shared" si="21"/>
        <v/>
      </c>
    </row>
    <row r="35" spans="1:45" s="162" customFormat="1" ht="25.2" customHeight="1" x14ac:dyDescent="0.3">
      <c r="A35" s="223">
        <v>31</v>
      </c>
      <c r="B35" s="156" t="str" cm="1">
        <f t="array" ref="B35">IF($J$1="Active",IF(Salary_Master!B35="","",_xlfn.IFS(Salary_Master!M35="Working",IF(Salary_Master!H35&lt;=DATE(2026,2,28),Salary_Master!B35,""),Salary_Master!M35="Left",IF(Salary_Master!N35&gt;DATE(2026,1,31),Salary_Master!B35,""))),"")</f>
        <v/>
      </c>
      <c r="C35" s="156">
        <v>31</v>
      </c>
      <c r="D35" s="305" t="str">
        <f t="shared" si="22"/>
        <v/>
      </c>
      <c r="E35" s="177"/>
      <c r="F35" s="177"/>
      <c r="G35" s="177"/>
      <c r="H35" s="305" t="str">
        <f t="shared" si="23"/>
        <v/>
      </c>
      <c r="I35" s="177"/>
      <c r="J35" s="177"/>
      <c r="K35" s="306" t="str">
        <f t="shared" si="24"/>
        <v/>
      </c>
      <c r="L35" s="306" t="str">
        <f t="shared" si="25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6"/>
        <v>0</v>
      </c>
      <c r="W35" s="160">
        <f t="shared" si="27"/>
        <v>0</v>
      </c>
      <c r="X35" s="160">
        <f t="shared" si="28"/>
        <v>0</v>
      </c>
      <c r="Y35" s="160">
        <f t="shared" si="29"/>
        <v>0</v>
      </c>
      <c r="Z35" s="160">
        <f t="shared" si="30"/>
        <v>0</v>
      </c>
      <c r="AA35" s="160">
        <f t="shared" si="31"/>
        <v>0</v>
      </c>
      <c r="AB35" s="160">
        <f t="shared" si="32"/>
        <v>0</v>
      </c>
      <c r="AC35" s="160">
        <f t="shared" si="33"/>
        <v>0</v>
      </c>
      <c r="AD35" s="307">
        <f t="shared" si="34"/>
        <v>0</v>
      </c>
      <c r="AE35" s="308" t="str">
        <f t="shared" si="35"/>
        <v/>
      </c>
      <c r="AF35" s="163" t="str">
        <f t="shared" si="14"/>
        <v/>
      </c>
      <c r="AG35" s="163" t="str">
        <f t="shared" si="15"/>
        <v/>
      </c>
      <c r="AH35" s="163" t="str">
        <f t="shared" si="16"/>
        <v/>
      </c>
      <c r="AI35" s="290"/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19"/>
        <v/>
      </c>
      <c r="AQ35" s="166" t="str">
        <f t="shared" si="20"/>
        <v/>
      </c>
      <c r="AR35" s="166" t="str">
        <f t="shared" si="21"/>
        <v/>
      </c>
    </row>
    <row r="36" spans="1:45" s="162" customFormat="1" ht="25.2" customHeight="1" x14ac:dyDescent="0.3">
      <c r="A36" s="223">
        <v>32</v>
      </c>
      <c r="B36" s="156" t="str" cm="1">
        <f t="array" ref="B36">IF($J$1="Active",IF(Salary_Master!B36="","",_xlfn.IFS(Salary_Master!M36="Working",IF(Salary_Master!H36&lt;=DATE(2026,2,28),Salary_Master!B36,""),Salary_Master!M36="Left",IF(Salary_Master!N36&gt;DATE(2026,1,31),Salary_Master!B36,""))),"")</f>
        <v/>
      </c>
      <c r="C36" s="156">
        <v>31</v>
      </c>
      <c r="D36" s="305" t="str">
        <f t="shared" si="22"/>
        <v/>
      </c>
      <c r="E36" s="177"/>
      <c r="F36" s="177"/>
      <c r="G36" s="177"/>
      <c r="H36" s="305" t="str">
        <f t="shared" si="23"/>
        <v/>
      </c>
      <c r="I36" s="177"/>
      <c r="J36" s="177"/>
      <c r="K36" s="306" t="str">
        <f t="shared" si="24"/>
        <v/>
      </c>
      <c r="L36" s="306" t="str">
        <f t="shared" si="25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6"/>
        <v>0</v>
      </c>
      <c r="W36" s="160">
        <f t="shared" si="27"/>
        <v>0</v>
      </c>
      <c r="X36" s="160">
        <f t="shared" si="28"/>
        <v>0</v>
      </c>
      <c r="Y36" s="160">
        <f t="shared" si="29"/>
        <v>0</v>
      </c>
      <c r="Z36" s="160">
        <f t="shared" si="30"/>
        <v>0</v>
      </c>
      <c r="AA36" s="160">
        <f t="shared" si="31"/>
        <v>0</v>
      </c>
      <c r="AB36" s="160">
        <f t="shared" si="32"/>
        <v>0</v>
      </c>
      <c r="AC36" s="160">
        <f t="shared" si="33"/>
        <v>0</v>
      </c>
      <c r="AD36" s="307">
        <f t="shared" si="34"/>
        <v>0</v>
      </c>
      <c r="AE36" s="308" t="str">
        <f t="shared" si="35"/>
        <v/>
      </c>
      <c r="AF36" s="163" t="str">
        <f t="shared" si="14"/>
        <v/>
      </c>
      <c r="AG36" s="163" t="str">
        <f t="shared" si="15"/>
        <v/>
      </c>
      <c r="AH36" s="163" t="str">
        <f t="shared" si="16"/>
        <v/>
      </c>
      <c r="AI36" s="290"/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19"/>
        <v/>
      </c>
      <c r="AQ36" s="166" t="str">
        <f t="shared" si="20"/>
        <v/>
      </c>
      <c r="AR36" s="166" t="str">
        <f t="shared" si="21"/>
        <v/>
      </c>
    </row>
    <row r="37" spans="1:45" s="162" customFormat="1" ht="25.2" customHeight="1" x14ac:dyDescent="0.3">
      <c r="A37" s="223">
        <v>33</v>
      </c>
      <c r="B37" s="156" t="str" cm="1">
        <f t="array" ref="B37">IF($J$1="Active",IF(Salary_Master!B37="","",_xlfn.IFS(Salary_Master!M37="Working",IF(Salary_Master!H37&lt;=DATE(2026,2,28),Salary_Master!B37,""),Salary_Master!M37="Left",IF(Salary_Master!N37&gt;DATE(2026,1,31),Salary_Master!B37,""))),"")</f>
        <v/>
      </c>
      <c r="C37" s="156">
        <v>31</v>
      </c>
      <c r="D37" s="305" t="str">
        <f t="shared" si="22"/>
        <v/>
      </c>
      <c r="E37" s="177"/>
      <c r="F37" s="177"/>
      <c r="G37" s="177"/>
      <c r="H37" s="305" t="str">
        <f t="shared" si="23"/>
        <v/>
      </c>
      <c r="I37" s="177"/>
      <c r="J37" s="177"/>
      <c r="K37" s="306" t="str">
        <f t="shared" si="24"/>
        <v/>
      </c>
      <c r="L37" s="306" t="str">
        <f t="shared" si="25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6"/>
        <v>0</v>
      </c>
      <c r="W37" s="160">
        <f t="shared" si="27"/>
        <v>0</v>
      </c>
      <c r="X37" s="160">
        <f t="shared" si="28"/>
        <v>0</v>
      </c>
      <c r="Y37" s="160">
        <f t="shared" si="29"/>
        <v>0</v>
      </c>
      <c r="Z37" s="160">
        <f t="shared" si="30"/>
        <v>0</v>
      </c>
      <c r="AA37" s="160">
        <f t="shared" si="31"/>
        <v>0</v>
      </c>
      <c r="AB37" s="160">
        <f t="shared" si="32"/>
        <v>0</v>
      </c>
      <c r="AC37" s="160">
        <f t="shared" si="33"/>
        <v>0</v>
      </c>
      <c r="AD37" s="307">
        <f t="shared" si="34"/>
        <v>0</v>
      </c>
      <c r="AE37" s="308" t="str">
        <f t="shared" si="35"/>
        <v/>
      </c>
      <c r="AF37" s="163" t="str">
        <f t="shared" si="14"/>
        <v/>
      </c>
      <c r="AG37" s="163" t="str">
        <f t="shared" si="15"/>
        <v/>
      </c>
      <c r="AH37" s="163" t="str">
        <f t="shared" si="16"/>
        <v/>
      </c>
      <c r="AI37" s="290"/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19"/>
        <v/>
      </c>
      <c r="AQ37" s="166" t="str">
        <f t="shared" si="20"/>
        <v/>
      </c>
      <c r="AR37" s="166" t="str">
        <f t="shared" si="21"/>
        <v/>
      </c>
    </row>
    <row r="38" spans="1:45" s="162" customFormat="1" ht="25.2" customHeight="1" x14ac:dyDescent="0.3">
      <c r="A38" s="223">
        <v>34</v>
      </c>
      <c r="B38" s="156" t="str" cm="1">
        <f t="array" ref="B38">IF($J$1="Active",IF(Salary_Master!B38="","",_xlfn.IFS(Salary_Master!M38="Working",IF(Salary_Master!H38&lt;=DATE(2026,2,28),Salary_Master!B38,""),Salary_Master!M38="Left",IF(Salary_Master!N38&gt;DATE(2026,1,31),Salary_Master!B38,""))),"")</f>
        <v/>
      </c>
      <c r="C38" s="156">
        <v>31</v>
      </c>
      <c r="D38" s="305" t="str">
        <f t="shared" si="22"/>
        <v/>
      </c>
      <c r="E38" s="177"/>
      <c r="F38" s="177"/>
      <c r="G38" s="177"/>
      <c r="H38" s="305" t="str">
        <f t="shared" si="23"/>
        <v/>
      </c>
      <c r="I38" s="177"/>
      <c r="J38" s="177"/>
      <c r="K38" s="306" t="str">
        <f t="shared" si="24"/>
        <v/>
      </c>
      <c r="L38" s="306" t="str">
        <f t="shared" si="25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6"/>
        <v>0</v>
      </c>
      <c r="W38" s="160">
        <f t="shared" si="27"/>
        <v>0</v>
      </c>
      <c r="X38" s="160">
        <f t="shared" si="28"/>
        <v>0</v>
      </c>
      <c r="Y38" s="160">
        <f t="shared" si="29"/>
        <v>0</v>
      </c>
      <c r="Z38" s="160">
        <f t="shared" si="30"/>
        <v>0</v>
      </c>
      <c r="AA38" s="160">
        <f t="shared" si="31"/>
        <v>0</v>
      </c>
      <c r="AB38" s="160">
        <f t="shared" si="32"/>
        <v>0</v>
      </c>
      <c r="AC38" s="160">
        <f t="shared" si="33"/>
        <v>0</v>
      </c>
      <c r="AD38" s="307">
        <f t="shared" si="34"/>
        <v>0</v>
      </c>
      <c r="AE38" s="308" t="str">
        <f t="shared" si="35"/>
        <v/>
      </c>
      <c r="AF38" s="163" t="str">
        <f t="shared" si="14"/>
        <v/>
      </c>
      <c r="AG38" s="163" t="str">
        <f t="shared" si="15"/>
        <v/>
      </c>
      <c r="AH38" s="163" t="str">
        <f t="shared" si="16"/>
        <v/>
      </c>
      <c r="AI38" s="290"/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19"/>
        <v/>
      </c>
      <c r="AQ38" s="166" t="str">
        <f t="shared" si="20"/>
        <v/>
      </c>
      <c r="AR38" s="166" t="str">
        <f t="shared" si="21"/>
        <v/>
      </c>
    </row>
    <row r="39" spans="1:45" s="162" customFormat="1" ht="25.2" customHeight="1" thickBot="1" x14ac:dyDescent="0.35">
      <c r="A39" s="174">
        <v>35</v>
      </c>
      <c r="B39" s="156" t="str" cm="1">
        <f t="array" ref="B39">IF($J$1="Active",IF(Salary_Master!B39="","",_xlfn.IFS(Salary_Master!M39="Working",IF(Salary_Master!H39&lt;=DATE(2026,2,28),Salary_Master!B39,""),Salary_Master!M39="Left",IF(Salary_Master!N39&gt;DATE(2026,1,31),Salary_Master!B39,""))),"")</f>
        <v/>
      </c>
      <c r="C39" s="156">
        <v>31</v>
      </c>
      <c r="D39" s="310" t="str">
        <f t="shared" si="22"/>
        <v/>
      </c>
      <c r="E39" s="311"/>
      <c r="F39" s="311"/>
      <c r="G39" s="311"/>
      <c r="H39" s="310" t="str">
        <f t="shared" si="23"/>
        <v/>
      </c>
      <c r="I39" s="311"/>
      <c r="J39" s="311"/>
      <c r="K39" s="312" t="str">
        <f t="shared" si="24"/>
        <v/>
      </c>
      <c r="L39" s="312" t="str">
        <f t="shared" si="25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6"/>
        <v>0</v>
      </c>
      <c r="W39" s="297">
        <f t="shared" si="27"/>
        <v>0</v>
      </c>
      <c r="X39" s="297">
        <f t="shared" si="28"/>
        <v>0</v>
      </c>
      <c r="Y39" s="297">
        <f t="shared" si="29"/>
        <v>0</v>
      </c>
      <c r="Z39" s="297">
        <f t="shared" si="30"/>
        <v>0</v>
      </c>
      <c r="AA39" s="297">
        <f t="shared" si="31"/>
        <v>0</v>
      </c>
      <c r="AB39" s="297">
        <f t="shared" si="32"/>
        <v>0</v>
      </c>
      <c r="AC39" s="297">
        <f t="shared" si="33"/>
        <v>0</v>
      </c>
      <c r="AD39" s="317">
        <f t="shared" si="34"/>
        <v>0</v>
      </c>
      <c r="AE39" s="318" t="str">
        <f t="shared" si="35"/>
        <v/>
      </c>
      <c r="AF39" s="163" t="str">
        <f t="shared" si="14"/>
        <v/>
      </c>
      <c r="AG39" s="163" t="str">
        <f t="shared" si="15"/>
        <v/>
      </c>
      <c r="AH39" s="163" t="str">
        <f t="shared" si="16"/>
        <v/>
      </c>
      <c r="AI39" s="292"/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19"/>
        <v/>
      </c>
      <c r="AQ39" s="166" t="str">
        <f t="shared" si="20"/>
        <v/>
      </c>
      <c r="AR39" s="166" t="str">
        <f t="shared" si="21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6">SUM(W5:W39)</f>
        <v>0</v>
      </c>
      <c r="X40" s="183">
        <f t="shared" si="36"/>
        <v>0</v>
      </c>
      <c r="Y40" s="183">
        <f t="shared" si="36"/>
        <v>0</v>
      </c>
      <c r="Z40" s="183">
        <f t="shared" si="36"/>
        <v>0</v>
      </c>
      <c r="AA40" s="183">
        <f t="shared" si="36"/>
        <v>0</v>
      </c>
      <c r="AB40" s="183">
        <f t="shared" si="36"/>
        <v>0</v>
      </c>
      <c r="AC40" s="183">
        <f t="shared" si="36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mergeCells count="3">
    <mergeCell ref="J1:K1"/>
    <mergeCell ref="AP2:AR2"/>
    <mergeCell ref="A40:U40"/>
  </mergeCells>
  <conditionalFormatting sqref="H5:H39">
    <cfRule type="cellIs" dxfId="5" priority="2" operator="greaterThan">
      <formula>32</formula>
    </cfRule>
    <cfRule type="cellIs" dxfId="4" priority="3" operator="greaterThan">
      <formula>31</formula>
    </cfRule>
  </conditionalFormatting>
  <conditionalFormatting sqref="H5:H39">
    <cfRule type="cellIs" dxfId="3" priority="1" operator="greaterThan">
      <formula>32</formula>
    </cfRule>
  </conditionalFormatting>
  <dataValidations count="6">
    <dataValidation type="list" allowBlank="1" showInputMessage="1" showErrorMessage="1" sqref="J1:K1" xr:uid="{A7F497E8-504D-4180-8AB4-FB2898F420A4}">
      <formula1>"Active,Non-Active"</formula1>
    </dataValidation>
    <dataValidation type="list" allowBlank="1" showInputMessage="1" showErrorMessage="1" sqref="AK5:AK39 AL40 M5:M39" xr:uid="{B01E7C1E-2C53-4034-8EB6-3A0039C103FC}">
      <formula1>"Yes,No"</formula1>
    </dataValidation>
    <dataValidation type="list" allowBlank="1" sqref="K5:L39" xr:uid="{2ABE49CB-6DCC-4976-8D29-DCEAA46A7297}">
      <formula1>"Yes,No"</formula1>
    </dataValidation>
    <dataValidation type="custom" allowBlank="1" showInputMessage="1" showErrorMessage="1" errorTitle="Below Limit !!!" error="Total leaves are going negative if this value is entered. Try to enter less value." sqref="G5:G39" xr:uid="{DBD60C67-A51A-42E4-874E-4E0978967D81}">
      <formula1>$AP5&lt;=7</formula1>
    </dataValidation>
    <dataValidation type="custom" allowBlank="1" showInputMessage="1" showErrorMessage="1" errorTitle="Below Limit !!!" error="Total leaves are going negative if this value is entered. Try to enter less value." sqref="F5:F39" xr:uid="{10C2E135-C774-4989-A3B4-820C1625831B}">
      <formula1>$AO5&lt;=7</formula1>
    </dataValidation>
    <dataValidation type="custom" allowBlank="1" showInputMessage="1" showErrorMessage="1" errorTitle="Below Limit !!!" error="Total leaves are going negative if this value is entered. Try to enter less value." sqref="E5:E39" xr:uid="{C4C2DB5C-3EC3-414E-BDF0-3D80955536D4}">
      <formula1>$AN5&lt;=7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2A1E-841E-4C1D-A554-178D4C3D1FA3}">
  <sheetPr codeName="Sheet47">
    <tabColor rgb="FF92D050"/>
  </sheetPr>
  <dimension ref="A1:AT40"/>
  <sheetViews>
    <sheetView workbookViewId="0">
      <pane xSplit="13" ySplit="4" topLeftCell="N5" activePane="bottomRight" state="frozen"/>
      <selection activeCell="J1" sqref="J1:K1"/>
      <selection pane="topRight" activeCell="J1" sqref="J1:K1"/>
      <selection pane="bottomLeft" activeCell="J1" sqref="J1:K1"/>
      <selection pane="bottomRight" activeCell="J1" sqref="J1:K1"/>
    </sheetView>
  </sheetViews>
  <sheetFormatPr defaultColWidth="8.88671875" defaultRowHeight="13.2" x14ac:dyDescent="0.3"/>
  <cols>
    <col min="1" max="1" width="4" style="133" bestFit="1" customWidth="1"/>
    <col min="2" max="2" width="22.33203125" style="133" bestFit="1" customWidth="1"/>
    <col min="3" max="3" width="0.44140625" style="133" customWidth="1"/>
    <col min="4" max="7" width="7.6640625" style="136" customWidth="1"/>
    <col min="8" max="8" width="7.6640625" style="133" customWidth="1"/>
    <col min="9" max="10" width="7.6640625" style="136" customWidth="1"/>
    <col min="11" max="12" width="5.6640625" style="133" customWidth="1"/>
    <col min="13" max="13" width="0.44140625" style="133" customWidth="1"/>
    <col min="14" max="14" width="9.6640625" style="133" customWidth="1"/>
    <col min="15" max="15" width="9.6640625" style="133" bestFit="1" customWidth="1"/>
    <col min="16" max="16" width="9.88671875" style="133" customWidth="1"/>
    <col min="17" max="17" width="11.109375" style="133" bestFit="1" customWidth="1"/>
    <col min="18" max="21" width="9.6640625" style="133" customWidth="1"/>
    <col min="22" max="22" width="12.109375" style="133" bestFit="1" customWidth="1"/>
    <col min="23" max="23" width="11.109375" style="133" bestFit="1" customWidth="1"/>
    <col min="24" max="24" width="9.6640625" style="133" bestFit="1" customWidth="1"/>
    <col min="25" max="26" width="9.6640625" style="133" customWidth="1"/>
    <col min="27" max="27" width="8.6640625" style="133" bestFit="1" customWidth="1"/>
    <col min="28" max="28" width="10.6640625" style="133" customWidth="1"/>
    <col min="29" max="29" width="10.109375" style="133" customWidth="1"/>
    <col min="30" max="30" width="12" style="133" customWidth="1"/>
    <col min="31" max="31" width="0.88671875" style="133" customWidth="1"/>
    <col min="32" max="34" width="7.6640625" style="136" customWidth="1"/>
    <col min="35" max="35" width="0.88671875" style="133" customWidth="1"/>
    <col min="36" max="36" width="8.6640625" style="134" customWidth="1"/>
    <col min="37" max="37" width="9.109375" style="134" bestFit="1" customWidth="1"/>
    <col min="38" max="38" width="0.88671875" style="133" customWidth="1"/>
    <col min="39" max="39" width="8.6640625" style="135" customWidth="1"/>
    <col min="40" max="40" width="9.109375" style="135" bestFit="1" customWidth="1"/>
    <col min="41" max="41" width="8.88671875" style="133"/>
    <col min="42" max="43" width="3.33203125" style="133" bestFit="1" customWidth="1"/>
    <col min="44" max="44" width="3.44140625" style="133" bestFit="1" customWidth="1"/>
    <col min="45" max="16384" width="8.88671875" style="133"/>
  </cols>
  <sheetData>
    <row r="1" spans="1:46" ht="24.6" x14ac:dyDescent="0.3">
      <c r="A1" s="209" t="s">
        <v>179</v>
      </c>
      <c r="B1" s="210"/>
      <c r="C1" s="210"/>
      <c r="D1" s="210"/>
      <c r="E1" s="210"/>
      <c r="F1" s="210"/>
      <c r="G1" s="210"/>
      <c r="H1" s="210"/>
      <c r="I1" s="210"/>
      <c r="J1" s="359" t="s">
        <v>228</v>
      </c>
      <c r="K1" s="359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48"/>
      <c r="AE1" s="199"/>
      <c r="AF1" s="133"/>
      <c r="AG1" s="133"/>
      <c r="AH1" s="133"/>
    </row>
    <row r="2" spans="1:46" ht="24.6" x14ac:dyDescent="0.3">
      <c r="A2" s="211" t="s">
        <v>189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57"/>
      <c r="AC2" s="257"/>
      <c r="AD2" s="210"/>
      <c r="AE2" s="199"/>
      <c r="AF2" s="133"/>
      <c r="AG2" s="133"/>
      <c r="AH2" s="133"/>
      <c r="AP2" s="360" t="s">
        <v>90</v>
      </c>
      <c r="AQ2" s="360"/>
      <c r="AR2" s="360"/>
    </row>
    <row r="3" spans="1:46" ht="4.95" customHeight="1" thickBot="1" x14ac:dyDescent="0.35">
      <c r="A3" s="137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91"/>
      <c r="V3" s="138"/>
      <c r="W3" s="138"/>
      <c r="X3" s="138"/>
      <c r="Y3" s="138"/>
      <c r="Z3" s="138"/>
      <c r="AA3" s="138"/>
      <c r="AB3" s="138"/>
      <c r="AC3" s="138"/>
      <c r="AD3" s="138"/>
      <c r="AE3" s="199"/>
      <c r="AF3" s="138"/>
      <c r="AG3" s="138"/>
      <c r="AH3" s="138"/>
      <c r="AJ3" s="139"/>
      <c r="AK3" s="139"/>
      <c r="AM3" s="140"/>
      <c r="AN3" s="140"/>
    </row>
    <row r="4" spans="1:46" s="151" customFormat="1" ht="40.200000000000003" thickBot="1" x14ac:dyDescent="0.35">
      <c r="A4" s="141" t="s">
        <v>58</v>
      </c>
      <c r="B4" s="142" t="s">
        <v>59</v>
      </c>
      <c r="C4" s="142"/>
      <c r="D4" s="142" t="s">
        <v>74</v>
      </c>
      <c r="E4" s="142" t="s">
        <v>76</v>
      </c>
      <c r="F4" s="142" t="s">
        <v>77</v>
      </c>
      <c r="G4" s="142" t="s">
        <v>78</v>
      </c>
      <c r="H4" s="142" t="s">
        <v>79</v>
      </c>
      <c r="I4" s="142" t="s">
        <v>75</v>
      </c>
      <c r="J4" s="142" t="s">
        <v>83</v>
      </c>
      <c r="K4" s="143" t="s">
        <v>44</v>
      </c>
      <c r="L4" s="144" t="s">
        <v>45</v>
      </c>
      <c r="M4" s="145"/>
      <c r="N4" s="146" t="s">
        <v>60</v>
      </c>
      <c r="O4" s="147" t="s">
        <v>61</v>
      </c>
      <c r="P4" s="148" t="s">
        <v>2</v>
      </c>
      <c r="Q4" s="147" t="s">
        <v>3</v>
      </c>
      <c r="R4" s="147" t="s">
        <v>62</v>
      </c>
      <c r="S4" s="147" t="s">
        <v>91</v>
      </c>
      <c r="T4" s="147" t="s">
        <v>92</v>
      </c>
      <c r="U4" s="147" t="s">
        <v>96</v>
      </c>
      <c r="V4" s="260" t="s">
        <v>63</v>
      </c>
      <c r="W4" s="149" t="s">
        <v>8</v>
      </c>
      <c r="X4" s="149" t="s">
        <v>94</v>
      </c>
      <c r="Y4" s="150" t="s">
        <v>10</v>
      </c>
      <c r="Z4" s="150" t="s">
        <v>95</v>
      </c>
      <c r="AA4" s="149" t="s">
        <v>64</v>
      </c>
      <c r="AB4" s="149" t="s">
        <v>82</v>
      </c>
      <c r="AC4" s="149" t="s">
        <v>14</v>
      </c>
      <c r="AD4" s="263" t="s">
        <v>65</v>
      </c>
      <c r="AE4" s="206"/>
      <c r="AF4" s="142" t="s">
        <v>76</v>
      </c>
      <c r="AG4" s="142" t="s">
        <v>77</v>
      </c>
      <c r="AH4" s="142" t="s">
        <v>78</v>
      </c>
      <c r="AJ4" s="152" t="s">
        <v>80</v>
      </c>
      <c r="AK4" s="152" t="s">
        <v>81</v>
      </c>
      <c r="AM4" s="153" t="s">
        <v>82</v>
      </c>
      <c r="AN4" s="153" t="s">
        <v>14</v>
      </c>
      <c r="AP4" s="154" t="s">
        <v>76</v>
      </c>
      <c r="AQ4" s="154" t="s">
        <v>77</v>
      </c>
      <c r="AR4" s="154" t="s">
        <v>78</v>
      </c>
    </row>
    <row r="5" spans="1:46" s="162" customFormat="1" ht="25.2" customHeight="1" x14ac:dyDescent="0.3">
      <c r="A5" s="155">
        <v>1</v>
      </c>
      <c r="B5" s="156" t="str" cm="1">
        <f t="array" ref="B5">IF($J$1="Active",IF(Salary_Master!B5="","",_xlfn.IFS(Salary_Master!M5="Working",IF(Salary_Master!H5&lt;=DATE(2026,3,31),Salary_Master!B5,""),Salary_Master!M5="Left",IF(Salary_Master!N5&gt;DATE(2026,2,28),Salary_Master!B5,""))),"")</f>
        <v/>
      </c>
      <c r="C5" s="156">
        <v>31</v>
      </c>
      <c r="D5" s="157" t="str">
        <f>IF($J$1="Active",IF(B5="","",C5-SUM(E5:G5)-I5),"")</f>
        <v/>
      </c>
      <c r="E5" s="175"/>
      <c r="F5" s="175"/>
      <c r="G5" s="175"/>
      <c r="H5" s="157" t="str">
        <f t="shared" ref="H5" si="0">IF(SUM(D5:G5)=0,"",SUM(D5:G5))</f>
        <v/>
      </c>
      <c r="I5" s="176"/>
      <c r="J5" s="176"/>
      <c r="K5" s="158" t="str">
        <f t="shared" ref="K5" si="1">IF($J$1="Active",IF(B5="","",VLOOKUP(B5,Salary_Master,14,FALSE)),"")</f>
        <v/>
      </c>
      <c r="L5" s="158" t="str">
        <f t="shared" ref="L5" si="2">IF($J$1="Active",IF(B5="","",VLOOKUP(B5,Salary_Master,15,FALSE)),"")</f>
        <v/>
      </c>
      <c r="M5" s="159"/>
      <c r="N5" s="169" t="str">
        <f t="shared" ref="N5:N39" si="3">IFERROR(ROUND(IF($B5="","",SUM(VLOOKUP($B5,Salary_Master,17,FALSE)/31*$H5)),0),"")</f>
        <v/>
      </c>
      <c r="O5" s="170" t="str">
        <f t="shared" ref="O5:O39" si="4">IFERROR(ROUND(IF($B5="","",SUM(VLOOKUP($B5,Salary_Master,18,FALSE)/31*$H5)),0),"")</f>
        <v/>
      </c>
      <c r="P5" s="170" t="str">
        <f t="shared" ref="P5:P39" si="5">IFERROR(ROUND(IF($B5="","",SUM(VLOOKUP($B5,Salary_Master,19,FALSE)/31*$H5)),0),"")</f>
        <v/>
      </c>
      <c r="Q5" s="170" t="str">
        <f t="shared" ref="Q5:Q39" si="6">IFERROR(ROUND(IF($B5="","",SUM(VLOOKUP($B5,Salary_Master,20,FALSE)/31*$H5)),0),"")</f>
        <v/>
      </c>
      <c r="R5" s="170" t="str">
        <f t="shared" ref="R5:R39" si="7">IFERROR(ROUND(IF($B5="","",SUM(VLOOKUP($B5,Salary_Master,21,FALSE)/31*$H5)),0),"")</f>
        <v/>
      </c>
      <c r="S5" s="170" t="str">
        <f t="shared" ref="S5:S39" si="8">IFERROR(ROUND(IF($B5="","",SUM(VLOOKUP($B5,Salary_Master,22,FALSE)/31*$H5)),0),"")</f>
        <v/>
      </c>
      <c r="T5" s="170" t="str">
        <f t="shared" ref="T5:T39" si="9">IFERROR(ROUND(IF($B5="","",SUM(VLOOKUP($B5,Salary_Master,23,FALSE)/31*$H5)),0),"")</f>
        <v/>
      </c>
      <c r="U5" s="170" t="str">
        <f t="shared" ref="U5:U39" si="10">IFERROR(ROUND(IF($B5="","",SUM(VLOOKUP($B5,Salary_Master,24,FALSE)/31*$H5)),0),"")</f>
        <v/>
      </c>
      <c r="V5" s="261">
        <f>ROUND(SUM(N5:U5),0)</f>
        <v>0</v>
      </c>
      <c r="W5" s="161">
        <f>IFERROR(ROUND(IF(K5="Yes",IF((V5-O5)&gt;15000,1800,SUM(V5-O5)*12%),),),"")</f>
        <v>0</v>
      </c>
      <c r="X5" s="160">
        <f>IF(B5="Sagar Kadam",0,IF(B5="Rahul Jadhav",0,IF(W5="","",W5)))</f>
        <v>0</v>
      </c>
      <c r="Y5" s="161">
        <f>ROUND(IF(L5="Yes",V5*0.75%,0),0)</f>
        <v>0</v>
      </c>
      <c r="Z5" s="160">
        <f t="shared" ref="Z5" si="11">IF(B5="Sagar Kadam",0,IF(B5="Rahul Jadhav",0,ROUND(IF(L5="Yes",V5*3.25%,0),0)))</f>
        <v>0</v>
      </c>
      <c r="AA5" s="161">
        <f t="shared" ref="AA5" si="12">IF(AE5="Female",IF(V5&gt;24999,200,0),IF(V5&gt;7500,200,0))</f>
        <v>0</v>
      </c>
      <c r="AB5" s="161">
        <f>AM5</f>
        <v>0</v>
      </c>
      <c r="AC5" s="161">
        <f>AN5</f>
        <v>0</v>
      </c>
      <c r="AD5" s="264">
        <f>ROUND(V5-SUM(W5:AC5),0)</f>
        <v>0</v>
      </c>
      <c r="AE5" s="303" t="str">
        <f t="shared" ref="AE5" si="13">IF(B5="","",VLOOKUP(B5,Salary_Master,8,FALSE))</f>
        <v/>
      </c>
      <c r="AF5" s="164" t="str">
        <f t="shared" ref="AF5:AF39" si="14">IFERROR(IF($J$1="Non-Active","",IF(VLOOKUP($B5,Febb26,36,FALSE)="No",IF($AK5="Yes",MROUND($AJ5/3,0.5)-$E5,""),IF(VLOOKUP($B5,Febb26,36,FALSE)="Yes",(VLOOKUP($B5,Febb26,31,FALSE)-$E5),""))),"")</f>
        <v/>
      </c>
      <c r="AG5" s="164" t="str">
        <f t="shared" ref="AG5:AG39" si="15">IFERROR(IF($J$1="Non-Active","",IF(VLOOKUP($B5,Febb26,36,FALSE)="No",IF($AK5="Yes",MROUND($AJ5/3,0.5)-$F5,""),IF(VLOOKUP($B5,Febb26,36,FALSE)="Yes",(VLOOKUP($B5,Febb26,32,FALSE)-$F5),""))),"")</f>
        <v/>
      </c>
      <c r="AH5" s="164" t="str">
        <f t="shared" ref="AH5:AH39" si="16">IFERROR(IF($J$1="Non-Active","",IF(VLOOKUP($B5,Febb26,36,FALSE)="No",IF($AK5="Yes",($AJ5-(AF5+AG5)-(E5+F5))-$G5,""),IF(VLOOKUP($B5,Febb26,36,FALSE)="Yes",(VLOOKUP($B5,Febb26,33,FALSE)-$G5),""))),"")</f>
        <v/>
      </c>
      <c r="AI5" s="289"/>
      <c r="AJ5" s="296" t="str">
        <f t="shared" ref="AJ5:AJ39" si="17">IF(AK5="Yes",IF(VLOOKUP($B5,Febb26,36,FALSE)="No",MROUND(SUM(21/12*6),0.5),""),"")</f>
        <v/>
      </c>
      <c r="AK5" s="287" t="str">
        <f t="shared" ref="AK5:AK39" si="18">IF($J$1="Non-Active","",IF($B5="","",VLOOKUP($B5,Febb26,36,FALSE)))</f>
        <v/>
      </c>
      <c r="AM5" s="179"/>
      <c r="AN5" s="179"/>
      <c r="AP5" s="166" t="str">
        <f t="shared" ref="AP5:AP39" si="19">IFERROR(IF($B5="","",(VLOOKUP($B5,Aprr25,4,FALSE)+VLOOKUP($B5,Mayy25,4,FALSE)+VLOOKUP($B5,Junn25,4,FALSE)+VLOOKUP($B5,Jull25,4,FALSE)+VLOOKUP($B5,Augg25,4,FALSE)+VLOOKUP($B5,Sepp25,4,FALSE)+VLOOKUP($B5,Octt25,4,FALSE)+VLOOKUP($B5,Novv25,4,FALSE)+VLOOKUP($B5,Decc25,4,FALSE)+VLOOKUP($B5,Jann26,4,FALSE)+VLOOKUP($B5,Febb26,4,FALSE)+VLOOKUP($B5,Marr26,4,FALSE))),0)</f>
        <v/>
      </c>
      <c r="AQ5" s="166" t="str">
        <f t="shared" ref="AQ5:AQ39" si="20">IFERROR(IF($B5="","",(VLOOKUP($B5,Aprr25,5,FALSE)+VLOOKUP($B5,Mayy25,5,FALSE)+VLOOKUP($B5,Junn25,5,FALSE)+VLOOKUP($B5,Jull25,5,FALSE)+VLOOKUP($B5,Augg25,5,FALSE)+VLOOKUP($B5,Sepp25,5,FALSE)+VLOOKUP($B5,Octt25,5,FALSE)+VLOOKUP($B5,Novv25,5,FALSE)+VLOOKUP($B5,Decc25,5,FALSE)+VLOOKUP($B5,Jann26,5,FALSE)+VLOOKUP($B5,Febb26,5,FALSE)+VLOOKUP($B5,Marr26,5,FALSE))),0)</f>
        <v/>
      </c>
      <c r="AR5" s="166" t="str">
        <f t="shared" ref="AR5:AR39" si="21">IFERROR(IF($B5="","",(VLOOKUP($B5,Aprr25,6,FALSE)+VLOOKUP($B5,Mayy25,6,FALSE)+VLOOKUP($B5,Junn25,6,FALSE)+VLOOKUP($B5,Jull25,6,FALSE)+VLOOKUP($B5,Augg25,6,FALSE)+VLOOKUP($B5,Sepp25,6,FALSE)+VLOOKUP($B5,Octt25,6,FALSE)+VLOOKUP($B5,Novv25,6,FALSE)+VLOOKUP($B5,Decc25,6,FALSE)+VLOOKUP($B5,Jann26,6,FALSE)+VLOOKUP($B5,Febb26,6,FALSE)+VLOOKUP($B5,Marr26,6,FALSE))),0)</f>
        <v/>
      </c>
    </row>
    <row r="6" spans="1:46" s="162" customFormat="1" ht="25.2" customHeight="1" x14ac:dyDescent="0.3">
      <c r="A6" s="167">
        <v>2</v>
      </c>
      <c r="B6" s="304" t="str" cm="1">
        <f t="array" ref="B6">IF($J$1="Active",IF(Salary_Master!B6="","",_xlfn.IFS(Salary_Master!M6="Working",IF(Salary_Master!H6&lt;=DATE(2026,3,31),Salary_Master!B6,""),Salary_Master!M6="Left",IF(Salary_Master!N6&gt;DATE(2026,2,28),Salary_Master!B6,""))),"")</f>
        <v/>
      </c>
      <c r="C6" s="304">
        <v>31</v>
      </c>
      <c r="D6" s="305" t="str">
        <f t="shared" ref="D6:D39" si="22">IF($J$1="Active",IF(B6="","",C6-SUM(E6:G6)-I6),"")</f>
        <v/>
      </c>
      <c r="E6" s="177"/>
      <c r="F6" s="177"/>
      <c r="G6" s="177"/>
      <c r="H6" s="305" t="str">
        <f t="shared" ref="H6:H39" si="23">IF(SUM(D6:G6)=0,"",SUM(D6:G6))</f>
        <v/>
      </c>
      <c r="I6" s="177"/>
      <c r="J6" s="177"/>
      <c r="K6" s="306" t="str">
        <f t="shared" ref="K6:K39" si="24">IF($J$1="Active",IF(B6="","",VLOOKUP(B6,Salary_Master,14,FALSE)),"")</f>
        <v/>
      </c>
      <c r="L6" s="306" t="str">
        <f t="shared" ref="L6:L39" si="25">IF($J$1="Active",IF(B6="","",VLOOKUP(B6,Salary_Master,15,FALSE)),"")</f>
        <v/>
      </c>
      <c r="M6" s="168"/>
      <c r="N6" s="169" t="str">
        <f t="shared" si="3"/>
        <v/>
      </c>
      <c r="O6" s="170" t="str">
        <f t="shared" si="4"/>
        <v/>
      </c>
      <c r="P6" s="170" t="str">
        <f t="shared" si="5"/>
        <v/>
      </c>
      <c r="Q6" s="170" t="str">
        <f t="shared" si="6"/>
        <v/>
      </c>
      <c r="R6" s="170" t="str">
        <f t="shared" si="7"/>
        <v/>
      </c>
      <c r="S6" s="170" t="str">
        <f t="shared" si="8"/>
        <v/>
      </c>
      <c r="T6" s="170" t="str">
        <f t="shared" si="9"/>
        <v/>
      </c>
      <c r="U6" s="170" t="str">
        <f t="shared" si="10"/>
        <v/>
      </c>
      <c r="V6" s="262">
        <f t="shared" ref="V6:V39" si="26">ROUND(SUM(N6:U6),0)</f>
        <v>0</v>
      </c>
      <c r="W6" s="160">
        <f t="shared" ref="W6:W39" si="27">IFERROR(ROUND(IF(K6="Yes",IF((V6-O6)&gt;15000,1800,SUM(V6-O6)*12%),),),"")</f>
        <v>0</v>
      </c>
      <c r="X6" s="160">
        <f t="shared" ref="X6:X39" si="28">IF(B6="Sagar Kadam",0,IF(B6="Rahul Jadhav",0,IF(W6="","",W6)))</f>
        <v>0</v>
      </c>
      <c r="Y6" s="160">
        <f t="shared" ref="Y6:Y39" si="29">ROUND(IF(L6="Yes",V6*0.75%,0),0)</f>
        <v>0</v>
      </c>
      <c r="Z6" s="160">
        <f t="shared" ref="Z6:Z39" si="30">IF(B6="Sagar Kadam",0,IF(B6="Rahul Jadhav",0,ROUND(IF(L6="Yes",V6*3.25%,0),0)))</f>
        <v>0</v>
      </c>
      <c r="AA6" s="160">
        <f t="shared" ref="AA6:AA39" si="31">IF(AE6="Female",IF(V6&gt;24999,200,0),IF(V6&gt;7500,200,0))</f>
        <v>0</v>
      </c>
      <c r="AB6" s="160">
        <f t="shared" ref="AB6:AB39" si="32">AM6</f>
        <v>0</v>
      </c>
      <c r="AC6" s="160">
        <f t="shared" ref="AC6:AC39" si="33">AN6</f>
        <v>0</v>
      </c>
      <c r="AD6" s="307">
        <f t="shared" ref="AD6:AD39" si="34">ROUND(V6-SUM(W6:AC6),0)</f>
        <v>0</v>
      </c>
      <c r="AE6" s="308" t="str">
        <f t="shared" ref="AE6:AE39" si="35">IF(B6="","",VLOOKUP(B6,Salary_Master,8,FALSE))</f>
        <v/>
      </c>
      <c r="AF6" s="163" t="str">
        <f t="shared" si="14"/>
        <v/>
      </c>
      <c r="AG6" s="163" t="str">
        <f t="shared" si="15"/>
        <v/>
      </c>
      <c r="AH6" s="163" t="str">
        <f t="shared" si="16"/>
        <v/>
      </c>
      <c r="AI6" s="290"/>
      <c r="AJ6" s="165" t="str">
        <f t="shared" si="17"/>
        <v/>
      </c>
      <c r="AK6" s="180" t="str">
        <f t="shared" si="18"/>
        <v/>
      </c>
      <c r="AM6" s="179"/>
      <c r="AN6" s="179"/>
      <c r="AP6" s="166" t="str">
        <f t="shared" si="19"/>
        <v/>
      </c>
      <c r="AQ6" s="166" t="str">
        <f t="shared" si="20"/>
        <v/>
      </c>
      <c r="AR6" s="166" t="str">
        <f t="shared" si="21"/>
        <v/>
      </c>
    </row>
    <row r="7" spans="1:46" s="162" customFormat="1" ht="25.2" customHeight="1" x14ac:dyDescent="0.3">
      <c r="A7" s="167">
        <v>3</v>
      </c>
      <c r="B7" s="304" t="str" cm="1">
        <f t="array" ref="B7">IF($J$1="Active",IF(Salary_Master!B7="","",_xlfn.IFS(Salary_Master!M7="Working",IF(Salary_Master!H7&lt;=DATE(2026,3,31),Salary_Master!B7,""),Salary_Master!M7="Left",IF(Salary_Master!N7&gt;DATE(2026,2,28),Salary_Master!B7,""))),"")</f>
        <v/>
      </c>
      <c r="C7" s="304">
        <v>31</v>
      </c>
      <c r="D7" s="305" t="str">
        <f t="shared" si="22"/>
        <v/>
      </c>
      <c r="E7" s="177"/>
      <c r="F7" s="177"/>
      <c r="G7" s="177"/>
      <c r="H7" s="305" t="str">
        <f t="shared" si="23"/>
        <v/>
      </c>
      <c r="I7" s="177"/>
      <c r="J7" s="177"/>
      <c r="K7" s="306" t="str">
        <f t="shared" si="24"/>
        <v/>
      </c>
      <c r="L7" s="306" t="str">
        <f t="shared" si="25"/>
        <v/>
      </c>
      <c r="M7" s="168"/>
      <c r="N7" s="169" t="str">
        <f t="shared" si="3"/>
        <v/>
      </c>
      <c r="O7" s="170" t="str">
        <f t="shared" si="4"/>
        <v/>
      </c>
      <c r="P7" s="170" t="str">
        <f t="shared" si="5"/>
        <v/>
      </c>
      <c r="Q7" s="170" t="str">
        <f t="shared" si="6"/>
        <v/>
      </c>
      <c r="R7" s="170" t="str">
        <f t="shared" si="7"/>
        <v/>
      </c>
      <c r="S7" s="170" t="str">
        <f t="shared" si="8"/>
        <v/>
      </c>
      <c r="T7" s="170" t="str">
        <f t="shared" si="9"/>
        <v/>
      </c>
      <c r="U7" s="170" t="str">
        <f t="shared" si="10"/>
        <v/>
      </c>
      <c r="V7" s="262">
        <f t="shared" si="26"/>
        <v>0</v>
      </c>
      <c r="W7" s="160">
        <f t="shared" si="27"/>
        <v>0</v>
      </c>
      <c r="X7" s="160">
        <f t="shared" si="28"/>
        <v>0</v>
      </c>
      <c r="Y7" s="160">
        <f t="shared" si="29"/>
        <v>0</v>
      </c>
      <c r="Z7" s="160">
        <f t="shared" si="30"/>
        <v>0</v>
      </c>
      <c r="AA7" s="160">
        <f t="shared" si="31"/>
        <v>0</v>
      </c>
      <c r="AB7" s="160">
        <f t="shared" si="32"/>
        <v>0</v>
      </c>
      <c r="AC7" s="160">
        <f t="shared" si="33"/>
        <v>0</v>
      </c>
      <c r="AD7" s="307">
        <f t="shared" si="34"/>
        <v>0</v>
      </c>
      <c r="AE7" s="308" t="str">
        <f t="shared" si="35"/>
        <v/>
      </c>
      <c r="AF7" s="163" t="str">
        <f t="shared" si="14"/>
        <v/>
      </c>
      <c r="AG7" s="163" t="str">
        <f t="shared" si="15"/>
        <v/>
      </c>
      <c r="AH7" s="163" t="str">
        <f t="shared" si="16"/>
        <v/>
      </c>
      <c r="AI7" s="290"/>
      <c r="AJ7" s="165" t="str">
        <f t="shared" si="17"/>
        <v/>
      </c>
      <c r="AK7" s="180" t="str">
        <f t="shared" si="18"/>
        <v/>
      </c>
      <c r="AM7" s="179"/>
      <c r="AN7" s="179"/>
      <c r="AP7" s="166" t="str">
        <f t="shared" si="19"/>
        <v/>
      </c>
      <c r="AQ7" s="166" t="str">
        <f t="shared" si="20"/>
        <v/>
      </c>
      <c r="AR7" s="166" t="str">
        <f t="shared" si="21"/>
        <v/>
      </c>
    </row>
    <row r="8" spans="1:46" s="162" customFormat="1" ht="25.2" customHeight="1" x14ac:dyDescent="0.3">
      <c r="A8" s="167">
        <v>4</v>
      </c>
      <c r="B8" s="304" t="str" cm="1">
        <f t="array" ref="B8">IF($J$1="Active",IF(Salary_Master!B8="","",_xlfn.IFS(Salary_Master!M8="Working",IF(Salary_Master!H8&lt;=DATE(2026,3,31),Salary_Master!B8,""),Salary_Master!M8="Left",IF(Salary_Master!N8&gt;DATE(2026,2,28),Salary_Master!B8,""))),"")</f>
        <v/>
      </c>
      <c r="C8" s="304">
        <v>31</v>
      </c>
      <c r="D8" s="305" t="str">
        <f t="shared" si="22"/>
        <v/>
      </c>
      <c r="E8" s="177"/>
      <c r="F8" s="177"/>
      <c r="G8" s="177"/>
      <c r="H8" s="305" t="str">
        <f t="shared" si="23"/>
        <v/>
      </c>
      <c r="I8" s="177"/>
      <c r="J8" s="177"/>
      <c r="K8" s="306" t="str">
        <f t="shared" si="24"/>
        <v/>
      </c>
      <c r="L8" s="306" t="str">
        <f t="shared" si="25"/>
        <v/>
      </c>
      <c r="M8" s="168"/>
      <c r="N8" s="169" t="str">
        <f t="shared" si="3"/>
        <v/>
      </c>
      <c r="O8" s="170" t="str">
        <f t="shared" si="4"/>
        <v/>
      </c>
      <c r="P8" s="170" t="str">
        <f t="shared" si="5"/>
        <v/>
      </c>
      <c r="Q8" s="170" t="str">
        <f t="shared" si="6"/>
        <v/>
      </c>
      <c r="R8" s="170" t="str">
        <f t="shared" si="7"/>
        <v/>
      </c>
      <c r="S8" s="170" t="str">
        <f t="shared" si="8"/>
        <v/>
      </c>
      <c r="T8" s="170" t="str">
        <f t="shared" si="9"/>
        <v/>
      </c>
      <c r="U8" s="170" t="str">
        <f t="shared" si="10"/>
        <v/>
      </c>
      <c r="V8" s="262">
        <f t="shared" si="26"/>
        <v>0</v>
      </c>
      <c r="W8" s="160">
        <f t="shared" si="27"/>
        <v>0</v>
      </c>
      <c r="X8" s="160">
        <f t="shared" si="28"/>
        <v>0</v>
      </c>
      <c r="Y8" s="160">
        <f t="shared" si="29"/>
        <v>0</v>
      </c>
      <c r="Z8" s="160">
        <f t="shared" si="30"/>
        <v>0</v>
      </c>
      <c r="AA8" s="160">
        <f t="shared" si="31"/>
        <v>0</v>
      </c>
      <c r="AB8" s="160">
        <f t="shared" si="32"/>
        <v>0</v>
      </c>
      <c r="AC8" s="160">
        <f t="shared" si="33"/>
        <v>0</v>
      </c>
      <c r="AD8" s="307">
        <f t="shared" si="34"/>
        <v>0</v>
      </c>
      <c r="AE8" s="308" t="str">
        <f t="shared" si="35"/>
        <v/>
      </c>
      <c r="AF8" s="163" t="str">
        <f t="shared" si="14"/>
        <v/>
      </c>
      <c r="AG8" s="163" t="str">
        <f t="shared" si="15"/>
        <v/>
      </c>
      <c r="AH8" s="163" t="str">
        <f t="shared" si="16"/>
        <v/>
      </c>
      <c r="AI8" s="290"/>
      <c r="AJ8" s="165" t="str">
        <f t="shared" si="17"/>
        <v/>
      </c>
      <c r="AK8" s="180" t="str">
        <f t="shared" si="18"/>
        <v/>
      </c>
      <c r="AM8" s="179"/>
      <c r="AN8" s="179"/>
      <c r="AP8" s="166" t="str">
        <f t="shared" si="19"/>
        <v/>
      </c>
      <c r="AQ8" s="166" t="str">
        <f t="shared" si="20"/>
        <v/>
      </c>
      <c r="AR8" s="166" t="str">
        <f t="shared" si="21"/>
        <v/>
      </c>
    </row>
    <row r="9" spans="1:46" s="162" customFormat="1" ht="25.2" customHeight="1" x14ac:dyDescent="0.3">
      <c r="A9" s="167">
        <v>5</v>
      </c>
      <c r="B9" s="304" t="str" cm="1">
        <f t="array" ref="B9">IF($J$1="Active",IF(Salary_Master!B9="","",_xlfn.IFS(Salary_Master!M9="Working",IF(Salary_Master!H9&lt;=DATE(2026,3,31),Salary_Master!B9,""),Salary_Master!M9="Left",IF(Salary_Master!N9&gt;DATE(2026,2,28),Salary_Master!B9,""))),"")</f>
        <v/>
      </c>
      <c r="C9" s="304">
        <v>31</v>
      </c>
      <c r="D9" s="305" t="str">
        <f t="shared" si="22"/>
        <v/>
      </c>
      <c r="E9" s="177"/>
      <c r="F9" s="177"/>
      <c r="G9" s="177"/>
      <c r="H9" s="305" t="str">
        <f t="shared" si="23"/>
        <v/>
      </c>
      <c r="I9" s="177"/>
      <c r="J9" s="177"/>
      <c r="K9" s="306" t="str">
        <f t="shared" si="24"/>
        <v/>
      </c>
      <c r="L9" s="306" t="str">
        <f t="shared" si="25"/>
        <v/>
      </c>
      <c r="M9" s="168"/>
      <c r="N9" s="169" t="str">
        <f t="shared" si="3"/>
        <v/>
      </c>
      <c r="O9" s="170" t="str">
        <f t="shared" si="4"/>
        <v/>
      </c>
      <c r="P9" s="170" t="str">
        <f t="shared" si="5"/>
        <v/>
      </c>
      <c r="Q9" s="170" t="str">
        <f t="shared" si="6"/>
        <v/>
      </c>
      <c r="R9" s="170" t="str">
        <f t="shared" si="7"/>
        <v/>
      </c>
      <c r="S9" s="170" t="str">
        <f t="shared" si="8"/>
        <v/>
      </c>
      <c r="T9" s="170" t="str">
        <f t="shared" si="9"/>
        <v/>
      </c>
      <c r="U9" s="170" t="str">
        <f t="shared" si="10"/>
        <v/>
      </c>
      <c r="V9" s="262">
        <f t="shared" si="26"/>
        <v>0</v>
      </c>
      <c r="W9" s="160">
        <f t="shared" si="27"/>
        <v>0</v>
      </c>
      <c r="X9" s="160">
        <f t="shared" si="28"/>
        <v>0</v>
      </c>
      <c r="Y9" s="160">
        <f t="shared" si="29"/>
        <v>0</v>
      </c>
      <c r="Z9" s="160">
        <f t="shared" si="30"/>
        <v>0</v>
      </c>
      <c r="AA9" s="160">
        <f t="shared" si="31"/>
        <v>0</v>
      </c>
      <c r="AB9" s="160">
        <f t="shared" si="32"/>
        <v>0</v>
      </c>
      <c r="AC9" s="160">
        <f t="shared" si="33"/>
        <v>0</v>
      </c>
      <c r="AD9" s="307">
        <f t="shared" si="34"/>
        <v>0</v>
      </c>
      <c r="AE9" s="308" t="str">
        <f t="shared" si="35"/>
        <v/>
      </c>
      <c r="AF9" s="163" t="str">
        <f t="shared" si="14"/>
        <v/>
      </c>
      <c r="AG9" s="163" t="str">
        <f t="shared" si="15"/>
        <v/>
      </c>
      <c r="AH9" s="163" t="str">
        <f t="shared" si="16"/>
        <v/>
      </c>
      <c r="AI9" s="290"/>
      <c r="AJ9" s="165" t="str">
        <f t="shared" si="17"/>
        <v/>
      </c>
      <c r="AK9" s="180" t="str">
        <f t="shared" si="18"/>
        <v/>
      </c>
      <c r="AM9" s="179"/>
      <c r="AN9" s="179"/>
      <c r="AP9" s="166" t="str">
        <f t="shared" si="19"/>
        <v/>
      </c>
      <c r="AQ9" s="166" t="str">
        <f t="shared" si="20"/>
        <v/>
      </c>
      <c r="AR9" s="166" t="str">
        <f t="shared" si="21"/>
        <v/>
      </c>
    </row>
    <row r="10" spans="1:46" s="162" customFormat="1" ht="25.2" customHeight="1" x14ac:dyDescent="0.3">
      <c r="A10" s="167">
        <v>6</v>
      </c>
      <c r="B10" s="304" t="str" cm="1">
        <f t="array" ref="B10">IF($J$1="Active",IF(Salary_Master!B10="","",_xlfn.IFS(Salary_Master!M10="Working",IF(Salary_Master!H10&lt;=DATE(2026,3,31),Salary_Master!B10,""),Salary_Master!M10="Left",IF(Salary_Master!N10&gt;DATE(2026,2,28),Salary_Master!B10,""))),"")</f>
        <v/>
      </c>
      <c r="C10" s="304">
        <v>31</v>
      </c>
      <c r="D10" s="305" t="str">
        <f t="shared" si="22"/>
        <v/>
      </c>
      <c r="E10" s="177"/>
      <c r="F10" s="177"/>
      <c r="G10" s="177"/>
      <c r="H10" s="305" t="str">
        <f t="shared" si="23"/>
        <v/>
      </c>
      <c r="I10" s="177"/>
      <c r="J10" s="177"/>
      <c r="K10" s="306" t="str">
        <f t="shared" si="24"/>
        <v/>
      </c>
      <c r="L10" s="306" t="str">
        <f t="shared" si="25"/>
        <v/>
      </c>
      <c r="M10" s="168"/>
      <c r="N10" s="169" t="str">
        <f t="shared" si="3"/>
        <v/>
      </c>
      <c r="O10" s="170" t="str">
        <f t="shared" si="4"/>
        <v/>
      </c>
      <c r="P10" s="170" t="str">
        <f t="shared" si="5"/>
        <v/>
      </c>
      <c r="Q10" s="170" t="str">
        <f t="shared" si="6"/>
        <v/>
      </c>
      <c r="R10" s="170" t="str">
        <f t="shared" si="7"/>
        <v/>
      </c>
      <c r="S10" s="170" t="str">
        <f t="shared" si="8"/>
        <v/>
      </c>
      <c r="T10" s="170" t="str">
        <f t="shared" si="9"/>
        <v/>
      </c>
      <c r="U10" s="170" t="str">
        <f t="shared" si="10"/>
        <v/>
      </c>
      <c r="V10" s="262">
        <f t="shared" si="26"/>
        <v>0</v>
      </c>
      <c r="W10" s="160">
        <f t="shared" si="27"/>
        <v>0</v>
      </c>
      <c r="X10" s="160">
        <f t="shared" si="28"/>
        <v>0</v>
      </c>
      <c r="Y10" s="160">
        <f t="shared" si="29"/>
        <v>0</v>
      </c>
      <c r="Z10" s="160">
        <f t="shared" si="30"/>
        <v>0</v>
      </c>
      <c r="AA10" s="160">
        <f t="shared" si="31"/>
        <v>0</v>
      </c>
      <c r="AB10" s="160">
        <f t="shared" si="32"/>
        <v>0</v>
      </c>
      <c r="AC10" s="160">
        <f t="shared" si="33"/>
        <v>0</v>
      </c>
      <c r="AD10" s="307">
        <f t="shared" si="34"/>
        <v>0</v>
      </c>
      <c r="AE10" s="308" t="str">
        <f t="shared" si="35"/>
        <v/>
      </c>
      <c r="AF10" s="163" t="str">
        <f t="shared" si="14"/>
        <v/>
      </c>
      <c r="AG10" s="163" t="str">
        <f t="shared" si="15"/>
        <v/>
      </c>
      <c r="AH10" s="163" t="str">
        <f t="shared" si="16"/>
        <v/>
      </c>
      <c r="AI10" s="290"/>
      <c r="AJ10" s="165" t="str">
        <f t="shared" si="17"/>
        <v/>
      </c>
      <c r="AK10" s="180" t="str">
        <f t="shared" si="18"/>
        <v/>
      </c>
      <c r="AM10" s="179"/>
      <c r="AN10" s="179"/>
      <c r="AP10" s="166" t="str">
        <f t="shared" si="19"/>
        <v/>
      </c>
      <c r="AQ10" s="166" t="str">
        <f t="shared" si="20"/>
        <v/>
      </c>
      <c r="AR10" s="166" t="str">
        <f t="shared" si="21"/>
        <v/>
      </c>
    </row>
    <row r="11" spans="1:46" s="162" customFormat="1" ht="25.2" customHeight="1" x14ac:dyDescent="0.3">
      <c r="A11" s="167">
        <v>7</v>
      </c>
      <c r="B11" s="304" t="str" cm="1">
        <f t="array" ref="B11">IF($J$1="Active",IF(Salary_Master!B11="","",_xlfn.IFS(Salary_Master!M11="Working",IF(Salary_Master!H11&lt;=DATE(2026,3,31),Salary_Master!B11,""),Salary_Master!M11="Left",IF(Salary_Master!N11&gt;DATE(2026,2,28),Salary_Master!B11,""))),"")</f>
        <v/>
      </c>
      <c r="C11" s="304">
        <v>31</v>
      </c>
      <c r="D11" s="305" t="str">
        <f t="shared" si="22"/>
        <v/>
      </c>
      <c r="E11" s="177"/>
      <c r="F11" s="177"/>
      <c r="G11" s="177"/>
      <c r="H11" s="305" t="str">
        <f t="shared" si="23"/>
        <v/>
      </c>
      <c r="I11" s="177"/>
      <c r="J11" s="177"/>
      <c r="K11" s="306" t="str">
        <f t="shared" si="24"/>
        <v/>
      </c>
      <c r="L11" s="306" t="str">
        <f t="shared" si="25"/>
        <v/>
      </c>
      <c r="M11" s="168"/>
      <c r="N11" s="169" t="str">
        <f t="shared" si="3"/>
        <v/>
      </c>
      <c r="O11" s="170" t="str">
        <f t="shared" si="4"/>
        <v/>
      </c>
      <c r="P11" s="170" t="str">
        <f t="shared" si="5"/>
        <v/>
      </c>
      <c r="Q11" s="170" t="str">
        <f t="shared" si="6"/>
        <v/>
      </c>
      <c r="R11" s="170" t="str">
        <f t="shared" si="7"/>
        <v/>
      </c>
      <c r="S11" s="170" t="str">
        <f t="shared" si="8"/>
        <v/>
      </c>
      <c r="T11" s="170" t="str">
        <f t="shared" si="9"/>
        <v/>
      </c>
      <c r="U11" s="170" t="str">
        <f t="shared" si="10"/>
        <v/>
      </c>
      <c r="V11" s="262">
        <f t="shared" si="26"/>
        <v>0</v>
      </c>
      <c r="W11" s="160">
        <f t="shared" si="27"/>
        <v>0</v>
      </c>
      <c r="X11" s="160">
        <f t="shared" si="28"/>
        <v>0</v>
      </c>
      <c r="Y11" s="160">
        <f t="shared" si="29"/>
        <v>0</v>
      </c>
      <c r="Z11" s="160">
        <f t="shared" si="30"/>
        <v>0</v>
      </c>
      <c r="AA11" s="160">
        <f t="shared" si="31"/>
        <v>0</v>
      </c>
      <c r="AB11" s="160">
        <f t="shared" si="32"/>
        <v>0</v>
      </c>
      <c r="AC11" s="160">
        <f t="shared" si="33"/>
        <v>0</v>
      </c>
      <c r="AD11" s="307">
        <f t="shared" si="34"/>
        <v>0</v>
      </c>
      <c r="AE11" s="308" t="str">
        <f t="shared" si="35"/>
        <v/>
      </c>
      <c r="AF11" s="163" t="str">
        <f t="shared" si="14"/>
        <v/>
      </c>
      <c r="AG11" s="163" t="str">
        <f t="shared" si="15"/>
        <v/>
      </c>
      <c r="AH11" s="163" t="str">
        <f t="shared" si="16"/>
        <v/>
      </c>
      <c r="AI11" s="290"/>
      <c r="AJ11" s="165" t="str">
        <f t="shared" si="17"/>
        <v/>
      </c>
      <c r="AK11" s="180" t="str">
        <f t="shared" si="18"/>
        <v/>
      </c>
      <c r="AM11" s="179"/>
      <c r="AN11" s="179"/>
      <c r="AP11" s="166" t="str">
        <f t="shared" si="19"/>
        <v/>
      </c>
      <c r="AQ11" s="166" t="str">
        <f t="shared" si="20"/>
        <v/>
      </c>
      <c r="AR11" s="166" t="str">
        <f t="shared" si="21"/>
        <v/>
      </c>
    </row>
    <row r="12" spans="1:46" s="173" customFormat="1" ht="25.2" customHeight="1" x14ac:dyDescent="0.3">
      <c r="A12" s="172">
        <v>8</v>
      </c>
      <c r="B12" s="304" t="str" cm="1">
        <f t="array" ref="B12">IF($J$1="Active",IF(Salary_Master!B12="","",_xlfn.IFS(Salary_Master!M12="Working",IF(Salary_Master!H12&lt;=DATE(2026,3,31),Salary_Master!B12,""),Salary_Master!M12="Left",IF(Salary_Master!N12&gt;DATE(2026,2,28),Salary_Master!B12,""))),"")</f>
        <v/>
      </c>
      <c r="C12" s="304">
        <v>31</v>
      </c>
      <c r="D12" s="305" t="str">
        <f t="shared" si="22"/>
        <v/>
      </c>
      <c r="E12" s="177"/>
      <c r="F12" s="177"/>
      <c r="G12" s="177"/>
      <c r="H12" s="305" t="str">
        <f t="shared" si="23"/>
        <v/>
      </c>
      <c r="I12" s="177"/>
      <c r="J12" s="177"/>
      <c r="K12" s="306" t="str">
        <f t="shared" si="24"/>
        <v/>
      </c>
      <c r="L12" s="306" t="str">
        <f t="shared" si="25"/>
        <v/>
      </c>
      <c r="M12" s="168"/>
      <c r="N12" s="169" t="str">
        <f t="shared" si="3"/>
        <v/>
      </c>
      <c r="O12" s="170" t="str">
        <f t="shared" si="4"/>
        <v/>
      </c>
      <c r="P12" s="170" t="str">
        <f t="shared" si="5"/>
        <v/>
      </c>
      <c r="Q12" s="170" t="str">
        <f t="shared" si="6"/>
        <v/>
      </c>
      <c r="R12" s="170" t="str">
        <f t="shared" si="7"/>
        <v/>
      </c>
      <c r="S12" s="170" t="str">
        <f t="shared" si="8"/>
        <v/>
      </c>
      <c r="T12" s="170" t="str">
        <f t="shared" si="9"/>
        <v/>
      </c>
      <c r="U12" s="170" t="str">
        <f t="shared" si="10"/>
        <v/>
      </c>
      <c r="V12" s="262">
        <f t="shared" si="26"/>
        <v>0</v>
      </c>
      <c r="W12" s="160">
        <f t="shared" si="27"/>
        <v>0</v>
      </c>
      <c r="X12" s="160">
        <f t="shared" si="28"/>
        <v>0</v>
      </c>
      <c r="Y12" s="160">
        <f t="shared" si="29"/>
        <v>0</v>
      </c>
      <c r="Z12" s="160">
        <f t="shared" si="30"/>
        <v>0</v>
      </c>
      <c r="AA12" s="160">
        <f t="shared" si="31"/>
        <v>0</v>
      </c>
      <c r="AB12" s="160">
        <f t="shared" si="32"/>
        <v>0</v>
      </c>
      <c r="AC12" s="160">
        <f t="shared" si="33"/>
        <v>0</v>
      </c>
      <c r="AD12" s="307">
        <f t="shared" si="34"/>
        <v>0</v>
      </c>
      <c r="AE12" s="308" t="str">
        <f t="shared" si="35"/>
        <v/>
      </c>
      <c r="AF12" s="163" t="str">
        <f t="shared" si="14"/>
        <v/>
      </c>
      <c r="AG12" s="163" t="str">
        <f t="shared" si="15"/>
        <v/>
      </c>
      <c r="AH12" s="163" t="str">
        <f t="shared" si="16"/>
        <v/>
      </c>
      <c r="AI12" s="290"/>
      <c r="AJ12" s="165" t="str">
        <f t="shared" si="17"/>
        <v/>
      </c>
      <c r="AK12" s="180" t="str">
        <f t="shared" si="18"/>
        <v/>
      </c>
      <c r="AM12" s="179"/>
      <c r="AN12" s="179"/>
      <c r="AP12" s="166" t="str">
        <f t="shared" si="19"/>
        <v/>
      </c>
      <c r="AQ12" s="166" t="str">
        <f t="shared" si="20"/>
        <v/>
      </c>
      <c r="AR12" s="166" t="str">
        <f t="shared" si="21"/>
        <v/>
      </c>
      <c r="AT12" s="162"/>
    </row>
    <row r="13" spans="1:46" s="173" customFormat="1" ht="25.2" customHeight="1" x14ac:dyDescent="0.3">
      <c r="A13" s="172">
        <v>9</v>
      </c>
      <c r="B13" s="304" t="str" cm="1">
        <f t="array" ref="B13">IF($J$1="Active",IF(Salary_Master!B13="","",_xlfn.IFS(Salary_Master!M13="Working",IF(Salary_Master!H13&lt;=DATE(2026,3,31),Salary_Master!B13,""),Salary_Master!M13="Left",IF(Salary_Master!N13&gt;DATE(2026,2,28),Salary_Master!B13,""))),"")</f>
        <v/>
      </c>
      <c r="C13" s="304">
        <v>31</v>
      </c>
      <c r="D13" s="305" t="str">
        <f t="shared" si="22"/>
        <v/>
      </c>
      <c r="E13" s="177"/>
      <c r="F13" s="177"/>
      <c r="G13" s="177"/>
      <c r="H13" s="305" t="str">
        <f t="shared" si="23"/>
        <v/>
      </c>
      <c r="I13" s="177"/>
      <c r="J13" s="177"/>
      <c r="K13" s="306" t="str">
        <f t="shared" si="24"/>
        <v/>
      </c>
      <c r="L13" s="306" t="str">
        <f t="shared" si="25"/>
        <v/>
      </c>
      <c r="M13" s="168"/>
      <c r="N13" s="169" t="str">
        <f t="shared" si="3"/>
        <v/>
      </c>
      <c r="O13" s="170" t="str">
        <f t="shared" si="4"/>
        <v/>
      </c>
      <c r="P13" s="170" t="str">
        <f t="shared" si="5"/>
        <v/>
      </c>
      <c r="Q13" s="170" t="str">
        <f t="shared" si="6"/>
        <v/>
      </c>
      <c r="R13" s="170" t="str">
        <f t="shared" si="7"/>
        <v/>
      </c>
      <c r="S13" s="170" t="str">
        <f t="shared" si="8"/>
        <v/>
      </c>
      <c r="T13" s="170" t="str">
        <f t="shared" si="9"/>
        <v/>
      </c>
      <c r="U13" s="170" t="str">
        <f t="shared" si="10"/>
        <v/>
      </c>
      <c r="V13" s="262">
        <f t="shared" si="26"/>
        <v>0</v>
      </c>
      <c r="W13" s="160">
        <f t="shared" si="27"/>
        <v>0</v>
      </c>
      <c r="X13" s="160">
        <f t="shared" si="28"/>
        <v>0</v>
      </c>
      <c r="Y13" s="160">
        <f t="shared" si="29"/>
        <v>0</v>
      </c>
      <c r="Z13" s="160">
        <f t="shared" si="30"/>
        <v>0</v>
      </c>
      <c r="AA13" s="160">
        <f t="shared" si="31"/>
        <v>0</v>
      </c>
      <c r="AB13" s="160">
        <f t="shared" si="32"/>
        <v>0</v>
      </c>
      <c r="AC13" s="160">
        <f t="shared" si="33"/>
        <v>0</v>
      </c>
      <c r="AD13" s="307">
        <f t="shared" si="34"/>
        <v>0</v>
      </c>
      <c r="AE13" s="308" t="str">
        <f t="shared" si="35"/>
        <v/>
      </c>
      <c r="AF13" s="163" t="str">
        <f t="shared" si="14"/>
        <v/>
      </c>
      <c r="AG13" s="163" t="str">
        <f t="shared" si="15"/>
        <v/>
      </c>
      <c r="AH13" s="163" t="str">
        <f t="shared" si="16"/>
        <v/>
      </c>
      <c r="AI13" s="290"/>
      <c r="AJ13" s="165" t="str">
        <f t="shared" si="17"/>
        <v/>
      </c>
      <c r="AK13" s="180" t="str">
        <f t="shared" si="18"/>
        <v/>
      </c>
      <c r="AM13" s="179"/>
      <c r="AN13" s="179"/>
      <c r="AP13" s="166" t="str">
        <f t="shared" si="19"/>
        <v/>
      </c>
      <c r="AQ13" s="166" t="str">
        <f t="shared" si="20"/>
        <v/>
      </c>
      <c r="AR13" s="166" t="str">
        <f t="shared" si="21"/>
        <v/>
      </c>
      <c r="AT13" s="162"/>
    </row>
    <row r="14" spans="1:46" s="162" customFormat="1" ht="25.2" customHeight="1" x14ac:dyDescent="0.3">
      <c r="A14" s="167">
        <v>10</v>
      </c>
      <c r="B14" s="304" t="str" cm="1">
        <f t="array" ref="B14">IF($J$1="Active",IF(Salary_Master!B14="","",_xlfn.IFS(Salary_Master!M14="Working",IF(Salary_Master!H14&lt;=DATE(2026,3,31),Salary_Master!B14,""),Salary_Master!M14="Left",IF(Salary_Master!N14&gt;DATE(2026,2,28),Salary_Master!B14,""))),"")</f>
        <v/>
      </c>
      <c r="C14" s="304">
        <v>31</v>
      </c>
      <c r="D14" s="305" t="str">
        <f t="shared" si="22"/>
        <v/>
      </c>
      <c r="E14" s="177"/>
      <c r="F14" s="177"/>
      <c r="G14" s="177"/>
      <c r="H14" s="305" t="str">
        <f t="shared" si="23"/>
        <v/>
      </c>
      <c r="I14" s="177"/>
      <c r="J14" s="177"/>
      <c r="K14" s="306" t="str">
        <f t="shared" si="24"/>
        <v/>
      </c>
      <c r="L14" s="306" t="str">
        <f t="shared" si="25"/>
        <v/>
      </c>
      <c r="M14" s="168"/>
      <c r="N14" s="169" t="str">
        <f t="shared" si="3"/>
        <v/>
      </c>
      <c r="O14" s="170" t="str">
        <f t="shared" si="4"/>
        <v/>
      </c>
      <c r="P14" s="170" t="str">
        <f t="shared" si="5"/>
        <v/>
      </c>
      <c r="Q14" s="170" t="str">
        <f t="shared" si="6"/>
        <v/>
      </c>
      <c r="R14" s="170" t="str">
        <f t="shared" si="7"/>
        <v/>
      </c>
      <c r="S14" s="170" t="str">
        <f t="shared" si="8"/>
        <v/>
      </c>
      <c r="T14" s="170" t="str">
        <f t="shared" si="9"/>
        <v/>
      </c>
      <c r="U14" s="170" t="str">
        <f t="shared" si="10"/>
        <v/>
      </c>
      <c r="V14" s="262">
        <f t="shared" si="26"/>
        <v>0</v>
      </c>
      <c r="W14" s="160">
        <f t="shared" si="27"/>
        <v>0</v>
      </c>
      <c r="X14" s="160">
        <f t="shared" si="28"/>
        <v>0</v>
      </c>
      <c r="Y14" s="160">
        <f t="shared" si="29"/>
        <v>0</v>
      </c>
      <c r="Z14" s="160">
        <f t="shared" si="30"/>
        <v>0</v>
      </c>
      <c r="AA14" s="160">
        <f t="shared" si="31"/>
        <v>0</v>
      </c>
      <c r="AB14" s="160">
        <f t="shared" si="32"/>
        <v>0</v>
      </c>
      <c r="AC14" s="160">
        <f t="shared" si="33"/>
        <v>0</v>
      </c>
      <c r="AD14" s="307">
        <f t="shared" si="34"/>
        <v>0</v>
      </c>
      <c r="AE14" s="308" t="str">
        <f t="shared" si="35"/>
        <v/>
      </c>
      <c r="AF14" s="163" t="str">
        <f t="shared" si="14"/>
        <v/>
      </c>
      <c r="AG14" s="163" t="str">
        <f t="shared" si="15"/>
        <v/>
      </c>
      <c r="AH14" s="163" t="str">
        <f t="shared" si="16"/>
        <v/>
      </c>
      <c r="AI14" s="290"/>
      <c r="AJ14" s="165" t="str">
        <f t="shared" si="17"/>
        <v/>
      </c>
      <c r="AK14" s="180" t="str">
        <f t="shared" si="18"/>
        <v/>
      </c>
      <c r="AM14" s="179"/>
      <c r="AN14" s="179"/>
      <c r="AP14" s="166" t="str">
        <f t="shared" si="19"/>
        <v/>
      </c>
      <c r="AQ14" s="166" t="str">
        <f t="shared" si="20"/>
        <v/>
      </c>
      <c r="AR14" s="166" t="str">
        <f t="shared" si="21"/>
        <v/>
      </c>
    </row>
    <row r="15" spans="1:46" s="162" customFormat="1" ht="25.2" customHeight="1" x14ac:dyDescent="0.3">
      <c r="A15" s="167">
        <v>11</v>
      </c>
      <c r="B15" s="304" t="str" cm="1">
        <f t="array" ref="B15">IF($J$1="Active",IF(Salary_Master!B15="","",_xlfn.IFS(Salary_Master!M15="Working",IF(Salary_Master!H15&lt;=DATE(2026,3,31),Salary_Master!B15,""),Salary_Master!M15="Left",IF(Salary_Master!N15&gt;DATE(2026,2,28),Salary_Master!B15,""))),"")</f>
        <v/>
      </c>
      <c r="C15" s="304">
        <v>31</v>
      </c>
      <c r="D15" s="305" t="str">
        <f t="shared" si="22"/>
        <v/>
      </c>
      <c r="E15" s="177"/>
      <c r="F15" s="177"/>
      <c r="G15" s="177"/>
      <c r="H15" s="305" t="str">
        <f t="shared" si="23"/>
        <v/>
      </c>
      <c r="I15" s="177"/>
      <c r="J15" s="177"/>
      <c r="K15" s="306" t="str">
        <f t="shared" si="24"/>
        <v/>
      </c>
      <c r="L15" s="306" t="str">
        <f t="shared" si="25"/>
        <v/>
      </c>
      <c r="M15" s="168"/>
      <c r="N15" s="169" t="str">
        <f t="shared" si="3"/>
        <v/>
      </c>
      <c r="O15" s="170" t="str">
        <f t="shared" si="4"/>
        <v/>
      </c>
      <c r="P15" s="170" t="str">
        <f t="shared" si="5"/>
        <v/>
      </c>
      <c r="Q15" s="170" t="str">
        <f t="shared" si="6"/>
        <v/>
      </c>
      <c r="R15" s="170" t="str">
        <f t="shared" si="7"/>
        <v/>
      </c>
      <c r="S15" s="170" t="str">
        <f t="shared" si="8"/>
        <v/>
      </c>
      <c r="T15" s="170" t="str">
        <f t="shared" si="9"/>
        <v/>
      </c>
      <c r="U15" s="170" t="str">
        <f t="shared" si="10"/>
        <v/>
      </c>
      <c r="V15" s="262">
        <f t="shared" si="26"/>
        <v>0</v>
      </c>
      <c r="W15" s="160">
        <f t="shared" si="27"/>
        <v>0</v>
      </c>
      <c r="X15" s="160">
        <f t="shared" si="28"/>
        <v>0</v>
      </c>
      <c r="Y15" s="160">
        <f t="shared" si="29"/>
        <v>0</v>
      </c>
      <c r="Z15" s="160">
        <f t="shared" si="30"/>
        <v>0</v>
      </c>
      <c r="AA15" s="160">
        <f t="shared" si="31"/>
        <v>0</v>
      </c>
      <c r="AB15" s="160">
        <f t="shared" si="32"/>
        <v>0</v>
      </c>
      <c r="AC15" s="160">
        <f t="shared" si="33"/>
        <v>0</v>
      </c>
      <c r="AD15" s="307">
        <f t="shared" si="34"/>
        <v>0</v>
      </c>
      <c r="AE15" s="308" t="str">
        <f t="shared" si="35"/>
        <v/>
      </c>
      <c r="AF15" s="163" t="str">
        <f t="shared" si="14"/>
        <v/>
      </c>
      <c r="AG15" s="163" t="str">
        <f t="shared" si="15"/>
        <v/>
      </c>
      <c r="AH15" s="163" t="str">
        <f t="shared" si="16"/>
        <v/>
      </c>
      <c r="AI15" s="290"/>
      <c r="AJ15" s="165" t="str">
        <f t="shared" si="17"/>
        <v/>
      </c>
      <c r="AK15" s="180" t="str">
        <f t="shared" si="18"/>
        <v/>
      </c>
      <c r="AM15" s="179"/>
      <c r="AN15" s="179"/>
      <c r="AP15" s="166" t="str">
        <f t="shared" si="19"/>
        <v/>
      </c>
      <c r="AQ15" s="166" t="str">
        <f t="shared" si="20"/>
        <v/>
      </c>
      <c r="AR15" s="166" t="str">
        <f t="shared" si="21"/>
        <v/>
      </c>
    </row>
    <row r="16" spans="1:46" s="162" customFormat="1" ht="25.2" customHeight="1" x14ac:dyDescent="0.3">
      <c r="A16" s="167">
        <v>12</v>
      </c>
      <c r="B16" s="304" t="str" cm="1">
        <f t="array" ref="B16">IF($J$1="Active",IF(Salary_Master!B16="","",_xlfn.IFS(Salary_Master!M16="Working",IF(Salary_Master!H16&lt;=DATE(2026,3,31),Salary_Master!B16,""),Salary_Master!M16="Left",IF(Salary_Master!N16&gt;DATE(2026,2,28),Salary_Master!B16,""))),"")</f>
        <v/>
      </c>
      <c r="C16" s="304">
        <v>31</v>
      </c>
      <c r="D16" s="305" t="str">
        <f t="shared" si="22"/>
        <v/>
      </c>
      <c r="E16" s="177"/>
      <c r="F16" s="177"/>
      <c r="G16" s="177"/>
      <c r="H16" s="305" t="str">
        <f t="shared" si="23"/>
        <v/>
      </c>
      <c r="I16" s="177"/>
      <c r="J16" s="177"/>
      <c r="K16" s="306" t="str">
        <f t="shared" si="24"/>
        <v/>
      </c>
      <c r="L16" s="306" t="str">
        <f t="shared" si="25"/>
        <v/>
      </c>
      <c r="M16" s="168"/>
      <c r="N16" s="169" t="str">
        <f t="shared" si="3"/>
        <v/>
      </c>
      <c r="O16" s="170" t="str">
        <f t="shared" si="4"/>
        <v/>
      </c>
      <c r="P16" s="170" t="str">
        <f t="shared" si="5"/>
        <v/>
      </c>
      <c r="Q16" s="170" t="str">
        <f t="shared" si="6"/>
        <v/>
      </c>
      <c r="R16" s="170" t="str">
        <f t="shared" si="7"/>
        <v/>
      </c>
      <c r="S16" s="170" t="str">
        <f t="shared" si="8"/>
        <v/>
      </c>
      <c r="T16" s="170" t="str">
        <f t="shared" si="9"/>
        <v/>
      </c>
      <c r="U16" s="170" t="str">
        <f t="shared" si="10"/>
        <v/>
      </c>
      <c r="V16" s="262">
        <f t="shared" si="26"/>
        <v>0</v>
      </c>
      <c r="W16" s="160">
        <f t="shared" si="27"/>
        <v>0</v>
      </c>
      <c r="X16" s="160">
        <f t="shared" si="28"/>
        <v>0</v>
      </c>
      <c r="Y16" s="160">
        <f t="shared" si="29"/>
        <v>0</v>
      </c>
      <c r="Z16" s="160">
        <f t="shared" si="30"/>
        <v>0</v>
      </c>
      <c r="AA16" s="160">
        <f t="shared" si="31"/>
        <v>0</v>
      </c>
      <c r="AB16" s="160">
        <f t="shared" si="32"/>
        <v>0</v>
      </c>
      <c r="AC16" s="160">
        <f t="shared" si="33"/>
        <v>0</v>
      </c>
      <c r="AD16" s="307">
        <f t="shared" si="34"/>
        <v>0</v>
      </c>
      <c r="AE16" s="308" t="str">
        <f t="shared" si="35"/>
        <v/>
      </c>
      <c r="AF16" s="163" t="str">
        <f t="shared" si="14"/>
        <v/>
      </c>
      <c r="AG16" s="163" t="str">
        <f t="shared" si="15"/>
        <v/>
      </c>
      <c r="AH16" s="163" t="str">
        <f t="shared" si="16"/>
        <v/>
      </c>
      <c r="AI16" s="290"/>
      <c r="AJ16" s="165" t="str">
        <f t="shared" si="17"/>
        <v/>
      </c>
      <c r="AK16" s="180" t="str">
        <f t="shared" si="18"/>
        <v/>
      </c>
      <c r="AM16" s="179"/>
      <c r="AN16" s="179"/>
      <c r="AP16" s="166" t="str">
        <f t="shared" si="19"/>
        <v/>
      </c>
      <c r="AQ16" s="166" t="str">
        <f t="shared" si="20"/>
        <v/>
      </c>
      <c r="AR16" s="166" t="str">
        <f t="shared" si="21"/>
        <v/>
      </c>
    </row>
    <row r="17" spans="1:46" s="162" customFormat="1" ht="25.2" customHeight="1" x14ac:dyDescent="0.3">
      <c r="A17" s="172">
        <v>13</v>
      </c>
      <c r="B17" s="304" t="str" cm="1">
        <f t="array" ref="B17">IF($J$1="Active",IF(Salary_Master!B17="","",_xlfn.IFS(Salary_Master!M17="Working",IF(Salary_Master!H17&lt;=DATE(2026,3,31),Salary_Master!B17,""),Salary_Master!M17="Left",IF(Salary_Master!N17&gt;DATE(2026,2,28),Salary_Master!B17,""))),"")</f>
        <v/>
      </c>
      <c r="C17" s="304">
        <v>31</v>
      </c>
      <c r="D17" s="305" t="str">
        <f t="shared" si="22"/>
        <v/>
      </c>
      <c r="E17" s="177"/>
      <c r="F17" s="177"/>
      <c r="G17" s="177"/>
      <c r="H17" s="305" t="str">
        <f t="shared" si="23"/>
        <v/>
      </c>
      <c r="I17" s="177"/>
      <c r="J17" s="177"/>
      <c r="K17" s="306" t="str">
        <f t="shared" si="24"/>
        <v/>
      </c>
      <c r="L17" s="306" t="str">
        <f t="shared" si="25"/>
        <v/>
      </c>
      <c r="M17" s="168"/>
      <c r="N17" s="169" t="str">
        <f t="shared" si="3"/>
        <v/>
      </c>
      <c r="O17" s="170" t="str">
        <f t="shared" si="4"/>
        <v/>
      </c>
      <c r="P17" s="170" t="str">
        <f t="shared" si="5"/>
        <v/>
      </c>
      <c r="Q17" s="170" t="str">
        <f t="shared" si="6"/>
        <v/>
      </c>
      <c r="R17" s="170" t="str">
        <f t="shared" si="7"/>
        <v/>
      </c>
      <c r="S17" s="170" t="str">
        <f t="shared" si="8"/>
        <v/>
      </c>
      <c r="T17" s="170" t="str">
        <f t="shared" si="9"/>
        <v/>
      </c>
      <c r="U17" s="170" t="str">
        <f t="shared" si="10"/>
        <v/>
      </c>
      <c r="V17" s="262">
        <f t="shared" si="26"/>
        <v>0</v>
      </c>
      <c r="W17" s="160">
        <f t="shared" si="27"/>
        <v>0</v>
      </c>
      <c r="X17" s="160">
        <f t="shared" si="28"/>
        <v>0</v>
      </c>
      <c r="Y17" s="160">
        <f t="shared" si="29"/>
        <v>0</v>
      </c>
      <c r="Z17" s="160">
        <f t="shared" si="30"/>
        <v>0</v>
      </c>
      <c r="AA17" s="160">
        <f t="shared" si="31"/>
        <v>0</v>
      </c>
      <c r="AB17" s="160">
        <f t="shared" si="32"/>
        <v>0</v>
      </c>
      <c r="AC17" s="160">
        <f t="shared" si="33"/>
        <v>0</v>
      </c>
      <c r="AD17" s="307">
        <f t="shared" si="34"/>
        <v>0</v>
      </c>
      <c r="AE17" s="308" t="str">
        <f t="shared" si="35"/>
        <v/>
      </c>
      <c r="AF17" s="163" t="str">
        <f t="shared" si="14"/>
        <v/>
      </c>
      <c r="AG17" s="163" t="str">
        <f t="shared" si="15"/>
        <v/>
      </c>
      <c r="AH17" s="163" t="str">
        <f t="shared" si="16"/>
        <v/>
      </c>
      <c r="AI17" s="290"/>
      <c r="AJ17" s="165" t="str">
        <f t="shared" si="17"/>
        <v/>
      </c>
      <c r="AK17" s="180" t="str">
        <f t="shared" si="18"/>
        <v/>
      </c>
      <c r="AM17" s="179"/>
      <c r="AN17" s="179"/>
      <c r="AP17" s="166" t="str">
        <f t="shared" si="19"/>
        <v/>
      </c>
      <c r="AQ17" s="166" t="str">
        <f t="shared" si="20"/>
        <v/>
      </c>
      <c r="AR17" s="166" t="str">
        <f t="shared" si="21"/>
        <v/>
      </c>
    </row>
    <row r="18" spans="1:46" s="173" customFormat="1" ht="25.2" customHeight="1" x14ac:dyDescent="0.3">
      <c r="A18" s="167">
        <v>14</v>
      </c>
      <c r="B18" s="304" t="str" cm="1">
        <f t="array" ref="B18">IF($J$1="Active",IF(Salary_Master!B18="","",_xlfn.IFS(Salary_Master!M18="Working",IF(Salary_Master!H18&lt;=DATE(2026,3,31),Salary_Master!B18,""),Salary_Master!M18="Left",IF(Salary_Master!N18&gt;DATE(2026,2,28),Salary_Master!B18,""))),"")</f>
        <v/>
      </c>
      <c r="C18" s="304">
        <v>31</v>
      </c>
      <c r="D18" s="305" t="str">
        <f t="shared" si="22"/>
        <v/>
      </c>
      <c r="E18" s="177"/>
      <c r="F18" s="177"/>
      <c r="G18" s="177"/>
      <c r="H18" s="305" t="str">
        <f t="shared" si="23"/>
        <v/>
      </c>
      <c r="I18" s="177"/>
      <c r="J18" s="177"/>
      <c r="K18" s="306" t="str">
        <f t="shared" si="24"/>
        <v/>
      </c>
      <c r="L18" s="306" t="str">
        <f t="shared" si="25"/>
        <v/>
      </c>
      <c r="M18" s="168"/>
      <c r="N18" s="169" t="str">
        <f t="shared" si="3"/>
        <v/>
      </c>
      <c r="O18" s="170" t="str">
        <f t="shared" si="4"/>
        <v/>
      </c>
      <c r="P18" s="170" t="str">
        <f t="shared" si="5"/>
        <v/>
      </c>
      <c r="Q18" s="170" t="str">
        <f t="shared" si="6"/>
        <v/>
      </c>
      <c r="R18" s="170" t="str">
        <f t="shared" si="7"/>
        <v/>
      </c>
      <c r="S18" s="170" t="str">
        <f t="shared" si="8"/>
        <v/>
      </c>
      <c r="T18" s="170" t="str">
        <f t="shared" si="9"/>
        <v/>
      </c>
      <c r="U18" s="170" t="str">
        <f t="shared" si="10"/>
        <v/>
      </c>
      <c r="V18" s="262">
        <f t="shared" si="26"/>
        <v>0</v>
      </c>
      <c r="W18" s="160">
        <f t="shared" si="27"/>
        <v>0</v>
      </c>
      <c r="X18" s="160">
        <f t="shared" si="28"/>
        <v>0</v>
      </c>
      <c r="Y18" s="160">
        <f t="shared" si="29"/>
        <v>0</v>
      </c>
      <c r="Z18" s="160">
        <f t="shared" si="30"/>
        <v>0</v>
      </c>
      <c r="AA18" s="160">
        <f t="shared" si="31"/>
        <v>0</v>
      </c>
      <c r="AB18" s="160">
        <f t="shared" si="32"/>
        <v>0</v>
      </c>
      <c r="AC18" s="160">
        <f t="shared" si="33"/>
        <v>0</v>
      </c>
      <c r="AD18" s="307">
        <f t="shared" si="34"/>
        <v>0</v>
      </c>
      <c r="AE18" s="308" t="str">
        <f t="shared" si="35"/>
        <v/>
      </c>
      <c r="AF18" s="163" t="str">
        <f t="shared" si="14"/>
        <v/>
      </c>
      <c r="AG18" s="163" t="str">
        <f t="shared" si="15"/>
        <v/>
      </c>
      <c r="AH18" s="163" t="str">
        <f t="shared" si="16"/>
        <v/>
      </c>
      <c r="AI18" s="290"/>
      <c r="AJ18" s="165" t="str">
        <f t="shared" si="17"/>
        <v/>
      </c>
      <c r="AK18" s="180" t="str">
        <f t="shared" si="18"/>
        <v/>
      </c>
      <c r="AM18" s="179"/>
      <c r="AN18" s="179"/>
      <c r="AP18" s="166" t="str">
        <f t="shared" si="19"/>
        <v/>
      </c>
      <c r="AQ18" s="166" t="str">
        <f t="shared" si="20"/>
        <v/>
      </c>
      <c r="AR18" s="166" t="str">
        <f t="shared" si="21"/>
        <v/>
      </c>
      <c r="AT18" s="162"/>
    </row>
    <row r="19" spans="1:46" s="162" customFormat="1" ht="25.2" customHeight="1" x14ac:dyDescent="0.3">
      <c r="A19" s="167">
        <v>15</v>
      </c>
      <c r="B19" s="304" t="str" cm="1">
        <f t="array" ref="B19">IF($J$1="Active",IF(Salary_Master!B19="","",_xlfn.IFS(Salary_Master!M19="Working",IF(Salary_Master!H19&lt;=DATE(2026,3,31),Salary_Master!B19,""),Salary_Master!M19="Left",IF(Salary_Master!N19&gt;DATE(2026,2,28),Salary_Master!B19,""))),"")</f>
        <v/>
      </c>
      <c r="C19" s="304">
        <v>31</v>
      </c>
      <c r="D19" s="305" t="str">
        <f t="shared" si="22"/>
        <v/>
      </c>
      <c r="E19" s="177"/>
      <c r="F19" s="177"/>
      <c r="G19" s="177"/>
      <c r="H19" s="305" t="str">
        <f t="shared" si="23"/>
        <v/>
      </c>
      <c r="I19" s="177"/>
      <c r="J19" s="177"/>
      <c r="K19" s="306" t="str">
        <f t="shared" si="24"/>
        <v/>
      </c>
      <c r="L19" s="306" t="str">
        <f t="shared" si="25"/>
        <v/>
      </c>
      <c r="M19" s="168"/>
      <c r="N19" s="169" t="str">
        <f t="shared" si="3"/>
        <v/>
      </c>
      <c r="O19" s="170" t="str">
        <f t="shared" si="4"/>
        <v/>
      </c>
      <c r="P19" s="170" t="str">
        <f t="shared" si="5"/>
        <v/>
      </c>
      <c r="Q19" s="170" t="str">
        <f t="shared" si="6"/>
        <v/>
      </c>
      <c r="R19" s="170" t="str">
        <f t="shared" si="7"/>
        <v/>
      </c>
      <c r="S19" s="170" t="str">
        <f t="shared" si="8"/>
        <v/>
      </c>
      <c r="T19" s="170" t="str">
        <f t="shared" si="9"/>
        <v/>
      </c>
      <c r="U19" s="170" t="str">
        <f t="shared" si="10"/>
        <v/>
      </c>
      <c r="V19" s="262">
        <f t="shared" si="26"/>
        <v>0</v>
      </c>
      <c r="W19" s="160">
        <f t="shared" si="27"/>
        <v>0</v>
      </c>
      <c r="X19" s="160">
        <f t="shared" si="28"/>
        <v>0</v>
      </c>
      <c r="Y19" s="160">
        <f t="shared" si="29"/>
        <v>0</v>
      </c>
      <c r="Z19" s="160">
        <f t="shared" si="30"/>
        <v>0</v>
      </c>
      <c r="AA19" s="160">
        <f t="shared" si="31"/>
        <v>0</v>
      </c>
      <c r="AB19" s="160">
        <f t="shared" si="32"/>
        <v>0</v>
      </c>
      <c r="AC19" s="160">
        <f t="shared" si="33"/>
        <v>0</v>
      </c>
      <c r="AD19" s="307">
        <f t="shared" si="34"/>
        <v>0</v>
      </c>
      <c r="AE19" s="308" t="str">
        <f t="shared" si="35"/>
        <v/>
      </c>
      <c r="AF19" s="163" t="str">
        <f t="shared" si="14"/>
        <v/>
      </c>
      <c r="AG19" s="163" t="str">
        <f t="shared" si="15"/>
        <v/>
      </c>
      <c r="AH19" s="163" t="str">
        <f t="shared" si="16"/>
        <v/>
      </c>
      <c r="AI19" s="290"/>
      <c r="AJ19" s="165" t="str">
        <f t="shared" si="17"/>
        <v/>
      </c>
      <c r="AK19" s="180" t="str">
        <f t="shared" si="18"/>
        <v/>
      </c>
      <c r="AM19" s="179"/>
      <c r="AN19" s="179"/>
      <c r="AP19" s="166" t="str">
        <f t="shared" si="19"/>
        <v/>
      </c>
      <c r="AQ19" s="166" t="str">
        <f t="shared" si="20"/>
        <v/>
      </c>
      <c r="AR19" s="166" t="str">
        <f t="shared" si="21"/>
        <v/>
      </c>
    </row>
    <row r="20" spans="1:46" s="162" customFormat="1" ht="25.2" customHeight="1" x14ac:dyDescent="0.3">
      <c r="A20" s="167">
        <v>16</v>
      </c>
      <c r="B20" s="304" t="str" cm="1">
        <f t="array" ref="B20">IF($J$1="Active",IF(Salary_Master!B20="","",_xlfn.IFS(Salary_Master!M20="Working",IF(Salary_Master!H20&lt;=DATE(2026,3,31),Salary_Master!B20,""),Salary_Master!M20="Left",IF(Salary_Master!N20&gt;DATE(2026,2,28),Salary_Master!B20,""))),"")</f>
        <v/>
      </c>
      <c r="C20" s="304">
        <v>31</v>
      </c>
      <c r="D20" s="305" t="str">
        <f t="shared" si="22"/>
        <v/>
      </c>
      <c r="E20" s="177"/>
      <c r="F20" s="177"/>
      <c r="G20" s="177"/>
      <c r="H20" s="305" t="str">
        <f t="shared" si="23"/>
        <v/>
      </c>
      <c r="I20" s="177"/>
      <c r="J20" s="177"/>
      <c r="K20" s="306" t="str">
        <f t="shared" si="24"/>
        <v/>
      </c>
      <c r="L20" s="306" t="str">
        <f t="shared" si="25"/>
        <v/>
      </c>
      <c r="M20" s="168"/>
      <c r="N20" s="169" t="str">
        <f t="shared" si="3"/>
        <v/>
      </c>
      <c r="O20" s="170" t="str">
        <f t="shared" si="4"/>
        <v/>
      </c>
      <c r="P20" s="170" t="str">
        <f t="shared" si="5"/>
        <v/>
      </c>
      <c r="Q20" s="170" t="str">
        <f t="shared" si="6"/>
        <v/>
      </c>
      <c r="R20" s="170" t="str">
        <f t="shared" si="7"/>
        <v/>
      </c>
      <c r="S20" s="170" t="str">
        <f t="shared" si="8"/>
        <v/>
      </c>
      <c r="T20" s="170" t="str">
        <f t="shared" si="9"/>
        <v/>
      </c>
      <c r="U20" s="170" t="str">
        <f t="shared" si="10"/>
        <v/>
      </c>
      <c r="V20" s="262">
        <f t="shared" si="26"/>
        <v>0</v>
      </c>
      <c r="W20" s="160">
        <f t="shared" si="27"/>
        <v>0</v>
      </c>
      <c r="X20" s="160">
        <f t="shared" si="28"/>
        <v>0</v>
      </c>
      <c r="Y20" s="160">
        <f t="shared" si="29"/>
        <v>0</v>
      </c>
      <c r="Z20" s="160">
        <f t="shared" si="30"/>
        <v>0</v>
      </c>
      <c r="AA20" s="160">
        <f t="shared" si="31"/>
        <v>0</v>
      </c>
      <c r="AB20" s="160">
        <f t="shared" si="32"/>
        <v>0</v>
      </c>
      <c r="AC20" s="160">
        <f t="shared" si="33"/>
        <v>0</v>
      </c>
      <c r="AD20" s="307">
        <f t="shared" si="34"/>
        <v>0</v>
      </c>
      <c r="AE20" s="308" t="str">
        <f t="shared" si="35"/>
        <v/>
      </c>
      <c r="AF20" s="163" t="str">
        <f t="shared" si="14"/>
        <v/>
      </c>
      <c r="AG20" s="163" t="str">
        <f t="shared" si="15"/>
        <v/>
      </c>
      <c r="AH20" s="163" t="str">
        <f t="shared" si="16"/>
        <v/>
      </c>
      <c r="AI20" s="290"/>
      <c r="AJ20" s="165" t="str">
        <f t="shared" si="17"/>
        <v/>
      </c>
      <c r="AK20" s="180" t="str">
        <f t="shared" si="18"/>
        <v/>
      </c>
      <c r="AM20" s="179"/>
      <c r="AN20" s="179"/>
      <c r="AP20" s="166" t="str">
        <f t="shared" si="19"/>
        <v/>
      </c>
      <c r="AQ20" s="166" t="str">
        <f t="shared" si="20"/>
        <v/>
      </c>
      <c r="AR20" s="166" t="str">
        <f t="shared" si="21"/>
        <v/>
      </c>
    </row>
    <row r="21" spans="1:46" s="162" customFormat="1" ht="25.2" customHeight="1" x14ac:dyDescent="0.3">
      <c r="A21" s="172">
        <v>17</v>
      </c>
      <c r="B21" s="304" t="str" cm="1">
        <f t="array" ref="B21">IF($J$1="Active",IF(Salary_Master!B21="","",_xlfn.IFS(Salary_Master!M21="Working",IF(Salary_Master!H21&lt;=DATE(2026,3,31),Salary_Master!B21,""),Salary_Master!M21="Left",IF(Salary_Master!N21&gt;DATE(2026,2,28),Salary_Master!B21,""))),"")</f>
        <v/>
      </c>
      <c r="C21" s="304">
        <v>31</v>
      </c>
      <c r="D21" s="305" t="str">
        <f t="shared" si="22"/>
        <v/>
      </c>
      <c r="E21" s="177"/>
      <c r="F21" s="177"/>
      <c r="G21" s="177"/>
      <c r="H21" s="305" t="str">
        <f t="shared" si="23"/>
        <v/>
      </c>
      <c r="I21" s="177"/>
      <c r="J21" s="177"/>
      <c r="K21" s="306" t="str">
        <f t="shared" si="24"/>
        <v/>
      </c>
      <c r="L21" s="306" t="str">
        <f t="shared" si="25"/>
        <v/>
      </c>
      <c r="M21" s="168"/>
      <c r="N21" s="169" t="str">
        <f t="shared" si="3"/>
        <v/>
      </c>
      <c r="O21" s="170" t="str">
        <f t="shared" si="4"/>
        <v/>
      </c>
      <c r="P21" s="170" t="str">
        <f t="shared" si="5"/>
        <v/>
      </c>
      <c r="Q21" s="170" t="str">
        <f t="shared" si="6"/>
        <v/>
      </c>
      <c r="R21" s="170" t="str">
        <f t="shared" si="7"/>
        <v/>
      </c>
      <c r="S21" s="170" t="str">
        <f t="shared" si="8"/>
        <v/>
      </c>
      <c r="T21" s="170" t="str">
        <f t="shared" si="9"/>
        <v/>
      </c>
      <c r="U21" s="170" t="str">
        <f t="shared" si="10"/>
        <v/>
      </c>
      <c r="V21" s="262">
        <f t="shared" si="26"/>
        <v>0</v>
      </c>
      <c r="W21" s="160">
        <f t="shared" si="27"/>
        <v>0</v>
      </c>
      <c r="X21" s="160">
        <f t="shared" si="28"/>
        <v>0</v>
      </c>
      <c r="Y21" s="160">
        <f t="shared" si="29"/>
        <v>0</v>
      </c>
      <c r="Z21" s="160">
        <f t="shared" si="30"/>
        <v>0</v>
      </c>
      <c r="AA21" s="160">
        <f t="shared" si="31"/>
        <v>0</v>
      </c>
      <c r="AB21" s="160">
        <f t="shared" si="32"/>
        <v>0</v>
      </c>
      <c r="AC21" s="160">
        <f t="shared" si="33"/>
        <v>0</v>
      </c>
      <c r="AD21" s="307">
        <f t="shared" si="34"/>
        <v>0</v>
      </c>
      <c r="AE21" s="308" t="str">
        <f t="shared" si="35"/>
        <v/>
      </c>
      <c r="AF21" s="163" t="str">
        <f t="shared" si="14"/>
        <v/>
      </c>
      <c r="AG21" s="163" t="str">
        <f t="shared" si="15"/>
        <v/>
      </c>
      <c r="AH21" s="163" t="str">
        <f t="shared" si="16"/>
        <v/>
      </c>
      <c r="AI21" s="290"/>
      <c r="AJ21" s="165" t="str">
        <f t="shared" si="17"/>
        <v/>
      </c>
      <c r="AK21" s="180" t="str">
        <f t="shared" si="18"/>
        <v/>
      </c>
      <c r="AM21" s="179"/>
      <c r="AN21" s="179"/>
      <c r="AP21" s="166" t="str">
        <f t="shared" si="19"/>
        <v/>
      </c>
      <c r="AQ21" s="166" t="str">
        <f t="shared" si="20"/>
        <v/>
      </c>
      <c r="AR21" s="166" t="str">
        <f t="shared" si="21"/>
        <v/>
      </c>
    </row>
    <row r="22" spans="1:46" s="173" customFormat="1" ht="25.2" customHeight="1" x14ac:dyDescent="0.3">
      <c r="A22" s="167">
        <v>18</v>
      </c>
      <c r="B22" s="304" t="str" cm="1">
        <f t="array" ref="B22">IF($J$1="Active",IF(Salary_Master!B22="","",_xlfn.IFS(Salary_Master!M22="Working",IF(Salary_Master!H22&lt;=DATE(2026,3,31),Salary_Master!B22,""),Salary_Master!M22="Left",IF(Salary_Master!N22&gt;DATE(2026,2,28),Salary_Master!B22,""))),"")</f>
        <v/>
      </c>
      <c r="C22" s="304">
        <v>31</v>
      </c>
      <c r="D22" s="305" t="str">
        <f t="shared" si="22"/>
        <v/>
      </c>
      <c r="E22" s="177"/>
      <c r="F22" s="177"/>
      <c r="G22" s="177"/>
      <c r="H22" s="305" t="str">
        <f t="shared" si="23"/>
        <v/>
      </c>
      <c r="I22" s="177"/>
      <c r="J22" s="177"/>
      <c r="K22" s="306" t="str">
        <f t="shared" si="24"/>
        <v/>
      </c>
      <c r="L22" s="306" t="str">
        <f t="shared" si="25"/>
        <v/>
      </c>
      <c r="M22" s="168"/>
      <c r="N22" s="169" t="str">
        <f t="shared" si="3"/>
        <v/>
      </c>
      <c r="O22" s="170" t="str">
        <f t="shared" si="4"/>
        <v/>
      </c>
      <c r="P22" s="170" t="str">
        <f t="shared" si="5"/>
        <v/>
      </c>
      <c r="Q22" s="170" t="str">
        <f t="shared" si="6"/>
        <v/>
      </c>
      <c r="R22" s="170" t="str">
        <f t="shared" si="7"/>
        <v/>
      </c>
      <c r="S22" s="170" t="str">
        <f t="shared" si="8"/>
        <v/>
      </c>
      <c r="T22" s="170" t="str">
        <f t="shared" si="9"/>
        <v/>
      </c>
      <c r="U22" s="170" t="str">
        <f t="shared" si="10"/>
        <v/>
      </c>
      <c r="V22" s="262">
        <f t="shared" si="26"/>
        <v>0</v>
      </c>
      <c r="W22" s="160">
        <f t="shared" si="27"/>
        <v>0</v>
      </c>
      <c r="X22" s="160">
        <f t="shared" si="28"/>
        <v>0</v>
      </c>
      <c r="Y22" s="160">
        <f t="shared" si="29"/>
        <v>0</v>
      </c>
      <c r="Z22" s="160">
        <f t="shared" si="30"/>
        <v>0</v>
      </c>
      <c r="AA22" s="160">
        <f t="shared" si="31"/>
        <v>0</v>
      </c>
      <c r="AB22" s="160">
        <f t="shared" si="32"/>
        <v>0</v>
      </c>
      <c r="AC22" s="160">
        <f t="shared" si="33"/>
        <v>0</v>
      </c>
      <c r="AD22" s="307">
        <f t="shared" si="34"/>
        <v>0</v>
      </c>
      <c r="AE22" s="308" t="str">
        <f t="shared" si="35"/>
        <v/>
      </c>
      <c r="AF22" s="163" t="str">
        <f t="shared" si="14"/>
        <v/>
      </c>
      <c r="AG22" s="163" t="str">
        <f t="shared" si="15"/>
        <v/>
      </c>
      <c r="AH22" s="163" t="str">
        <f t="shared" si="16"/>
        <v/>
      </c>
      <c r="AI22" s="290"/>
      <c r="AJ22" s="165" t="str">
        <f t="shared" si="17"/>
        <v/>
      </c>
      <c r="AK22" s="180" t="str">
        <f t="shared" si="18"/>
        <v/>
      </c>
      <c r="AM22" s="179"/>
      <c r="AN22" s="179"/>
      <c r="AP22" s="166" t="str">
        <f t="shared" si="19"/>
        <v/>
      </c>
      <c r="AQ22" s="166" t="str">
        <f t="shared" si="20"/>
        <v/>
      </c>
      <c r="AR22" s="166" t="str">
        <f t="shared" si="21"/>
        <v/>
      </c>
      <c r="AT22" s="162"/>
    </row>
    <row r="23" spans="1:46" s="162" customFormat="1" ht="25.2" customHeight="1" x14ac:dyDescent="0.3">
      <c r="A23" s="167">
        <v>19</v>
      </c>
      <c r="B23" s="304" t="str" cm="1">
        <f t="array" ref="B23">IF($J$1="Active",IF(Salary_Master!B23="","",_xlfn.IFS(Salary_Master!M23="Working",IF(Salary_Master!H23&lt;=DATE(2026,3,31),Salary_Master!B23,""),Salary_Master!M23="Left",IF(Salary_Master!N23&gt;DATE(2026,2,28),Salary_Master!B23,""))),"")</f>
        <v/>
      </c>
      <c r="C23" s="304">
        <v>31</v>
      </c>
      <c r="D23" s="305" t="str">
        <f t="shared" si="22"/>
        <v/>
      </c>
      <c r="E23" s="177"/>
      <c r="F23" s="177"/>
      <c r="G23" s="177"/>
      <c r="H23" s="305" t="str">
        <f t="shared" si="23"/>
        <v/>
      </c>
      <c r="I23" s="177"/>
      <c r="J23" s="177"/>
      <c r="K23" s="306" t="str">
        <f t="shared" si="24"/>
        <v/>
      </c>
      <c r="L23" s="306" t="str">
        <f t="shared" si="25"/>
        <v/>
      </c>
      <c r="M23" s="168"/>
      <c r="N23" s="169" t="str">
        <f t="shared" si="3"/>
        <v/>
      </c>
      <c r="O23" s="170" t="str">
        <f t="shared" si="4"/>
        <v/>
      </c>
      <c r="P23" s="170" t="str">
        <f t="shared" si="5"/>
        <v/>
      </c>
      <c r="Q23" s="170" t="str">
        <f t="shared" si="6"/>
        <v/>
      </c>
      <c r="R23" s="170" t="str">
        <f t="shared" si="7"/>
        <v/>
      </c>
      <c r="S23" s="170" t="str">
        <f t="shared" si="8"/>
        <v/>
      </c>
      <c r="T23" s="170" t="str">
        <f t="shared" si="9"/>
        <v/>
      </c>
      <c r="U23" s="170" t="str">
        <f t="shared" si="10"/>
        <v/>
      </c>
      <c r="V23" s="262">
        <f t="shared" si="26"/>
        <v>0</v>
      </c>
      <c r="W23" s="160">
        <f t="shared" si="27"/>
        <v>0</v>
      </c>
      <c r="X23" s="160">
        <f t="shared" si="28"/>
        <v>0</v>
      </c>
      <c r="Y23" s="160">
        <f t="shared" si="29"/>
        <v>0</v>
      </c>
      <c r="Z23" s="160">
        <f t="shared" si="30"/>
        <v>0</v>
      </c>
      <c r="AA23" s="160">
        <f t="shared" si="31"/>
        <v>0</v>
      </c>
      <c r="AB23" s="160">
        <f t="shared" si="32"/>
        <v>0</v>
      </c>
      <c r="AC23" s="160">
        <f t="shared" si="33"/>
        <v>0</v>
      </c>
      <c r="AD23" s="307">
        <f t="shared" si="34"/>
        <v>0</v>
      </c>
      <c r="AE23" s="308" t="str">
        <f t="shared" si="35"/>
        <v/>
      </c>
      <c r="AF23" s="163" t="str">
        <f t="shared" si="14"/>
        <v/>
      </c>
      <c r="AG23" s="163" t="str">
        <f t="shared" si="15"/>
        <v/>
      </c>
      <c r="AH23" s="163" t="str">
        <f t="shared" si="16"/>
        <v/>
      </c>
      <c r="AI23" s="290"/>
      <c r="AJ23" s="165" t="str">
        <f t="shared" si="17"/>
        <v/>
      </c>
      <c r="AK23" s="180" t="str">
        <f t="shared" si="18"/>
        <v/>
      </c>
      <c r="AM23" s="179"/>
      <c r="AN23" s="179"/>
      <c r="AP23" s="166" t="str">
        <f t="shared" si="19"/>
        <v/>
      </c>
      <c r="AQ23" s="166" t="str">
        <f t="shared" si="20"/>
        <v/>
      </c>
      <c r="AR23" s="166" t="str">
        <f t="shared" si="21"/>
        <v/>
      </c>
    </row>
    <row r="24" spans="1:46" s="162" customFormat="1" ht="25.2" customHeight="1" x14ac:dyDescent="0.3">
      <c r="A24" s="172">
        <v>20</v>
      </c>
      <c r="B24" s="304" t="str" cm="1">
        <f t="array" ref="B24">IF($J$1="Active",IF(Salary_Master!B24="","",_xlfn.IFS(Salary_Master!M24="Working",IF(Salary_Master!H24&lt;=DATE(2026,3,31),Salary_Master!B24,""),Salary_Master!M24="Left",IF(Salary_Master!N24&gt;DATE(2026,2,28),Salary_Master!B24,""))),"")</f>
        <v/>
      </c>
      <c r="C24" s="304">
        <v>31</v>
      </c>
      <c r="D24" s="305" t="str">
        <f t="shared" si="22"/>
        <v/>
      </c>
      <c r="E24" s="177"/>
      <c r="F24" s="177"/>
      <c r="G24" s="177"/>
      <c r="H24" s="305" t="str">
        <f t="shared" si="23"/>
        <v/>
      </c>
      <c r="I24" s="177"/>
      <c r="J24" s="177"/>
      <c r="K24" s="306" t="str">
        <f t="shared" si="24"/>
        <v/>
      </c>
      <c r="L24" s="306" t="str">
        <f t="shared" si="25"/>
        <v/>
      </c>
      <c r="M24" s="168"/>
      <c r="N24" s="169" t="str">
        <f t="shared" si="3"/>
        <v/>
      </c>
      <c r="O24" s="170" t="str">
        <f t="shared" si="4"/>
        <v/>
      </c>
      <c r="P24" s="170" t="str">
        <f t="shared" si="5"/>
        <v/>
      </c>
      <c r="Q24" s="170" t="str">
        <f t="shared" si="6"/>
        <v/>
      </c>
      <c r="R24" s="170" t="str">
        <f t="shared" si="7"/>
        <v/>
      </c>
      <c r="S24" s="170" t="str">
        <f t="shared" si="8"/>
        <v/>
      </c>
      <c r="T24" s="170" t="str">
        <f t="shared" si="9"/>
        <v/>
      </c>
      <c r="U24" s="170" t="str">
        <f t="shared" si="10"/>
        <v/>
      </c>
      <c r="V24" s="262">
        <f t="shared" si="26"/>
        <v>0</v>
      </c>
      <c r="W24" s="160">
        <f t="shared" si="27"/>
        <v>0</v>
      </c>
      <c r="X24" s="160">
        <f t="shared" si="28"/>
        <v>0</v>
      </c>
      <c r="Y24" s="160">
        <f t="shared" si="29"/>
        <v>0</v>
      </c>
      <c r="Z24" s="160">
        <f t="shared" si="30"/>
        <v>0</v>
      </c>
      <c r="AA24" s="160">
        <f t="shared" si="31"/>
        <v>0</v>
      </c>
      <c r="AB24" s="160">
        <f t="shared" si="32"/>
        <v>0</v>
      </c>
      <c r="AC24" s="160">
        <f t="shared" si="33"/>
        <v>0</v>
      </c>
      <c r="AD24" s="307">
        <f t="shared" si="34"/>
        <v>0</v>
      </c>
      <c r="AE24" s="308" t="str">
        <f t="shared" si="35"/>
        <v/>
      </c>
      <c r="AF24" s="163" t="str">
        <f t="shared" si="14"/>
        <v/>
      </c>
      <c r="AG24" s="163" t="str">
        <f t="shared" si="15"/>
        <v/>
      </c>
      <c r="AH24" s="163" t="str">
        <f t="shared" si="16"/>
        <v/>
      </c>
      <c r="AI24" s="290"/>
      <c r="AJ24" s="165" t="str">
        <f t="shared" si="17"/>
        <v/>
      </c>
      <c r="AK24" s="180" t="str">
        <f t="shared" si="18"/>
        <v/>
      </c>
      <c r="AM24" s="179"/>
      <c r="AN24" s="179"/>
      <c r="AP24" s="166" t="str">
        <f t="shared" si="19"/>
        <v/>
      </c>
      <c r="AQ24" s="166" t="str">
        <f t="shared" si="20"/>
        <v/>
      </c>
      <c r="AR24" s="166" t="str">
        <f t="shared" si="21"/>
        <v/>
      </c>
    </row>
    <row r="25" spans="1:46" s="173" customFormat="1" ht="25.2" customHeight="1" x14ac:dyDescent="0.3">
      <c r="A25" s="167">
        <v>21</v>
      </c>
      <c r="B25" s="304" t="str" cm="1">
        <f t="array" ref="B25">IF($J$1="Active",IF(Salary_Master!B25="","",_xlfn.IFS(Salary_Master!M25="Working",IF(Salary_Master!H25&lt;=DATE(2026,3,31),Salary_Master!B25,""),Salary_Master!M25="Left",IF(Salary_Master!N25&gt;DATE(2026,2,28),Salary_Master!B25,""))),"")</f>
        <v/>
      </c>
      <c r="C25" s="304">
        <v>31</v>
      </c>
      <c r="D25" s="305" t="str">
        <f t="shared" si="22"/>
        <v/>
      </c>
      <c r="E25" s="177"/>
      <c r="F25" s="177"/>
      <c r="G25" s="177"/>
      <c r="H25" s="305" t="str">
        <f t="shared" si="23"/>
        <v/>
      </c>
      <c r="I25" s="177"/>
      <c r="J25" s="177"/>
      <c r="K25" s="306" t="str">
        <f t="shared" si="24"/>
        <v/>
      </c>
      <c r="L25" s="306" t="str">
        <f t="shared" si="25"/>
        <v/>
      </c>
      <c r="M25" s="168"/>
      <c r="N25" s="169" t="str">
        <f t="shared" si="3"/>
        <v/>
      </c>
      <c r="O25" s="170" t="str">
        <f t="shared" si="4"/>
        <v/>
      </c>
      <c r="P25" s="170" t="str">
        <f t="shared" si="5"/>
        <v/>
      </c>
      <c r="Q25" s="170" t="str">
        <f t="shared" si="6"/>
        <v/>
      </c>
      <c r="R25" s="170" t="str">
        <f t="shared" si="7"/>
        <v/>
      </c>
      <c r="S25" s="170" t="str">
        <f t="shared" si="8"/>
        <v/>
      </c>
      <c r="T25" s="170" t="str">
        <f t="shared" si="9"/>
        <v/>
      </c>
      <c r="U25" s="170" t="str">
        <f t="shared" si="10"/>
        <v/>
      </c>
      <c r="V25" s="262">
        <f t="shared" si="26"/>
        <v>0</v>
      </c>
      <c r="W25" s="160">
        <f t="shared" si="27"/>
        <v>0</v>
      </c>
      <c r="X25" s="160">
        <f t="shared" si="28"/>
        <v>0</v>
      </c>
      <c r="Y25" s="160">
        <f t="shared" si="29"/>
        <v>0</v>
      </c>
      <c r="Z25" s="160">
        <f t="shared" si="30"/>
        <v>0</v>
      </c>
      <c r="AA25" s="160">
        <f t="shared" si="31"/>
        <v>0</v>
      </c>
      <c r="AB25" s="160">
        <f t="shared" si="32"/>
        <v>0</v>
      </c>
      <c r="AC25" s="160">
        <f t="shared" si="33"/>
        <v>0</v>
      </c>
      <c r="AD25" s="307">
        <f t="shared" si="34"/>
        <v>0</v>
      </c>
      <c r="AE25" s="308" t="str">
        <f t="shared" si="35"/>
        <v/>
      </c>
      <c r="AF25" s="163" t="str">
        <f t="shared" si="14"/>
        <v/>
      </c>
      <c r="AG25" s="163" t="str">
        <f t="shared" si="15"/>
        <v/>
      </c>
      <c r="AH25" s="163" t="str">
        <f t="shared" si="16"/>
        <v/>
      </c>
      <c r="AI25" s="290"/>
      <c r="AJ25" s="165" t="str">
        <f t="shared" si="17"/>
        <v/>
      </c>
      <c r="AK25" s="180" t="str">
        <f t="shared" si="18"/>
        <v/>
      </c>
      <c r="AM25" s="179"/>
      <c r="AN25" s="179"/>
      <c r="AP25" s="166" t="str">
        <f t="shared" si="19"/>
        <v/>
      </c>
      <c r="AQ25" s="166" t="str">
        <f t="shared" si="20"/>
        <v/>
      </c>
      <c r="AR25" s="166" t="str">
        <f t="shared" si="21"/>
        <v/>
      </c>
      <c r="AT25" s="162"/>
    </row>
    <row r="26" spans="1:46" s="162" customFormat="1" ht="25.2" customHeight="1" x14ac:dyDescent="0.3">
      <c r="A26" s="167">
        <v>22</v>
      </c>
      <c r="B26" s="304" t="str" cm="1">
        <f t="array" ref="B26">IF($J$1="Active",IF(Salary_Master!B26="","",_xlfn.IFS(Salary_Master!M26="Working",IF(Salary_Master!H26&lt;=DATE(2026,3,31),Salary_Master!B26,""),Salary_Master!M26="Left",IF(Salary_Master!N26&gt;DATE(2026,2,28),Salary_Master!B26,""))),"")</f>
        <v/>
      </c>
      <c r="C26" s="304">
        <v>31</v>
      </c>
      <c r="D26" s="305" t="str">
        <f t="shared" si="22"/>
        <v/>
      </c>
      <c r="E26" s="177"/>
      <c r="F26" s="177"/>
      <c r="G26" s="177"/>
      <c r="H26" s="305" t="str">
        <f t="shared" si="23"/>
        <v/>
      </c>
      <c r="I26" s="177"/>
      <c r="J26" s="177"/>
      <c r="K26" s="306" t="str">
        <f t="shared" si="24"/>
        <v/>
      </c>
      <c r="L26" s="306" t="str">
        <f t="shared" si="25"/>
        <v/>
      </c>
      <c r="M26" s="168"/>
      <c r="N26" s="169" t="str">
        <f t="shared" si="3"/>
        <v/>
      </c>
      <c r="O26" s="170" t="str">
        <f t="shared" si="4"/>
        <v/>
      </c>
      <c r="P26" s="170" t="str">
        <f t="shared" si="5"/>
        <v/>
      </c>
      <c r="Q26" s="170" t="str">
        <f t="shared" si="6"/>
        <v/>
      </c>
      <c r="R26" s="170" t="str">
        <f t="shared" si="7"/>
        <v/>
      </c>
      <c r="S26" s="170" t="str">
        <f t="shared" si="8"/>
        <v/>
      </c>
      <c r="T26" s="170" t="str">
        <f t="shared" si="9"/>
        <v/>
      </c>
      <c r="U26" s="170" t="str">
        <f t="shared" si="10"/>
        <v/>
      </c>
      <c r="V26" s="262">
        <f t="shared" si="26"/>
        <v>0</v>
      </c>
      <c r="W26" s="160">
        <f t="shared" si="27"/>
        <v>0</v>
      </c>
      <c r="X26" s="160">
        <f t="shared" si="28"/>
        <v>0</v>
      </c>
      <c r="Y26" s="160">
        <f t="shared" si="29"/>
        <v>0</v>
      </c>
      <c r="Z26" s="160">
        <f t="shared" si="30"/>
        <v>0</v>
      </c>
      <c r="AA26" s="160">
        <f t="shared" si="31"/>
        <v>0</v>
      </c>
      <c r="AB26" s="160">
        <f t="shared" si="32"/>
        <v>0</v>
      </c>
      <c r="AC26" s="160">
        <f t="shared" si="33"/>
        <v>0</v>
      </c>
      <c r="AD26" s="307">
        <f t="shared" si="34"/>
        <v>0</v>
      </c>
      <c r="AE26" s="308" t="str">
        <f t="shared" si="35"/>
        <v/>
      </c>
      <c r="AF26" s="163" t="str">
        <f t="shared" si="14"/>
        <v/>
      </c>
      <c r="AG26" s="163" t="str">
        <f t="shared" si="15"/>
        <v/>
      </c>
      <c r="AH26" s="163" t="str">
        <f t="shared" si="16"/>
        <v/>
      </c>
      <c r="AI26" s="290"/>
      <c r="AJ26" s="165" t="str">
        <f t="shared" si="17"/>
        <v/>
      </c>
      <c r="AK26" s="180" t="str">
        <f t="shared" si="18"/>
        <v/>
      </c>
      <c r="AM26" s="179"/>
      <c r="AN26" s="179"/>
      <c r="AP26" s="166" t="str">
        <f t="shared" si="19"/>
        <v/>
      </c>
      <c r="AQ26" s="166" t="str">
        <f t="shared" si="20"/>
        <v/>
      </c>
      <c r="AR26" s="166" t="str">
        <f t="shared" si="21"/>
        <v/>
      </c>
    </row>
    <row r="27" spans="1:46" s="162" customFormat="1" ht="25.2" customHeight="1" x14ac:dyDescent="0.3">
      <c r="A27" s="167">
        <v>23</v>
      </c>
      <c r="B27" s="304" t="str" cm="1">
        <f t="array" ref="B27">IF($J$1="Active",IF(Salary_Master!B27="","",_xlfn.IFS(Salary_Master!M27="Working",IF(Salary_Master!H27&lt;=DATE(2026,3,31),Salary_Master!B27,""),Salary_Master!M27="Left",IF(Salary_Master!N27&gt;DATE(2026,2,28),Salary_Master!B27,""))),"")</f>
        <v/>
      </c>
      <c r="C27" s="304">
        <v>31</v>
      </c>
      <c r="D27" s="305" t="str">
        <f t="shared" si="22"/>
        <v/>
      </c>
      <c r="E27" s="177"/>
      <c r="F27" s="177"/>
      <c r="G27" s="177"/>
      <c r="H27" s="305" t="str">
        <f t="shared" si="23"/>
        <v/>
      </c>
      <c r="I27" s="177"/>
      <c r="J27" s="177"/>
      <c r="K27" s="306" t="str">
        <f t="shared" si="24"/>
        <v/>
      </c>
      <c r="L27" s="306" t="str">
        <f t="shared" si="25"/>
        <v/>
      </c>
      <c r="M27" s="168"/>
      <c r="N27" s="169" t="str">
        <f t="shared" si="3"/>
        <v/>
      </c>
      <c r="O27" s="170" t="str">
        <f t="shared" si="4"/>
        <v/>
      </c>
      <c r="P27" s="170" t="str">
        <f t="shared" si="5"/>
        <v/>
      </c>
      <c r="Q27" s="170" t="str">
        <f t="shared" si="6"/>
        <v/>
      </c>
      <c r="R27" s="170" t="str">
        <f t="shared" si="7"/>
        <v/>
      </c>
      <c r="S27" s="170" t="str">
        <f t="shared" si="8"/>
        <v/>
      </c>
      <c r="T27" s="170" t="str">
        <f t="shared" si="9"/>
        <v/>
      </c>
      <c r="U27" s="170" t="str">
        <f t="shared" si="10"/>
        <v/>
      </c>
      <c r="V27" s="262">
        <f t="shared" si="26"/>
        <v>0</v>
      </c>
      <c r="W27" s="160">
        <f t="shared" si="27"/>
        <v>0</v>
      </c>
      <c r="X27" s="160">
        <f t="shared" si="28"/>
        <v>0</v>
      </c>
      <c r="Y27" s="160">
        <f t="shared" si="29"/>
        <v>0</v>
      </c>
      <c r="Z27" s="160">
        <f t="shared" si="30"/>
        <v>0</v>
      </c>
      <c r="AA27" s="160">
        <f t="shared" si="31"/>
        <v>0</v>
      </c>
      <c r="AB27" s="160">
        <f t="shared" si="32"/>
        <v>0</v>
      </c>
      <c r="AC27" s="160">
        <f t="shared" si="33"/>
        <v>0</v>
      </c>
      <c r="AD27" s="307">
        <f t="shared" si="34"/>
        <v>0</v>
      </c>
      <c r="AE27" s="308" t="str">
        <f t="shared" si="35"/>
        <v/>
      </c>
      <c r="AF27" s="163" t="str">
        <f t="shared" si="14"/>
        <v/>
      </c>
      <c r="AG27" s="163" t="str">
        <f t="shared" si="15"/>
        <v/>
      </c>
      <c r="AH27" s="163" t="str">
        <f t="shared" si="16"/>
        <v/>
      </c>
      <c r="AI27" s="290"/>
      <c r="AJ27" s="165" t="str">
        <f t="shared" si="17"/>
        <v/>
      </c>
      <c r="AK27" s="180" t="str">
        <f t="shared" si="18"/>
        <v/>
      </c>
      <c r="AM27" s="179"/>
      <c r="AN27" s="179"/>
      <c r="AP27" s="166" t="str">
        <f t="shared" si="19"/>
        <v/>
      </c>
      <c r="AQ27" s="166" t="str">
        <f t="shared" si="20"/>
        <v/>
      </c>
      <c r="AR27" s="166" t="str">
        <f t="shared" si="21"/>
        <v/>
      </c>
    </row>
    <row r="28" spans="1:46" s="162" customFormat="1" ht="25.2" customHeight="1" x14ac:dyDescent="0.3">
      <c r="A28" s="167">
        <v>24</v>
      </c>
      <c r="B28" s="304" t="str" cm="1">
        <f t="array" ref="B28">IF($J$1="Active",IF(Salary_Master!B28="","",_xlfn.IFS(Salary_Master!M28="Working",IF(Salary_Master!H28&lt;=DATE(2026,3,31),Salary_Master!B28,""),Salary_Master!M28="Left",IF(Salary_Master!N28&gt;DATE(2026,2,28),Salary_Master!B28,""))),"")</f>
        <v/>
      </c>
      <c r="C28" s="304">
        <v>31</v>
      </c>
      <c r="D28" s="305" t="str">
        <f t="shared" si="22"/>
        <v/>
      </c>
      <c r="E28" s="177"/>
      <c r="F28" s="177"/>
      <c r="G28" s="177"/>
      <c r="H28" s="305" t="str">
        <f t="shared" si="23"/>
        <v/>
      </c>
      <c r="I28" s="177"/>
      <c r="J28" s="177"/>
      <c r="K28" s="306" t="str">
        <f t="shared" si="24"/>
        <v/>
      </c>
      <c r="L28" s="306" t="str">
        <f t="shared" si="25"/>
        <v/>
      </c>
      <c r="M28" s="168"/>
      <c r="N28" s="169" t="str">
        <f t="shared" si="3"/>
        <v/>
      </c>
      <c r="O28" s="170" t="str">
        <f t="shared" si="4"/>
        <v/>
      </c>
      <c r="P28" s="170" t="str">
        <f t="shared" si="5"/>
        <v/>
      </c>
      <c r="Q28" s="170" t="str">
        <f t="shared" si="6"/>
        <v/>
      </c>
      <c r="R28" s="170" t="str">
        <f t="shared" si="7"/>
        <v/>
      </c>
      <c r="S28" s="170" t="str">
        <f t="shared" si="8"/>
        <v/>
      </c>
      <c r="T28" s="170" t="str">
        <f t="shared" si="9"/>
        <v/>
      </c>
      <c r="U28" s="170" t="str">
        <f t="shared" si="10"/>
        <v/>
      </c>
      <c r="V28" s="262">
        <f t="shared" si="26"/>
        <v>0</v>
      </c>
      <c r="W28" s="160">
        <f t="shared" si="27"/>
        <v>0</v>
      </c>
      <c r="X28" s="160">
        <f t="shared" si="28"/>
        <v>0</v>
      </c>
      <c r="Y28" s="160">
        <f t="shared" si="29"/>
        <v>0</v>
      </c>
      <c r="Z28" s="160">
        <f t="shared" si="30"/>
        <v>0</v>
      </c>
      <c r="AA28" s="160">
        <f t="shared" si="31"/>
        <v>0</v>
      </c>
      <c r="AB28" s="160">
        <f t="shared" si="32"/>
        <v>0</v>
      </c>
      <c r="AC28" s="160">
        <f t="shared" si="33"/>
        <v>0</v>
      </c>
      <c r="AD28" s="307">
        <f t="shared" si="34"/>
        <v>0</v>
      </c>
      <c r="AE28" s="308" t="str">
        <f t="shared" si="35"/>
        <v/>
      </c>
      <c r="AF28" s="163" t="str">
        <f t="shared" si="14"/>
        <v/>
      </c>
      <c r="AG28" s="163" t="str">
        <f t="shared" si="15"/>
        <v/>
      </c>
      <c r="AH28" s="163" t="str">
        <f t="shared" si="16"/>
        <v/>
      </c>
      <c r="AI28" s="290"/>
      <c r="AJ28" s="165" t="str">
        <f t="shared" si="17"/>
        <v/>
      </c>
      <c r="AK28" s="180" t="str">
        <f t="shared" si="18"/>
        <v/>
      </c>
      <c r="AM28" s="179"/>
      <c r="AN28" s="179"/>
      <c r="AP28" s="166" t="str">
        <f t="shared" si="19"/>
        <v/>
      </c>
      <c r="AQ28" s="166" t="str">
        <f t="shared" si="20"/>
        <v/>
      </c>
      <c r="AR28" s="166" t="str">
        <f t="shared" si="21"/>
        <v/>
      </c>
    </row>
    <row r="29" spans="1:46" s="173" customFormat="1" ht="25.2" customHeight="1" x14ac:dyDescent="0.3">
      <c r="A29" s="172">
        <v>25</v>
      </c>
      <c r="B29" s="304" t="str" cm="1">
        <f t="array" ref="B29">IF($J$1="Active",IF(Salary_Master!B29="","",_xlfn.IFS(Salary_Master!M29="Working",IF(Salary_Master!H29&lt;=DATE(2026,3,31),Salary_Master!B29,""),Salary_Master!M29="Left",IF(Salary_Master!N29&gt;DATE(2026,2,28),Salary_Master!B29,""))),"")</f>
        <v/>
      </c>
      <c r="C29" s="304">
        <v>31</v>
      </c>
      <c r="D29" s="305" t="str">
        <f t="shared" si="22"/>
        <v/>
      </c>
      <c r="E29" s="177"/>
      <c r="F29" s="177"/>
      <c r="G29" s="177"/>
      <c r="H29" s="305" t="str">
        <f t="shared" si="23"/>
        <v/>
      </c>
      <c r="I29" s="177"/>
      <c r="J29" s="177"/>
      <c r="K29" s="306" t="str">
        <f t="shared" si="24"/>
        <v/>
      </c>
      <c r="L29" s="306" t="str">
        <f t="shared" si="25"/>
        <v/>
      </c>
      <c r="M29" s="168"/>
      <c r="N29" s="169" t="str">
        <f t="shared" si="3"/>
        <v/>
      </c>
      <c r="O29" s="170" t="str">
        <f t="shared" si="4"/>
        <v/>
      </c>
      <c r="P29" s="170" t="str">
        <f t="shared" si="5"/>
        <v/>
      </c>
      <c r="Q29" s="170" t="str">
        <f t="shared" si="6"/>
        <v/>
      </c>
      <c r="R29" s="170" t="str">
        <f t="shared" si="7"/>
        <v/>
      </c>
      <c r="S29" s="170" t="str">
        <f t="shared" si="8"/>
        <v/>
      </c>
      <c r="T29" s="170" t="str">
        <f t="shared" si="9"/>
        <v/>
      </c>
      <c r="U29" s="170" t="str">
        <f t="shared" si="10"/>
        <v/>
      </c>
      <c r="V29" s="262">
        <f t="shared" si="26"/>
        <v>0</v>
      </c>
      <c r="W29" s="160">
        <f t="shared" si="27"/>
        <v>0</v>
      </c>
      <c r="X29" s="160">
        <f t="shared" si="28"/>
        <v>0</v>
      </c>
      <c r="Y29" s="160">
        <f t="shared" si="29"/>
        <v>0</v>
      </c>
      <c r="Z29" s="160">
        <f t="shared" si="30"/>
        <v>0</v>
      </c>
      <c r="AA29" s="160">
        <f t="shared" si="31"/>
        <v>0</v>
      </c>
      <c r="AB29" s="160">
        <f t="shared" si="32"/>
        <v>0</v>
      </c>
      <c r="AC29" s="160">
        <f t="shared" si="33"/>
        <v>0</v>
      </c>
      <c r="AD29" s="307">
        <f t="shared" si="34"/>
        <v>0</v>
      </c>
      <c r="AE29" s="308" t="str">
        <f t="shared" si="35"/>
        <v/>
      </c>
      <c r="AF29" s="163" t="str">
        <f t="shared" si="14"/>
        <v/>
      </c>
      <c r="AG29" s="163" t="str">
        <f t="shared" si="15"/>
        <v/>
      </c>
      <c r="AH29" s="163" t="str">
        <f t="shared" si="16"/>
        <v/>
      </c>
      <c r="AI29" s="290"/>
      <c r="AJ29" s="165" t="str">
        <f t="shared" si="17"/>
        <v/>
      </c>
      <c r="AK29" s="180" t="str">
        <f t="shared" si="18"/>
        <v/>
      </c>
      <c r="AM29" s="179"/>
      <c r="AN29" s="179"/>
      <c r="AP29" s="166" t="str">
        <f t="shared" si="19"/>
        <v/>
      </c>
      <c r="AQ29" s="166" t="str">
        <f t="shared" si="20"/>
        <v/>
      </c>
      <c r="AR29" s="166" t="str">
        <f t="shared" si="21"/>
        <v/>
      </c>
      <c r="AT29" s="162"/>
    </row>
    <row r="30" spans="1:46" s="162" customFormat="1" ht="25.2" customHeight="1" x14ac:dyDescent="0.3">
      <c r="A30" s="167">
        <v>26</v>
      </c>
      <c r="B30" s="304" t="str" cm="1">
        <f t="array" ref="B30">IF($J$1="Active",IF(Salary_Master!B30="","",_xlfn.IFS(Salary_Master!M30="Working",IF(Salary_Master!H30&lt;=DATE(2026,3,31),Salary_Master!B30,""),Salary_Master!M30="Left",IF(Salary_Master!N30&gt;DATE(2026,2,28),Salary_Master!B30,""))),"")</f>
        <v/>
      </c>
      <c r="C30" s="304">
        <v>31</v>
      </c>
      <c r="D30" s="305" t="str">
        <f t="shared" si="22"/>
        <v/>
      </c>
      <c r="E30" s="177"/>
      <c r="F30" s="177"/>
      <c r="G30" s="177"/>
      <c r="H30" s="305" t="str">
        <f t="shared" si="23"/>
        <v/>
      </c>
      <c r="I30" s="177"/>
      <c r="J30" s="177"/>
      <c r="K30" s="306" t="str">
        <f t="shared" si="24"/>
        <v/>
      </c>
      <c r="L30" s="306" t="str">
        <f t="shared" si="25"/>
        <v/>
      </c>
      <c r="M30" s="168"/>
      <c r="N30" s="169" t="str">
        <f t="shared" si="3"/>
        <v/>
      </c>
      <c r="O30" s="170" t="str">
        <f t="shared" si="4"/>
        <v/>
      </c>
      <c r="P30" s="170" t="str">
        <f t="shared" si="5"/>
        <v/>
      </c>
      <c r="Q30" s="170" t="str">
        <f t="shared" si="6"/>
        <v/>
      </c>
      <c r="R30" s="170" t="str">
        <f t="shared" si="7"/>
        <v/>
      </c>
      <c r="S30" s="170" t="str">
        <f t="shared" si="8"/>
        <v/>
      </c>
      <c r="T30" s="170" t="str">
        <f t="shared" si="9"/>
        <v/>
      </c>
      <c r="U30" s="170" t="str">
        <f t="shared" si="10"/>
        <v/>
      </c>
      <c r="V30" s="262">
        <f t="shared" si="26"/>
        <v>0</v>
      </c>
      <c r="W30" s="160">
        <f t="shared" si="27"/>
        <v>0</v>
      </c>
      <c r="X30" s="160">
        <f t="shared" si="28"/>
        <v>0</v>
      </c>
      <c r="Y30" s="160">
        <f t="shared" si="29"/>
        <v>0</v>
      </c>
      <c r="Z30" s="160">
        <f t="shared" si="30"/>
        <v>0</v>
      </c>
      <c r="AA30" s="160">
        <f t="shared" si="31"/>
        <v>0</v>
      </c>
      <c r="AB30" s="160">
        <f t="shared" si="32"/>
        <v>0</v>
      </c>
      <c r="AC30" s="160">
        <f t="shared" si="33"/>
        <v>0</v>
      </c>
      <c r="AD30" s="307">
        <f t="shared" si="34"/>
        <v>0</v>
      </c>
      <c r="AE30" s="308" t="str">
        <f t="shared" si="35"/>
        <v/>
      </c>
      <c r="AF30" s="163" t="str">
        <f t="shared" si="14"/>
        <v/>
      </c>
      <c r="AG30" s="163" t="str">
        <f t="shared" si="15"/>
        <v/>
      </c>
      <c r="AH30" s="163" t="str">
        <f t="shared" si="16"/>
        <v/>
      </c>
      <c r="AI30" s="290"/>
      <c r="AJ30" s="165" t="str">
        <f t="shared" si="17"/>
        <v/>
      </c>
      <c r="AK30" s="180" t="str">
        <f t="shared" si="18"/>
        <v/>
      </c>
      <c r="AM30" s="179"/>
      <c r="AN30" s="179"/>
      <c r="AP30" s="166" t="str">
        <f t="shared" si="19"/>
        <v/>
      </c>
      <c r="AQ30" s="166" t="str">
        <f t="shared" si="20"/>
        <v/>
      </c>
      <c r="AR30" s="166" t="str">
        <f t="shared" si="21"/>
        <v/>
      </c>
    </row>
    <row r="31" spans="1:46" s="162" customFormat="1" ht="25.2" customHeight="1" x14ac:dyDescent="0.3">
      <c r="A31" s="167">
        <v>27</v>
      </c>
      <c r="B31" s="304" t="str" cm="1">
        <f t="array" ref="B31">IF($J$1="Active",IF(Salary_Master!B31="","",_xlfn.IFS(Salary_Master!M31="Working",IF(Salary_Master!H31&lt;=DATE(2026,3,31),Salary_Master!B31,""),Salary_Master!M31="Left",IF(Salary_Master!N31&gt;DATE(2026,2,28),Salary_Master!B31,""))),"")</f>
        <v/>
      </c>
      <c r="C31" s="304">
        <v>31</v>
      </c>
      <c r="D31" s="305" t="str">
        <f t="shared" si="22"/>
        <v/>
      </c>
      <c r="E31" s="177"/>
      <c r="F31" s="177"/>
      <c r="G31" s="177"/>
      <c r="H31" s="305" t="str">
        <f t="shared" si="23"/>
        <v/>
      </c>
      <c r="I31" s="177"/>
      <c r="J31" s="177"/>
      <c r="K31" s="306" t="str">
        <f t="shared" si="24"/>
        <v/>
      </c>
      <c r="L31" s="306" t="str">
        <f t="shared" si="25"/>
        <v/>
      </c>
      <c r="M31" s="168"/>
      <c r="N31" s="169" t="str">
        <f t="shared" si="3"/>
        <v/>
      </c>
      <c r="O31" s="170" t="str">
        <f t="shared" si="4"/>
        <v/>
      </c>
      <c r="P31" s="170" t="str">
        <f t="shared" si="5"/>
        <v/>
      </c>
      <c r="Q31" s="170" t="str">
        <f t="shared" si="6"/>
        <v/>
      </c>
      <c r="R31" s="170" t="str">
        <f t="shared" si="7"/>
        <v/>
      </c>
      <c r="S31" s="170" t="str">
        <f t="shared" si="8"/>
        <v/>
      </c>
      <c r="T31" s="170" t="str">
        <f t="shared" si="9"/>
        <v/>
      </c>
      <c r="U31" s="170" t="str">
        <f t="shared" si="10"/>
        <v/>
      </c>
      <c r="V31" s="262">
        <f t="shared" si="26"/>
        <v>0</v>
      </c>
      <c r="W31" s="160">
        <f t="shared" si="27"/>
        <v>0</v>
      </c>
      <c r="X31" s="160">
        <f t="shared" si="28"/>
        <v>0</v>
      </c>
      <c r="Y31" s="160">
        <f t="shared" si="29"/>
        <v>0</v>
      </c>
      <c r="Z31" s="160">
        <f t="shared" si="30"/>
        <v>0</v>
      </c>
      <c r="AA31" s="160">
        <f t="shared" si="31"/>
        <v>0</v>
      </c>
      <c r="AB31" s="160">
        <f t="shared" si="32"/>
        <v>0</v>
      </c>
      <c r="AC31" s="160">
        <f t="shared" si="33"/>
        <v>0</v>
      </c>
      <c r="AD31" s="307">
        <f t="shared" si="34"/>
        <v>0</v>
      </c>
      <c r="AE31" s="308" t="str">
        <f t="shared" si="35"/>
        <v/>
      </c>
      <c r="AF31" s="163" t="str">
        <f t="shared" si="14"/>
        <v/>
      </c>
      <c r="AG31" s="163" t="str">
        <f t="shared" si="15"/>
        <v/>
      </c>
      <c r="AH31" s="163" t="str">
        <f t="shared" si="16"/>
        <v/>
      </c>
      <c r="AI31" s="290"/>
      <c r="AJ31" s="165" t="str">
        <f t="shared" si="17"/>
        <v/>
      </c>
      <c r="AK31" s="180" t="str">
        <f t="shared" si="18"/>
        <v/>
      </c>
      <c r="AM31" s="179"/>
      <c r="AN31" s="179"/>
      <c r="AP31" s="166" t="str">
        <f t="shared" si="19"/>
        <v/>
      </c>
      <c r="AQ31" s="166" t="str">
        <f t="shared" si="20"/>
        <v/>
      </c>
      <c r="AR31" s="166" t="str">
        <f t="shared" si="21"/>
        <v/>
      </c>
    </row>
    <row r="32" spans="1:46" s="173" customFormat="1" ht="25.2" customHeight="1" x14ac:dyDescent="0.3">
      <c r="A32" s="172">
        <v>28</v>
      </c>
      <c r="B32" s="304" t="str" cm="1">
        <f t="array" ref="B32">IF($J$1="Active",IF(Salary_Master!B32="","",_xlfn.IFS(Salary_Master!M32="Working",IF(Salary_Master!H32&lt;=DATE(2026,3,31),Salary_Master!B32,""),Salary_Master!M32="Left",IF(Salary_Master!N32&gt;DATE(2026,2,28),Salary_Master!B32,""))),"")</f>
        <v/>
      </c>
      <c r="C32" s="304">
        <v>31</v>
      </c>
      <c r="D32" s="305" t="str">
        <f t="shared" si="22"/>
        <v/>
      </c>
      <c r="E32" s="177"/>
      <c r="F32" s="177"/>
      <c r="G32" s="177"/>
      <c r="H32" s="305" t="str">
        <f t="shared" si="23"/>
        <v/>
      </c>
      <c r="I32" s="177"/>
      <c r="J32" s="177"/>
      <c r="K32" s="306" t="str">
        <f t="shared" si="24"/>
        <v/>
      </c>
      <c r="L32" s="306" t="str">
        <f t="shared" si="25"/>
        <v/>
      </c>
      <c r="M32" s="168"/>
      <c r="N32" s="169" t="str">
        <f t="shared" si="3"/>
        <v/>
      </c>
      <c r="O32" s="170" t="str">
        <f t="shared" si="4"/>
        <v/>
      </c>
      <c r="P32" s="170" t="str">
        <f t="shared" si="5"/>
        <v/>
      </c>
      <c r="Q32" s="170" t="str">
        <f t="shared" si="6"/>
        <v/>
      </c>
      <c r="R32" s="170" t="str">
        <f t="shared" si="7"/>
        <v/>
      </c>
      <c r="S32" s="170" t="str">
        <f t="shared" si="8"/>
        <v/>
      </c>
      <c r="T32" s="170" t="str">
        <f t="shared" si="9"/>
        <v/>
      </c>
      <c r="U32" s="170" t="str">
        <f t="shared" si="10"/>
        <v/>
      </c>
      <c r="V32" s="262">
        <f t="shared" si="26"/>
        <v>0</v>
      </c>
      <c r="W32" s="160">
        <f t="shared" si="27"/>
        <v>0</v>
      </c>
      <c r="X32" s="160">
        <f t="shared" si="28"/>
        <v>0</v>
      </c>
      <c r="Y32" s="160">
        <f t="shared" si="29"/>
        <v>0</v>
      </c>
      <c r="Z32" s="160">
        <f t="shared" si="30"/>
        <v>0</v>
      </c>
      <c r="AA32" s="160">
        <f t="shared" si="31"/>
        <v>0</v>
      </c>
      <c r="AB32" s="160">
        <f t="shared" si="32"/>
        <v>0</v>
      </c>
      <c r="AC32" s="160">
        <f t="shared" si="33"/>
        <v>0</v>
      </c>
      <c r="AD32" s="307">
        <f t="shared" si="34"/>
        <v>0</v>
      </c>
      <c r="AE32" s="308" t="str">
        <f t="shared" si="35"/>
        <v/>
      </c>
      <c r="AF32" s="163" t="str">
        <f t="shared" si="14"/>
        <v/>
      </c>
      <c r="AG32" s="163" t="str">
        <f t="shared" si="15"/>
        <v/>
      </c>
      <c r="AH32" s="163" t="str">
        <f t="shared" si="16"/>
        <v/>
      </c>
      <c r="AI32" s="290"/>
      <c r="AJ32" s="165" t="str">
        <f t="shared" si="17"/>
        <v/>
      </c>
      <c r="AK32" s="180" t="str">
        <f t="shared" si="18"/>
        <v/>
      </c>
      <c r="AM32" s="179"/>
      <c r="AN32" s="179"/>
      <c r="AP32" s="166" t="str">
        <f t="shared" si="19"/>
        <v/>
      </c>
      <c r="AQ32" s="166" t="str">
        <f t="shared" si="20"/>
        <v/>
      </c>
      <c r="AR32" s="166" t="str">
        <f t="shared" si="21"/>
        <v/>
      </c>
      <c r="AT32" s="162"/>
    </row>
    <row r="33" spans="1:45" s="162" customFormat="1" ht="25.2" customHeight="1" x14ac:dyDescent="0.3">
      <c r="A33" s="167">
        <v>29</v>
      </c>
      <c r="B33" s="304" t="str" cm="1">
        <f t="array" ref="B33">IF($J$1="Active",IF(Salary_Master!B33="","",_xlfn.IFS(Salary_Master!M33="Working",IF(Salary_Master!H33&lt;=DATE(2026,3,31),Salary_Master!B33,""),Salary_Master!M33="Left",IF(Salary_Master!N33&gt;DATE(2026,2,28),Salary_Master!B33,""))),"")</f>
        <v/>
      </c>
      <c r="C33" s="304">
        <v>31</v>
      </c>
      <c r="D33" s="305" t="str">
        <f t="shared" si="22"/>
        <v/>
      </c>
      <c r="E33" s="177"/>
      <c r="F33" s="177"/>
      <c r="G33" s="177"/>
      <c r="H33" s="305" t="str">
        <f t="shared" si="23"/>
        <v/>
      </c>
      <c r="I33" s="177"/>
      <c r="J33" s="177"/>
      <c r="K33" s="306" t="str">
        <f t="shared" si="24"/>
        <v/>
      </c>
      <c r="L33" s="306" t="str">
        <f t="shared" si="25"/>
        <v/>
      </c>
      <c r="M33" s="168"/>
      <c r="N33" s="169" t="str">
        <f t="shared" si="3"/>
        <v/>
      </c>
      <c r="O33" s="170" t="str">
        <f t="shared" si="4"/>
        <v/>
      </c>
      <c r="P33" s="170" t="str">
        <f t="shared" si="5"/>
        <v/>
      </c>
      <c r="Q33" s="170" t="str">
        <f t="shared" si="6"/>
        <v/>
      </c>
      <c r="R33" s="170" t="str">
        <f t="shared" si="7"/>
        <v/>
      </c>
      <c r="S33" s="170" t="str">
        <f t="shared" si="8"/>
        <v/>
      </c>
      <c r="T33" s="170" t="str">
        <f t="shared" si="9"/>
        <v/>
      </c>
      <c r="U33" s="170" t="str">
        <f t="shared" si="10"/>
        <v/>
      </c>
      <c r="V33" s="262">
        <f t="shared" si="26"/>
        <v>0</v>
      </c>
      <c r="W33" s="160">
        <f t="shared" si="27"/>
        <v>0</v>
      </c>
      <c r="X33" s="160">
        <f t="shared" si="28"/>
        <v>0</v>
      </c>
      <c r="Y33" s="160">
        <f t="shared" si="29"/>
        <v>0</v>
      </c>
      <c r="Z33" s="160">
        <f t="shared" si="30"/>
        <v>0</v>
      </c>
      <c r="AA33" s="160">
        <f t="shared" si="31"/>
        <v>0</v>
      </c>
      <c r="AB33" s="160">
        <f t="shared" si="32"/>
        <v>0</v>
      </c>
      <c r="AC33" s="160">
        <f t="shared" si="33"/>
        <v>0</v>
      </c>
      <c r="AD33" s="307">
        <f t="shared" si="34"/>
        <v>0</v>
      </c>
      <c r="AE33" s="308" t="str">
        <f t="shared" si="35"/>
        <v/>
      </c>
      <c r="AF33" s="163" t="str">
        <f t="shared" si="14"/>
        <v/>
      </c>
      <c r="AG33" s="163" t="str">
        <f t="shared" si="15"/>
        <v/>
      </c>
      <c r="AH33" s="163" t="str">
        <f t="shared" si="16"/>
        <v/>
      </c>
      <c r="AI33" s="290"/>
      <c r="AJ33" s="165" t="str">
        <f t="shared" si="17"/>
        <v/>
      </c>
      <c r="AK33" s="180" t="str">
        <f t="shared" si="18"/>
        <v/>
      </c>
      <c r="AM33" s="179"/>
      <c r="AN33" s="179"/>
      <c r="AP33" s="166" t="str">
        <f t="shared" si="19"/>
        <v/>
      </c>
      <c r="AQ33" s="166" t="str">
        <f t="shared" si="20"/>
        <v/>
      </c>
      <c r="AR33" s="166" t="str">
        <f t="shared" si="21"/>
        <v/>
      </c>
    </row>
    <row r="34" spans="1:45" s="162" customFormat="1" ht="25.2" customHeight="1" x14ac:dyDescent="0.3">
      <c r="A34" s="223">
        <v>30</v>
      </c>
      <c r="B34" s="304" t="str" cm="1">
        <f t="array" ref="B34">IF($J$1="Active",IF(Salary_Master!B34="","",_xlfn.IFS(Salary_Master!M34="Working",IF(Salary_Master!H34&lt;=DATE(2026,3,31),Salary_Master!B34,""),Salary_Master!M34="Left",IF(Salary_Master!N34&gt;DATE(2026,2,28),Salary_Master!B34,""))),"")</f>
        <v/>
      </c>
      <c r="C34" s="304">
        <v>31</v>
      </c>
      <c r="D34" s="305" t="str">
        <f t="shared" si="22"/>
        <v/>
      </c>
      <c r="E34" s="177"/>
      <c r="F34" s="177"/>
      <c r="G34" s="177"/>
      <c r="H34" s="305" t="str">
        <f t="shared" si="23"/>
        <v/>
      </c>
      <c r="I34" s="177"/>
      <c r="J34" s="177"/>
      <c r="K34" s="306" t="str">
        <f t="shared" si="24"/>
        <v/>
      </c>
      <c r="L34" s="306" t="str">
        <f t="shared" si="25"/>
        <v/>
      </c>
      <c r="M34" s="168"/>
      <c r="N34" s="169" t="str">
        <f t="shared" si="3"/>
        <v/>
      </c>
      <c r="O34" s="170" t="str">
        <f t="shared" si="4"/>
        <v/>
      </c>
      <c r="P34" s="170" t="str">
        <f t="shared" si="5"/>
        <v/>
      </c>
      <c r="Q34" s="170" t="str">
        <f t="shared" si="6"/>
        <v/>
      </c>
      <c r="R34" s="170" t="str">
        <f t="shared" si="7"/>
        <v/>
      </c>
      <c r="S34" s="170" t="str">
        <f t="shared" si="8"/>
        <v/>
      </c>
      <c r="T34" s="170" t="str">
        <f t="shared" si="9"/>
        <v/>
      </c>
      <c r="U34" s="170" t="str">
        <f t="shared" si="10"/>
        <v/>
      </c>
      <c r="V34" s="262">
        <f t="shared" si="26"/>
        <v>0</v>
      </c>
      <c r="W34" s="160">
        <f t="shared" si="27"/>
        <v>0</v>
      </c>
      <c r="X34" s="160">
        <f t="shared" si="28"/>
        <v>0</v>
      </c>
      <c r="Y34" s="160">
        <f t="shared" si="29"/>
        <v>0</v>
      </c>
      <c r="Z34" s="160">
        <f t="shared" si="30"/>
        <v>0</v>
      </c>
      <c r="AA34" s="160">
        <f t="shared" si="31"/>
        <v>0</v>
      </c>
      <c r="AB34" s="160">
        <f t="shared" si="32"/>
        <v>0</v>
      </c>
      <c r="AC34" s="160">
        <f t="shared" si="33"/>
        <v>0</v>
      </c>
      <c r="AD34" s="307">
        <f t="shared" si="34"/>
        <v>0</v>
      </c>
      <c r="AE34" s="308" t="str">
        <f t="shared" si="35"/>
        <v/>
      </c>
      <c r="AF34" s="163" t="str">
        <f t="shared" si="14"/>
        <v/>
      </c>
      <c r="AG34" s="163" t="str">
        <f t="shared" si="15"/>
        <v/>
      </c>
      <c r="AH34" s="163" t="str">
        <f t="shared" si="16"/>
        <v/>
      </c>
      <c r="AI34" s="290"/>
      <c r="AJ34" s="165" t="str">
        <f t="shared" si="17"/>
        <v/>
      </c>
      <c r="AK34" s="180" t="str">
        <f t="shared" si="18"/>
        <v/>
      </c>
      <c r="AM34" s="179"/>
      <c r="AN34" s="179"/>
      <c r="AP34" s="166" t="str">
        <f t="shared" si="19"/>
        <v/>
      </c>
      <c r="AQ34" s="166" t="str">
        <f t="shared" si="20"/>
        <v/>
      </c>
      <c r="AR34" s="166" t="str">
        <f t="shared" si="21"/>
        <v/>
      </c>
    </row>
    <row r="35" spans="1:45" s="162" customFormat="1" ht="25.2" customHeight="1" x14ac:dyDescent="0.3">
      <c r="A35" s="223">
        <v>31</v>
      </c>
      <c r="B35" s="304" t="str" cm="1">
        <f t="array" ref="B35">IF($J$1="Active",IF(Salary_Master!B35="","",_xlfn.IFS(Salary_Master!M35="Working",IF(Salary_Master!H35&lt;=DATE(2026,3,31),Salary_Master!B35,""),Salary_Master!M35="Left",IF(Salary_Master!N35&gt;DATE(2026,2,28),Salary_Master!B35,""))),"")</f>
        <v/>
      </c>
      <c r="C35" s="304">
        <v>31</v>
      </c>
      <c r="D35" s="305" t="str">
        <f t="shared" si="22"/>
        <v/>
      </c>
      <c r="E35" s="177"/>
      <c r="F35" s="177"/>
      <c r="G35" s="177"/>
      <c r="H35" s="305" t="str">
        <f t="shared" si="23"/>
        <v/>
      </c>
      <c r="I35" s="177"/>
      <c r="J35" s="177"/>
      <c r="K35" s="306" t="str">
        <f t="shared" si="24"/>
        <v/>
      </c>
      <c r="L35" s="306" t="str">
        <f t="shared" si="25"/>
        <v/>
      </c>
      <c r="M35" s="168"/>
      <c r="N35" s="169" t="str">
        <f t="shared" si="3"/>
        <v/>
      </c>
      <c r="O35" s="170" t="str">
        <f t="shared" si="4"/>
        <v/>
      </c>
      <c r="P35" s="170" t="str">
        <f t="shared" si="5"/>
        <v/>
      </c>
      <c r="Q35" s="170" t="str">
        <f t="shared" si="6"/>
        <v/>
      </c>
      <c r="R35" s="170" t="str">
        <f t="shared" si="7"/>
        <v/>
      </c>
      <c r="S35" s="170" t="str">
        <f t="shared" si="8"/>
        <v/>
      </c>
      <c r="T35" s="170" t="str">
        <f t="shared" si="9"/>
        <v/>
      </c>
      <c r="U35" s="170" t="str">
        <f t="shared" si="10"/>
        <v/>
      </c>
      <c r="V35" s="262">
        <f t="shared" si="26"/>
        <v>0</v>
      </c>
      <c r="W35" s="160">
        <f t="shared" si="27"/>
        <v>0</v>
      </c>
      <c r="X35" s="160">
        <f t="shared" si="28"/>
        <v>0</v>
      </c>
      <c r="Y35" s="160">
        <f t="shared" si="29"/>
        <v>0</v>
      </c>
      <c r="Z35" s="160">
        <f t="shared" si="30"/>
        <v>0</v>
      </c>
      <c r="AA35" s="160">
        <f t="shared" si="31"/>
        <v>0</v>
      </c>
      <c r="AB35" s="160">
        <f t="shared" si="32"/>
        <v>0</v>
      </c>
      <c r="AC35" s="160">
        <f t="shared" si="33"/>
        <v>0</v>
      </c>
      <c r="AD35" s="307">
        <f t="shared" si="34"/>
        <v>0</v>
      </c>
      <c r="AE35" s="308" t="str">
        <f t="shared" si="35"/>
        <v/>
      </c>
      <c r="AF35" s="163" t="str">
        <f t="shared" si="14"/>
        <v/>
      </c>
      <c r="AG35" s="163" t="str">
        <f t="shared" si="15"/>
        <v/>
      </c>
      <c r="AH35" s="163" t="str">
        <f t="shared" si="16"/>
        <v/>
      </c>
      <c r="AI35" s="290"/>
      <c r="AJ35" s="165" t="str">
        <f t="shared" si="17"/>
        <v/>
      </c>
      <c r="AK35" s="180" t="str">
        <f t="shared" si="18"/>
        <v/>
      </c>
      <c r="AM35" s="179"/>
      <c r="AN35" s="179"/>
      <c r="AP35" s="166" t="str">
        <f t="shared" si="19"/>
        <v/>
      </c>
      <c r="AQ35" s="166" t="str">
        <f t="shared" si="20"/>
        <v/>
      </c>
      <c r="AR35" s="166" t="str">
        <f t="shared" si="21"/>
        <v/>
      </c>
    </row>
    <row r="36" spans="1:45" s="162" customFormat="1" ht="25.2" customHeight="1" x14ac:dyDescent="0.3">
      <c r="A36" s="223">
        <v>32</v>
      </c>
      <c r="B36" s="304" t="str" cm="1">
        <f t="array" ref="B36">IF($J$1="Active",IF(Salary_Master!B36="","",_xlfn.IFS(Salary_Master!M36="Working",IF(Salary_Master!H36&lt;=DATE(2026,3,31),Salary_Master!B36,""),Salary_Master!M36="Left",IF(Salary_Master!N36&gt;DATE(2026,2,28),Salary_Master!B36,""))),"")</f>
        <v/>
      </c>
      <c r="C36" s="304">
        <v>31</v>
      </c>
      <c r="D36" s="305" t="str">
        <f t="shared" si="22"/>
        <v/>
      </c>
      <c r="E36" s="177"/>
      <c r="F36" s="177"/>
      <c r="G36" s="177"/>
      <c r="H36" s="305" t="str">
        <f t="shared" si="23"/>
        <v/>
      </c>
      <c r="I36" s="177"/>
      <c r="J36" s="177"/>
      <c r="K36" s="306" t="str">
        <f t="shared" si="24"/>
        <v/>
      </c>
      <c r="L36" s="306" t="str">
        <f t="shared" si="25"/>
        <v/>
      </c>
      <c r="M36" s="168"/>
      <c r="N36" s="169" t="str">
        <f t="shared" si="3"/>
        <v/>
      </c>
      <c r="O36" s="170" t="str">
        <f t="shared" si="4"/>
        <v/>
      </c>
      <c r="P36" s="170" t="str">
        <f t="shared" si="5"/>
        <v/>
      </c>
      <c r="Q36" s="170" t="str">
        <f t="shared" si="6"/>
        <v/>
      </c>
      <c r="R36" s="170" t="str">
        <f t="shared" si="7"/>
        <v/>
      </c>
      <c r="S36" s="170" t="str">
        <f t="shared" si="8"/>
        <v/>
      </c>
      <c r="T36" s="170" t="str">
        <f t="shared" si="9"/>
        <v/>
      </c>
      <c r="U36" s="170" t="str">
        <f t="shared" si="10"/>
        <v/>
      </c>
      <c r="V36" s="262">
        <f t="shared" si="26"/>
        <v>0</v>
      </c>
      <c r="W36" s="160">
        <f t="shared" si="27"/>
        <v>0</v>
      </c>
      <c r="X36" s="160">
        <f t="shared" si="28"/>
        <v>0</v>
      </c>
      <c r="Y36" s="160">
        <f t="shared" si="29"/>
        <v>0</v>
      </c>
      <c r="Z36" s="160">
        <f t="shared" si="30"/>
        <v>0</v>
      </c>
      <c r="AA36" s="160">
        <f t="shared" si="31"/>
        <v>0</v>
      </c>
      <c r="AB36" s="160">
        <f t="shared" si="32"/>
        <v>0</v>
      </c>
      <c r="AC36" s="160">
        <f t="shared" si="33"/>
        <v>0</v>
      </c>
      <c r="AD36" s="307">
        <f t="shared" si="34"/>
        <v>0</v>
      </c>
      <c r="AE36" s="308" t="str">
        <f t="shared" si="35"/>
        <v/>
      </c>
      <c r="AF36" s="163" t="str">
        <f t="shared" si="14"/>
        <v/>
      </c>
      <c r="AG36" s="163" t="str">
        <f t="shared" si="15"/>
        <v/>
      </c>
      <c r="AH36" s="163" t="str">
        <f t="shared" si="16"/>
        <v/>
      </c>
      <c r="AI36" s="290"/>
      <c r="AJ36" s="165" t="str">
        <f t="shared" si="17"/>
        <v/>
      </c>
      <c r="AK36" s="180" t="str">
        <f t="shared" si="18"/>
        <v/>
      </c>
      <c r="AM36" s="179"/>
      <c r="AN36" s="179"/>
      <c r="AP36" s="166" t="str">
        <f t="shared" si="19"/>
        <v/>
      </c>
      <c r="AQ36" s="166" t="str">
        <f t="shared" si="20"/>
        <v/>
      </c>
      <c r="AR36" s="166" t="str">
        <f t="shared" si="21"/>
        <v/>
      </c>
    </row>
    <row r="37" spans="1:45" s="162" customFormat="1" ht="25.2" customHeight="1" x14ac:dyDescent="0.3">
      <c r="A37" s="223">
        <v>33</v>
      </c>
      <c r="B37" s="304" t="str" cm="1">
        <f t="array" ref="B37">IF($J$1="Active",IF(Salary_Master!B37="","",_xlfn.IFS(Salary_Master!M37="Working",IF(Salary_Master!H37&lt;=DATE(2026,3,31),Salary_Master!B37,""),Salary_Master!M37="Left",IF(Salary_Master!N37&gt;DATE(2026,2,28),Salary_Master!B37,""))),"")</f>
        <v/>
      </c>
      <c r="C37" s="304">
        <v>31</v>
      </c>
      <c r="D37" s="305" t="str">
        <f t="shared" si="22"/>
        <v/>
      </c>
      <c r="E37" s="177"/>
      <c r="F37" s="177"/>
      <c r="G37" s="177"/>
      <c r="H37" s="305" t="str">
        <f t="shared" si="23"/>
        <v/>
      </c>
      <c r="I37" s="177"/>
      <c r="J37" s="177"/>
      <c r="K37" s="306" t="str">
        <f t="shared" si="24"/>
        <v/>
      </c>
      <c r="L37" s="306" t="str">
        <f t="shared" si="25"/>
        <v/>
      </c>
      <c r="M37" s="168"/>
      <c r="N37" s="169" t="str">
        <f t="shared" si="3"/>
        <v/>
      </c>
      <c r="O37" s="170" t="str">
        <f t="shared" si="4"/>
        <v/>
      </c>
      <c r="P37" s="170" t="str">
        <f t="shared" si="5"/>
        <v/>
      </c>
      <c r="Q37" s="170" t="str">
        <f t="shared" si="6"/>
        <v/>
      </c>
      <c r="R37" s="170" t="str">
        <f t="shared" si="7"/>
        <v/>
      </c>
      <c r="S37" s="170" t="str">
        <f t="shared" si="8"/>
        <v/>
      </c>
      <c r="T37" s="170" t="str">
        <f t="shared" si="9"/>
        <v/>
      </c>
      <c r="U37" s="170" t="str">
        <f t="shared" si="10"/>
        <v/>
      </c>
      <c r="V37" s="262">
        <f t="shared" si="26"/>
        <v>0</v>
      </c>
      <c r="W37" s="160">
        <f t="shared" si="27"/>
        <v>0</v>
      </c>
      <c r="X37" s="160">
        <f t="shared" si="28"/>
        <v>0</v>
      </c>
      <c r="Y37" s="160">
        <f t="shared" si="29"/>
        <v>0</v>
      </c>
      <c r="Z37" s="160">
        <f t="shared" si="30"/>
        <v>0</v>
      </c>
      <c r="AA37" s="160">
        <f t="shared" si="31"/>
        <v>0</v>
      </c>
      <c r="AB37" s="160">
        <f t="shared" si="32"/>
        <v>0</v>
      </c>
      <c r="AC37" s="160">
        <f t="shared" si="33"/>
        <v>0</v>
      </c>
      <c r="AD37" s="307">
        <f t="shared" si="34"/>
        <v>0</v>
      </c>
      <c r="AE37" s="308" t="str">
        <f t="shared" si="35"/>
        <v/>
      </c>
      <c r="AF37" s="163" t="str">
        <f t="shared" si="14"/>
        <v/>
      </c>
      <c r="AG37" s="163" t="str">
        <f t="shared" si="15"/>
        <v/>
      </c>
      <c r="AH37" s="163" t="str">
        <f t="shared" si="16"/>
        <v/>
      </c>
      <c r="AI37" s="290"/>
      <c r="AJ37" s="165" t="str">
        <f t="shared" si="17"/>
        <v/>
      </c>
      <c r="AK37" s="180" t="str">
        <f t="shared" si="18"/>
        <v/>
      </c>
      <c r="AM37" s="179"/>
      <c r="AN37" s="179"/>
      <c r="AP37" s="166" t="str">
        <f t="shared" si="19"/>
        <v/>
      </c>
      <c r="AQ37" s="166" t="str">
        <f t="shared" si="20"/>
        <v/>
      </c>
      <c r="AR37" s="166" t="str">
        <f t="shared" si="21"/>
        <v/>
      </c>
    </row>
    <row r="38" spans="1:45" s="162" customFormat="1" ht="25.2" customHeight="1" x14ac:dyDescent="0.3">
      <c r="A38" s="223">
        <v>34</v>
      </c>
      <c r="B38" s="304" t="str" cm="1">
        <f t="array" ref="B38">IF($J$1="Active",IF(Salary_Master!B38="","",_xlfn.IFS(Salary_Master!M38="Working",IF(Salary_Master!H38&lt;=DATE(2026,3,31),Salary_Master!B38,""),Salary_Master!M38="Left",IF(Salary_Master!N38&gt;DATE(2026,2,28),Salary_Master!B38,""))),"")</f>
        <v/>
      </c>
      <c r="C38" s="304">
        <v>31</v>
      </c>
      <c r="D38" s="305" t="str">
        <f t="shared" si="22"/>
        <v/>
      </c>
      <c r="E38" s="177"/>
      <c r="F38" s="177"/>
      <c r="G38" s="177"/>
      <c r="H38" s="305" t="str">
        <f t="shared" si="23"/>
        <v/>
      </c>
      <c r="I38" s="177"/>
      <c r="J38" s="177"/>
      <c r="K38" s="306" t="str">
        <f t="shared" si="24"/>
        <v/>
      </c>
      <c r="L38" s="306" t="str">
        <f t="shared" si="25"/>
        <v/>
      </c>
      <c r="M38" s="168"/>
      <c r="N38" s="169" t="str">
        <f t="shared" si="3"/>
        <v/>
      </c>
      <c r="O38" s="170" t="str">
        <f t="shared" si="4"/>
        <v/>
      </c>
      <c r="P38" s="170" t="str">
        <f t="shared" si="5"/>
        <v/>
      </c>
      <c r="Q38" s="170" t="str">
        <f t="shared" si="6"/>
        <v/>
      </c>
      <c r="R38" s="170" t="str">
        <f t="shared" si="7"/>
        <v/>
      </c>
      <c r="S38" s="170" t="str">
        <f t="shared" si="8"/>
        <v/>
      </c>
      <c r="T38" s="170" t="str">
        <f t="shared" si="9"/>
        <v/>
      </c>
      <c r="U38" s="170" t="str">
        <f t="shared" si="10"/>
        <v/>
      </c>
      <c r="V38" s="262">
        <f t="shared" si="26"/>
        <v>0</v>
      </c>
      <c r="W38" s="160">
        <f t="shared" si="27"/>
        <v>0</v>
      </c>
      <c r="X38" s="160">
        <f t="shared" si="28"/>
        <v>0</v>
      </c>
      <c r="Y38" s="160">
        <f t="shared" si="29"/>
        <v>0</v>
      </c>
      <c r="Z38" s="160">
        <f t="shared" si="30"/>
        <v>0</v>
      </c>
      <c r="AA38" s="160">
        <f t="shared" si="31"/>
        <v>0</v>
      </c>
      <c r="AB38" s="160">
        <f t="shared" si="32"/>
        <v>0</v>
      </c>
      <c r="AC38" s="160">
        <f t="shared" si="33"/>
        <v>0</v>
      </c>
      <c r="AD38" s="307">
        <f t="shared" si="34"/>
        <v>0</v>
      </c>
      <c r="AE38" s="308" t="str">
        <f t="shared" si="35"/>
        <v/>
      </c>
      <c r="AF38" s="163" t="str">
        <f t="shared" si="14"/>
        <v/>
      </c>
      <c r="AG38" s="163" t="str">
        <f t="shared" si="15"/>
        <v/>
      </c>
      <c r="AH38" s="163" t="str">
        <f t="shared" si="16"/>
        <v/>
      </c>
      <c r="AI38" s="290"/>
      <c r="AJ38" s="165" t="str">
        <f t="shared" si="17"/>
        <v/>
      </c>
      <c r="AK38" s="180" t="str">
        <f t="shared" si="18"/>
        <v/>
      </c>
      <c r="AM38" s="179"/>
      <c r="AN38" s="179"/>
      <c r="AP38" s="166" t="str">
        <f t="shared" si="19"/>
        <v/>
      </c>
      <c r="AQ38" s="166" t="str">
        <f t="shared" si="20"/>
        <v/>
      </c>
      <c r="AR38" s="166" t="str">
        <f t="shared" si="21"/>
        <v/>
      </c>
    </row>
    <row r="39" spans="1:45" s="162" customFormat="1" ht="25.2" customHeight="1" thickBot="1" x14ac:dyDescent="0.35">
      <c r="A39" s="174">
        <v>35</v>
      </c>
      <c r="B39" s="309" t="str" cm="1">
        <f t="array" ref="B39">IF($J$1="Active",IF(Salary_Master!B39="","",_xlfn.IFS(Salary_Master!M39="Working",IF(Salary_Master!H39&lt;=DATE(2026,3,31),Salary_Master!B39,""),Salary_Master!M39="Left",IF(Salary_Master!N39&gt;DATE(2026,2,28),Salary_Master!B39,""))),"")</f>
        <v/>
      </c>
      <c r="C39" s="309">
        <v>31</v>
      </c>
      <c r="D39" s="310" t="str">
        <f t="shared" si="22"/>
        <v/>
      </c>
      <c r="E39" s="311"/>
      <c r="F39" s="311"/>
      <c r="G39" s="311"/>
      <c r="H39" s="310" t="str">
        <f t="shared" si="23"/>
        <v/>
      </c>
      <c r="I39" s="311"/>
      <c r="J39" s="311"/>
      <c r="K39" s="312" t="str">
        <f t="shared" si="24"/>
        <v/>
      </c>
      <c r="L39" s="312" t="str">
        <f t="shared" si="25"/>
        <v/>
      </c>
      <c r="M39" s="313"/>
      <c r="N39" s="314" t="str">
        <f t="shared" si="3"/>
        <v/>
      </c>
      <c r="O39" s="315" t="str">
        <f t="shared" si="4"/>
        <v/>
      </c>
      <c r="P39" s="315" t="str">
        <f t="shared" si="5"/>
        <v/>
      </c>
      <c r="Q39" s="315" t="str">
        <f t="shared" si="6"/>
        <v/>
      </c>
      <c r="R39" s="315" t="str">
        <f t="shared" si="7"/>
        <v/>
      </c>
      <c r="S39" s="315" t="str">
        <f t="shared" si="8"/>
        <v/>
      </c>
      <c r="T39" s="315" t="str">
        <f t="shared" si="9"/>
        <v/>
      </c>
      <c r="U39" s="315" t="str">
        <f t="shared" si="10"/>
        <v/>
      </c>
      <c r="V39" s="316">
        <f t="shared" si="26"/>
        <v>0</v>
      </c>
      <c r="W39" s="297">
        <f t="shared" si="27"/>
        <v>0</v>
      </c>
      <c r="X39" s="297">
        <f t="shared" si="28"/>
        <v>0</v>
      </c>
      <c r="Y39" s="297">
        <f t="shared" si="29"/>
        <v>0</v>
      </c>
      <c r="Z39" s="297">
        <f t="shared" si="30"/>
        <v>0</v>
      </c>
      <c r="AA39" s="297">
        <f t="shared" si="31"/>
        <v>0</v>
      </c>
      <c r="AB39" s="297">
        <f t="shared" si="32"/>
        <v>0</v>
      </c>
      <c r="AC39" s="297">
        <f t="shared" si="33"/>
        <v>0</v>
      </c>
      <c r="AD39" s="317">
        <f t="shared" si="34"/>
        <v>0</v>
      </c>
      <c r="AE39" s="318" t="str">
        <f t="shared" si="35"/>
        <v/>
      </c>
      <c r="AF39" s="163" t="str">
        <f t="shared" si="14"/>
        <v/>
      </c>
      <c r="AG39" s="163" t="str">
        <f t="shared" si="15"/>
        <v/>
      </c>
      <c r="AH39" s="163" t="str">
        <f t="shared" si="16"/>
        <v/>
      </c>
      <c r="AI39" s="292"/>
      <c r="AJ39" s="165" t="str">
        <f t="shared" si="17"/>
        <v/>
      </c>
      <c r="AK39" s="180" t="str">
        <f t="shared" si="18"/>
        <v/>
      </c>
      <c r="AM39" s="179"/>
      <c r="AN39" s="179"/>
      <c r="AP39" s="166" t="str">
        <f t="shared" si="19"/>
        <v/>
      </c>
      <c r="AQ39" s="166" t="str">
        <f t="shared" si="20"/>
        <v/>
      </c>
      <c r="AR39" s="166" t="str">
        <f t="shared" si="21"/>
        <v/>
      </c>
    </row>
    <row r="40" spans="1:45" s="182" customFormat="1" ht="25.2" customHeight="1" thickBot="1" x14ac:dyDescent="0.35">
      <c r="A40" s="361" t="s">
        <v>88</v>
      </c>
      <c r="B40" s="362"/>
      <c r="C40" s="362"/>
      <c r="D40" s="362"/>
      <c r="E40" s="362"/>
      <c r="F40" s="362"/>
      <c r="G40" s="362"/>
      <c r="H40" s="362"/>
      <c r="I40" s="362"/>
      <c r="J40" s="362"/>
      <c r="K40" s="362"/>
      <c r="L40" s="362"/>
      <c r="M40" s="362"/>
      <c r="N40" s="362"/>
      <c r="O40" s="362"/>
      <c r="P40" s="362"/>
      <c r="Q40" s="362"/>
      <c r="R40" s="362"/>
      <c r="S40" s="362"/>
      <c r="T40" s="362"/>
      <c r="U40" s="362"/>
      <c r="V40" s="183">
        <f>SUM(V5:V39)</f>
        <v>0</v>
      </c>
      <c r="W40" s="183">
        <f t="shared" ref="W40:AC40" si="36">SUM(W5:W39)</f>
        <v>0</v>
      </c>
      <c r="X40" s="183">
        <f t="shared" si="36"/>
        <v>0</v>
      </c>
      <c r="Y40" s="183">
        <f t="shared" si="36"/>
        <v>0</v>
      </c>
      <c r="Z40" s="183">
        <f t="shared" si="36"/>
        <v>0</v>
      </c>
      <c r="AA40" s="183">
        <f t="shared" si="36"/>
        <v>0</v>
      </c>
      <c r="AB40" s="183">
        <f t="shared" si="36"/>
        <v>0</v>
      </c>
      <c r="AC40" s="183">
        <f t="shared" si="36"/>
        <v>0</v>
      </c>
      <c r="AD40" s="183">
        <f>SUM(AD5:AD39)</f>
        <v>0</v>
      </c>
      <c r="AE40" s="208">
        <v>811864</v>
      </c>
      <c r="AF40" s="200"/>
      <c r="AG40" s="201" t="s">
        <v>89</v>
      </c>
      <c r="AH40" s="201" t="s">
        <v>89</v>
      </c>
      <c r="AI40" s="201" t="s">
        <v>89</v>
      </c>
      <c r="AJ40" s="198"/>
      <c r="AK40" s="291" t="s">
        <v>89</v>
      </c>
      <c r="AL40" s="187"/>
      <c r="AM40" s="183">
        <v>0</v>
      </c>
      <c r="AN40" s="183">
        <v>0</v>
      </c>
      <c r="AO40" s="183">
        <v>0</v>
      </c>
      <c r="AP40" s="184"/>
      <c r="AQ40" s="188" t="s">
        <v>89</v>
      </c>
      <c r="AR40" s="188" t="s">
        <v>89</v>
      </c>
      <c r="AS40" s="162"/>
    </row>
  </sheetData>
  <mergeCells count="3">
    <mergeCell ref="J1:K1"/>
    <mergeCell ref="AP2:AR2"/>
    <mergeCell ref="A40:U40"/>
  </mergeCells>
  <conditionalFormatting sqref="H5:H39">
    <cfRule type="cellIs" dxfId="2" priority="2" operator="greaterThan">
      <formula>32</formula>
    </cfRule>
    <cfRule type="cellIs" dxfId="1" priority="3" operator="greaterThan">
      <formula>31</formula>
    </cfRule>
  </conditionalFormatting>
  <conditionalFormatting sqref="H5:H39">
    <cfRule type="cellIs" dxfId="0" priority="1" operator="greaterThan">
      <formula>32</formula>
    </cfRule>
  </conditionalFormatting>
  <dataValidations count="6">
    <dataValidation type="custom" allowBlank="1" showInputMessage="1" showErrorMessage="1" errorTitle="Below Limit !!!" error="Total leaves are going negative if this value is entered. Try to enter less value." sqref="G5:G39" xr:uid="{2F62B1D0-E53E-4FBA-A94B-CBEBCF3C1FDD}">
      <formula1>$AP5&lt;=7</formula1>
    </dataValidation>
    <dataValidation type="list" allowBlank="1" sqref="K5:L39" xr:uid="{3F604C39-BEF1-4676-96EA-478AF8A27000}">
      <formula1>"Yes,No"</formula1>
    </dataValidation>
    <dataValidation type="list" allowBlank="1" showInputMessage="1" showErrorMessage="1" sqref="AK5:AK39 AL40 M5:M39" xr:uid="{8BAC3572-48D0-4295-9D31-EB66ED028B71}">
      <formula1>"Yes,No"</formula1>
    </dataValidation>
    <dataValidation type="list" allowBlank="1" showInputMessage="1" showErrorMessage="1" sqref="J1:K1" xr:uid="{907A33B3-4B12-4417-9070-72AA320B02EE}">
      <formula1>"Active,Non-Active"</formula1>
    </dataValidation>
    <dataValidation type="custom" allowBlank="1" showInputMessage="1" showErrorMessage="1" errorTitle="Below Limit !!!" error="Total leaves are going negative if this value is entered. Try to enter less value." sqref="E5:E39" xr:uid="{341E9302-7EDB-42D7-B1AB-68263E46DA4F}">
      <formula1>$AN5&lt;=7</formula1>
    </dataValidation>
    <dataValidation type="custom" allowBlank="1" showInputMessage="1" showErrorMessage="1" errorTitle="Below Limit !!!" error="Total leaves are going negative if this value is entered. Try to enter less value." sqref="F5:F39" xr:uid="{F630EF93-382F-4539-BCB4-E4E4B4E08162}">
      <formula1>$AO5&lt;=7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C7A-6C6D-4958-9339-F0BDA5744C5F}">
  <sheetPr codeName="Sheet1">
    <tabColor rgb="FFFFFF00"/>
  </sheetPr>
  <dimension ref="A1:AP40"/>
  <sheetViews>
    <sheetView zoomScale="102" zoomScaleNormal="102" workbookViewId="0">
      <pane xSplit="3" ySplit="4" topLeftCell="I5" activePane="bottomRight" state="frozen"/>
      <selection pane="topRight" activeCell="D1" sqref="D1"/>
      <selection pane="bottomLeft" activeCell="A5" sqref="A5"/>
      <selection pane="bottomRight" activeCell="I4" sqref="I4"/>
    </sheetView>
  </sheetViews>
  <sheetFormatPr defaultColWidth="8.88671875" defaultRowHeight="14.4" x14ac:dyDescent="0.3"/>
  <cols>
    <col min="1" max="1" width="4" style="14" bestFit="1" customWidth="1"/>
    <col min="2" max="2" width="22.33203125" style="14" bestFit="1" customWidth="1"/>
    <col min="3" max="3" width="0.44140625" style="14" customWidth="1"/>
    <col min="4" max="4" width="11.33203125" style="245" bestFit="1" customWidth="1"/>
    <col min="5" max="6" width="12.33203125" style="245" bestFit="1" customWidth="1"/>
    <col min="7" max="9" width="11.33203125" style="245" bestFit="1" customWidth="1"/>
    <col min="10" max="10" width="11.44140625" style="245" customWidth="1"/>
    <col min="11" max="13" width="10.6640625" style="245" customWidth="1"/>
    <col min="14" max="14" width="10.88671875" style="245" customWidth="1"/>
    <col min="15" max="15" width="11.33203125" style="245" customWidth="1"/>
    <col min="16" max="16" width="13.6640625" style="14" bestFit="1" customWidth="1"/>
    <col min="17" max="17" width="11.33203125" style="14" bestFit="1" customWidth="1"/>
    <col min="18" max="18" width="9.6640625" style="14" bestFit="1" customWidth="1"/>
    <col min="19" max="19" width="10.109375" style="14" customWidth="1"/>
    <col min="20" max="20" width="10.109375" style="14" bestFit="1" customWidth="1"/>
    <col min="21" max="21" width="13.6640625" style="14" bestFit="1" customWidth="1"/>
    <col min="23" max="23" width="5.33203125" style="14" customWidth="1"/>
    <col min="24" max="24" width="8.88671875" style="14"/>
    <col min="25" max="25" width="12.33203125" style="14" bestFit="1" customWidth="1"/>
    <col min="26" max="27" width="8.88671875" style="14"/>
    <col min="28" max="28" width="9.44140625" style="14" bestFit="1" customWidth="1"/>
    <col min="29" max="16384" width="8.88671875" style="14"/>
  </cols>
  <sheetData>
    <row r="1" spans="1:28" ht="24.6" x14ac:dyDescent="0.3">
      <c r="A1" s="209" t="s">
        <v>107</v>
      </c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Y1" s="210"/>
    </row>
    <row r="2" spans="1:28" ht="18.600000000000001" x14ac:dyDescent="0.3">
      <c r="A2" s="224" t="s">
        <v>188</v>
      </c>
      <c r="B2" s="225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Y2" s="225"/>
    </row>
    <row r="3" spans="1:28" ht="15" thickBot="1" x14ac:dyDescent="0.35">
      <c r="A3" s="16"/>
      <c r="B3" s="17"/>
      <c r="C3" s="17"/>
      <c r="D3" s="226"/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17"/>
      <c r="Q3" s="17"/>
      <c r="R3" s="17"/>
      <c r="S3" s="17"/>
      <c r="T3" s="17"/>
      <c r="U3" s="17"/>
      <c r="Y3" s="17"/>
    </row>
    <row r="4" spans="1:28" s="26" customFormat="1" ht="27" thickBot="1" x14ac:dyDescent="0.35">
      <c r="A4" s="227" t="s">
        <v>58</v>
      </c>
      <c r="B4" s="228" t="s">
        <v>59</v>
      </c>
      <c r="C4" s="229"/>
      <c r="D4" s="276" t="s">
        <v>216</v>
      </c>
      <c r="E4" s="276" t="s">
        <v>217</v>
      </c>
      <c r="F4" s="276" t="s">
        <v>218</v>
      </c>
      <c r="G4" s="277" t="s">
        <v>219</v>
      </c>
      <c r="H4" s="277" t="s">
        <v>220</v>
      </c>
      <c r="I4" s="277" t="s">
        <v>221</v>
      </c>
      <c r="J4" s="277" t="s">
        <v>222</v>
      </c>
      <c r="K4" s="277" t="s">
        <v>223</v>
      </c>
      <c r="L4" s="277" t="s">
        <v>224</v>
      </c>
      <c r="M4" s="277" t="s">
        <v>225</v>
      </c>
      <c r="N4" s="277" t="s">
        <v>226</v>
      </c>
      <c r="O4" s="277" t="s">
        <v>227</v>
      </c>
      <c r="P4" s="230" t="s">
        <v>63</v>
      </c>
      <c r="Q4" s="274" t="s">
        <v>44</v>
      </c>
      <c r="R4" s="274" t="s">
        <v>45</v>
      </c>
      <c r="S4" s="274" t="s">
        <v>64</v>
      </c>
      <c r="T4" s="273" t="s">
        <v>14</v>
      </c>
      <c r="U4" s="23" t="s">
        <v>65</v>
      </c>
      <c r="X4" s="26" t="s">
        <v>181</v>
      </c>
      <c r="Y4" s="283" t="s">
        <v>106</v>
      </c>
      <c r="Z4" s="14"/>
      <c r="AA4" s="14"/>
      <c r="AB4" s="14"/>
    </row>
    <row r="5" spans="1:28" s="33" customFormat="1" ht="25.2" customHeight="1" x14ac:dyDescent="0.3">
      <c r="A5" s="231">
        <v>1</v>
      </c>
      <c r="B5" s="246" t="str">
        <f>IF(Salary_Master!B5="","",Salary_Master!B5)</f>
        <v>Munna Prasad Vishwakarma</v>
      </c>
      <c r="C5" s="232"/>
      <c r="D5" s="278">
        <f t="shared" ref="D5:D39" si="0">IFERROR(VLOOKUP($B5,Aprr25,21,FALSE),0)</f>
        <v>74000</v>
      </c>
      <c r="E5" s="279">
        <f t="shared" ref="E5:E39" si="1">IFERROR(VLOOKUP($B5,Mayy25,21,FALSE),0)</f>
        <v>74000</v>
      </c>
      <c r="F5" s="279">
        <f t="shared" ref="F5:F39" si="2">IFERROR(VLOOKUP($B5,Junn25,21,FALSE),0)</f>
        <v>78000</v>
      </c>
      <c r="G5" s="279">
        <f>IFERROR(VLOOKUP($B5,Jull25,21,FALSE),0)</f>
        <v>78000</v>
      </c>
      <c r="H5" s="279">
        <f t="shared" ref="H5:H39" si="3">IFERROR(VLOOKUP($B5,Augg25,21,FALSE),0)</f>
        <v>0</v>
      </c>
      <c r="I5" s="279">
        <f t="shared" ref="I5:I39" si="4">IFERROR(VLOOKUP($B5,Sepp25,21,FALSE),0)</f>
        <v>0</v>
      </c>
      <c r="J5" s="279">
        <f t="shared" ref="J5:J39" si="5">IFERROR(VLOOKUP($B5,Octt25,21,FALSE),0)</f>
        <v>0</v>
      </c>
      <c r="K5" s="279">
        <f t="shared" ref="K5:K39" si="6">IFERROR(VLOOKUP($B5,Novv25,21,FALSE),0)</f>
        <v>0</v>
      </c>
      <c r="L5" s="279">
        <f t="shared" ref="L5:L39" si="7">IFERROR(VLOOKUP($B5,Decc25,21,FALSE),0)</f>
        <v>0</v>
      </c>
      <c r="M5" s="279">
        <f t="shared" ref="M5:M39" si="8">IFERROR(VLOOKUP($B5,Jann26,21,FALSE),0)</f>
        <v>0</v>
      </c>
      <c r="N5" s="279">
        <f t="shared" ref="N5:N39" si="9">IFERROR(VLOOKUP($B5,Febb26,21,FALSE),0)</f>
        <v>0</v>
      </c>
      <c r="O5" s="279">
        <f t="shared" ref="O5:O39" si="10">IFERROR(VLOOKUP($B5,Marr26,21,FALSE),0)</f>
        <v>0</v>
      </c>
      <c r="P5" s="233">
        <f>SUM(D5:O5)</f>
        <v>304000</v>
      </c>
      <c r="Q5" s="275">
        <f t="shared" ref="Q5:Q39" si="11">IFERROR(VLOOKUP($B5,Aprr25,22,FALSE),0)+IFERROR(VLOOKUP($B5,Mayy25,22,FALSE),0)+IFERROR(VLOOKUP($B5,Junn25,22,FALSE),0)+IFERROR(VLOOKUP($B5,Jull25,22,FALSE),0)+IFERROR(VLOOKUP($B5,Augg25,22,FALSE),0)+IFERROR(VLOOKUP($B5,Sepp25,22,FALSE),0)+IFERROR(VLOOKUP($B5,Octt25,22,FALSE),0)+IFERROR(VLOOKUP($B5,Novv25,22,FALSE),0)+IFERROR(VLOOKUP($B5,Decc25,22,FALSE),0)+IFERROR(VLOOKUP($B5,Jann26,22,FALSE),0)+IFERROR(VLOOKUP($B5,Febb26,22,FALSE),0)+IFERROR(VLOOKUP($B5,Marr26,22,FALSE),0)+IFERROR(VLOOKUP($B5,Aprr25,23,FALSE),0)+IFERROR(VLOOKUP($B5,Mayy25,23,FALSE),0)+IFERROR(VLOOKUP($B5,Junn25,23,FALSE),0)+IFERROR(VLOOKUP($B5,Jull25,23,FALSE),0)+IFERROR(VLOOKUP($B5,Augg25,23,FALSE),0)+IFERROR(VLOOKUP($B5,Sepp25,23,FALSE),0)+IFERROR(VLOOKUP($B5,Octt25,23,FALSE),0)+IFERROR(VLOOKUP($B5,Novv25,23,FALSE),0)+IFERROR(VLOOKUP($B5,Decc25,23,FALSE),0)+IFERROR(VLOOKUP($B5,Jann26,23,FALSE),0)+IFERROR(VLOOKUP($B5,Febb26,23,FALSE),0)+IFERROR(VLOOKUP($B5,Marr26,23,FALSE),0)</f>
        <v>0</v>
      </c>
      <c r="R5" s="275">
        <f t="shared" ref="R5:R39" si="12">IFERROR(VLOOKUP($B5,Aprr25,24,FALSE),0)+IFERROR(VLOOKUP($B5,Mayy25,24,FALSE),0)+IFERROR(VLOOKUP($B5,Junn25,24,FALSE),0)+IFERROR(VLOOKUP($B5,Jull25,24,FALSE),0)+IFERROR(VLOOKUP($B5,Augg25,24,FALSE),0)+IFERROR(VLOOKUP($B5,Sepp25,24,FALSE),0)+IFERROR(VLOOKUP($B5,Octt25,24,FALSE),0)+IFERROR(VLOOKUP($B5,Novv25,24,FALSE),0)+IFERROR(VLOOKUP($B5,Decc25,24,FALSE),0)+IFERROR(VLOOKUP($B5,Jann26,24,FALSE),0)+IFERROR(VLOOKUP($B5,Febb26,24,FALSE),0)+IFERROR(VLOOKUP($B5,Marr26,24,FALSE),0)+IFERROR(VLOOKUP($B5,Aprr25,25,FALSE),0)+IFERROR(VLOOKUP($B5,Mayy25,25,FALSE),0)+IFERROR(VLOOKUP($B5,Junn25,25,FALSE),0)+IFERROR(VLOOKUP($B5,Jull25,25,FALSE),0)+IFERROR(VLOOKUP($B5,Augg25,25,FALSE),0)+IFERROR(VLOOKUP($B5,Sepp25,25,FALSE),0)+IFERROR(VLOOKUP($B5,Octt25,25,FALSE),0)+IFERROR(VLOOKUP($B5,Novv25,25,FALSE),0)+IFERROR(VLOOKUP($B5,Decc25,25,FALSE),0)+IFERROR(VLOOKUP($B5,Jann26,25,FALSE),0)+IFERROR(VLOOKUP($B5,Febb26,25,FALSE),0)+IFERROR(VLOOKUP($B5,Marr26,25,FALSE),0)</f>
        <v>0</v>
      </c>
      <c r="S5" s="275">
        <f t="shared" ref="S5:S39" si="13">IFERROR(VLOOKUP($B5,Aprr25,26,FALSE),0)+IFERROR(VLOOKUP($B5,Mayy25,26,FALSE),0)+IFERROR(VLOOKUP($B5,Junn25,26,FALSE),0)+IFERROR(VLOOKUP($B5,Jull25,26,FALSE),0)+IFERROR(VLOOKUP($B5,Augg25,26,FALSE),0)+IFERROR(VLOOKUP($B5,Sepp25,26,FALSE),0)+IFERROR(VLOOKUP($B5,Octt25,26,FALSE),0)+IFERROR(VLOOKUP($B5,Novv25,26,FALSE),0)+IFERROR(VLOOKUP($B5,Decc25,26,FALSE),0)+IFERROR(VLOOKUP($B5,Jann26,26,FALSE),0)+IFERROR(VLOOKUP($B5,Febb26,26,FALSE),0)+IFERROR(VLOOKUP($B5,Marr26,26,FALSE),0)</f>
        <v>800</v>
      </c>
      <c r="T5" s="234">
        <f t="shared" ref="T5:T39" si="14">IFERROR(VLOOKUP($B5,Aprr25,28,FALSE),0)+IFERROR(VLOOKUP($B5,Mayy25,28,FALSE),0)+IFERROR(VLOOKUP($B5,Junn25,28,FALSE),0)+IFERROR(VLOOKUP($B5,Jull25,28,FALSE),0)+IFERROR(VLOOKUP($B5,Augg25,28,FALSE),0)+IFERROR(VLOOKUP($B5,Sepp25,28,FALSE),0)+IFERROR(VLOOKUP($B5,Octt25,28,FALSE),0)+IFERROR(VLOOKUP($B5,Novv25,28,FALSE),0)+IFERROR(VLOOKUP($B5,Decc25,28,FALSE),0)+IFERROR(VLOOKUP($B5,Jann26,28,FALSE),0)+IFERROR(VLOOKUP($B5,Febb26,28,FALSE),0)+IFERROR(VLOOKUP($B5,Marr26,28,FALSE),0)</f>
        <v>0</v>
      </c>
      <c r="U5" s="284">
        <f>IFERROR(P5-Q5-R5-S5-T5,"")</f>
        <v>303200</v>
      </c>
      <c r="X5" s="33">
        <f>IFERROR(VLOOKUP($B5,Salary_Master!B5:AH39,25,)*12,"")</f>
        <v>888000</v>
      </c>
      <c r="Y5" s="284" cm="1">
        <f t="array" ref="Y5">IFERROR(_xlfn.IFS(X5&gt;1275000,(X5-1275000)*104%,X5&lt;=1275000,0),)</f>
        <v>0</v>
      </c>
    </row>
    <row r="6" spans="1:28" s="33" customFormat="1" ht="25.2" customHeight="1" x14ac:dyDescent="0.3">
      <c r="A6" s="235">
        <v>2</v>
      </c>
      <c r="B6" s="247" t="str">
        <f>IF(Salary_Master!B6="","",Salary_Master!B6)</f>
        <v>Ramesh Poojari</v>
      </c>
      <c r="C6" s="236"/>
      <c r="D6" s="278">
        <f t="shared" si="0"/>
        <v>35500</v>
      </c>
      <c r="E6" s="280">
        <f t="shared" si="1"/>
        <v>35500</v>
      </c>
      <c r="F6" s="280">
        <f t="shared" si="2"/>
        <v>37500</v>
      </c>
      <c r="G6" s="280">
        <f t="shared" ref="G6:G39" si="15">IFERROR(VLOOKUP($B6,Jull25,21,FALSE),0)</f>
        <v>37500</v>
      </c>
      <c r="H6" s="280">
        <f t="shared" si="3"/>
        <v>0</v>
      </c>
      <c r="I6" s="280">
        <f t="shared" si="4"/>
        <v>0</v>
      </c>
      <c r="J6" s="280">
        <f t="shared" si="5"/>
        <v>0</v>
      </c>
      <c r="K6" s="280">
        <f t="shared" si="6"/>
        <v>0</v>
      </c>
      <c r="L6" s="280">
        <f t="shared" si="7"/>
        <v>0</v>
      </c>
      <c r="M6" s="280">
        <f t="shared" si="8"/>
        <v>0</v>
      </c>
      <c r="N6" s="280">
        <f t="shared" si="9"/>
        <v>0</v>
      </c>
      <c r="O6" s="280">
        <f t="shared" si="10"/>
        <v>0</v>
      </c>
      <c r="P6" s="237">
        <f t="shared" ref="P6:P39" si="16">SUM(D6:O6)</f>
        <v>146000</v>
      </c>
      <c r="Q6" s="275">
        <f t="shared" si="11"/>
        <v>0</v>
      </c>
      <c r="R6" s="275">
        <f t="shared" si="12"/>
        <v>0</v>
      </c>
      <c r="S6" s="275">
        <f t="shared" si="13"/>
        <v>800</v>
      </c>
      <c r="T6" s="238">
        <f t="shared" si="14"/>
        <v>0</v>
      </c>
      <c r="U6" s="285">
        <f>IFERROR(P6-Q6-R6-S6-T6,"")</f>
        <v>145200</v>
      </c>
      <c r="X6" s="33">
        <f>IFERROR(VLOOKUP($B6,Salary_Master!B6:AH40,25,)*12,"")</f>
        <v>426000</v>
      </c>
      <c r="Y6" s="285" cm="1">
        <f t="array" ref="Y6">IFERROR(_xlfn.IFS(X6&gt;1275000,(X6-1275000)*104%,X6&lt;=1275000,0),)</f>
        <v>0</v>
      </c>
    </row>
    <row r="7" spans="1:28" s="33" customFormat="1" ht="25.2" customHeight="1" x14ac:dyDescent="0.3">
      <c r="A7" s="235">
        <v>3</v>
      </c>
      <c r="B7" s="247" t="str">
        <f>IF(Salary_Master!B7="","",Salary_Master!B7)</f>
        <v>Rajan Fernandes</v>
      </c>
      <c r="C7" s="239"/>
      <c r="D7" s="278">
        <f t="shared" si="0"/>
        <v>57500</v>
      </c>
      <c r="E7" s="280">
        <f t="shared" si="1"/>
        <v>57500</v>
      </c>
      <c r="F7" s="280">
        <f t="shared" si="2"/>
        <v>60500</v>
      </c>
      <c r="G7" s="280">
        <f t="shared" si="15"/>
        <v>60500</v>
      </c>
      <c r="H7" s="280">
        <f t="shared" si="3"/>
        <v>0</v>
      </c>
      <c r="I7" s="280">
        <f t="shared" si="4"/>
        <v>0</v>
      </c>
      <c r="J7" s="280">
        <f t="shared" si="5"/>
        <v>0</v>
      </c>
      <c r="K7" s="280">
        <f t="shared" si="6"/>
        <v>0</v>
      </c>
      <c r="L7" s="280">
        <f t="shared" si="7"/>
        <v>0</v>
      </c>
      <c r="M7" s="280">
        <f t="shared" si="8"/>
        <v>0</v>
      </c>
      <c r="N7" s="280">
        <f t="shared" si="9"/>
        <v>0</v>
      </c>
      <c r="O7" s="280">
        <f t="shared" si="10"/>
        <v>0</v>
      </c>
      <c r="P7" s="237">
        <f t="shared" si="16"/>
        <v>236000</v>
      </c>
      <c r="Q7" s="275">
        <f t="shared" si="11"/>
        <v>0</v>
      </c>
      <c r="R7" s="275">
        <f t="shared" si="12"/>
        <v>0</v>
      </c>
      <c r="S7" s="275">
        <f t="shared" si="13"/>
        <v>800</v>
      </c>
      <c r="T7" s="238">
        <f t="shared" si="14"/>
        <v>0</v>
      </c>
      <c r="U7" s="285">
        <f t="shared" ref="U7:U39" si="17">IFERROR(P7-Q7-R7-S7-T7,"")</f>
        <v>235200</v>
      </c>
      <c r="X7" s="33">
        <f>IFERROR(VLOOKUP($B7,Salary_Master!B7:AH41,25,)*12,"")</f>
        <v>690000</v>
      </c>
      <c r="Y7" s="285" cm="1">
        <f t="array" ref="Y7">IFERROR(_xlfn.IFS(X7&gt;1275000,(X7-1275000)*104%,X7&lt;=1275000,0),)</f>
        <v>0</v>
      </c>
      <c r="Z7" s="265"/>
    </row>
    <row r="8" spans="1:28" s="33" customFormat="1" ht="25.2" customHeight="1" x14ac:dyDescent="0.3">
      <c r="A8" s="235">
        <v>4</v>
      </c>
      <c r="B8" s="247" t="str">
        <f>IF(Salary_Master!B8="","",Salary_Master!B8)</f>
        <v>Sanjay Jadhav</v>
      </c>
      <c r="C8" s="236"/>
      <c r="D8" s="278">
        <f t="shared" si="0"/>
        <v>27000</v>
      </c>
      <c r="E8" s="280">
        <f t="shared" si="1"/>
        <v>27000</v>
      </c>
      <c r="F8" s="280">
        <f t="shared" si="2"/>
        <v>28000</v>
      </c>
      <c r="G8" s="280">
        <f t="shared" si="15"/>
        <v>28000</v>
      </c>
      <c r="H8" s="280">
        <f t="shared" si="3"/>
        <v>0</v>
      </c>
      <c r="I8" s="280">
        <f t="shared" si="4"/>
        <v>0</v>
      </c>
      <c r="J8" s="280">
        <f t="shared" si="5"/>
        <v>0</v>
      </c>
      <c r="K8" s="280">
        <f t="shared" si="6"/>
        <v>0</v>
      </c>
      <c r="L8" s="280">
        <f t="shared" si="7"/>
        <v>0</v>
      </c>
      <c r="M8" s="280">
        <f t="shared" si="8"/>
        <v>0</v>
      </c>
      <c r="N8" s="280">
        <f t="shared" si="9"/>
        <v>0</v>
      </c>
      <c r="O8" s="280">
        <f t="shared" si="10"/>
        <v>0</v>
      </c>
      <c r="P8" s="237">
        <f t="shared" si="16"/>
        <v>110000</v>
      </c>
      <c r="Q8" s="275">
        <f t="shared" si="11"/>
        <v>14400</v>
      </c>
      <c r="R8" s="275">
        <f t="shared" si="12"/>
        <v>0</v>
      </c>
      <c r="S8" s="275">
        <f t="shared" si="13"/>
        <v>800</v>
      </c>
      <c r="T8" s="238">
        <f t="shared" si="14"/>
        <v>0</v>
      </c>
      <c r="U8" s="285">
        <f t="shared" si="17"/>
        <v>94800</v>
      </c>
      <c r="X8" s="33">
        <f>IFERROR(VLOOKUP($B8,Salary_Master!B8:AH42,25,)*12,"")</f>
        <v>324000</v>
      </c>
      <c r="Y8" s="285" cm="1">
        <f t="array" ref="Y8">IFERROR(_xlfn.IFS(X8&gt;1275000,(X8-1275000)*104%,X8&lt;=1275000,0),)</f>
        <v>0</v>
      </c>
    </row>
    <row r="9" spans="1:28" s="33" customFormat="1" ht="25.2" customHeight="1" x14ac:dyDescent="0.3">
      <c r="A9" s="235">
        <v>5</v>
      </c>
      <c r="B9" s="247" t="str">
        <f>IF(Salary_Master!B9="","",Salary_Master!B9)</f>
        <v>Darshana Bhagat</v>
      </c>
      <c r="C9" s="236"/>
      <c r="D9" s="278">
        <f t="shared" si="0"/>
        <v>35500</v>
      </c>
      <c r="E9" s="280">
        <f t="shared" si="1"/>
        <v>35500</v>
      </c>
      <c r="F9" s="280">
        <f t="shared" si="2"/>
        <v>37500</v>
      </c>
      <c r="G9" s="280">
        <f t="shared" si="15"/>
        <v>37500</v>
      </c>
      <c r="H9" s="280">
        <f t="shared" si="3"/>
        <v>0</v>
      </c>
      <c r="I9" s="280">
        <f t="shared" si="4"/>
        <v>0</v>
      </c>
      <c r="J9" s="280">
        <f t="shared" si="5"/>
        <v>0</v>
      </c>
      <c r="K9" s="280">
        <f t="shared" si="6"/>
        <v>0</v>
      </c>
      <c r="L9" s="280">
        <f t="shared" si="7"/>
        <v>0</v>
      </c>
      <c r="M9" s="280">
        <f t="shared" si="8"/>
        <v>0</v>
      </c>
      <c r="N9" s="280">
        <f t="shared" si="9"/>
        <v>0</v>
      </c>
      <c r="O9" s="280">
        <f t="shared" si="10"/>
        <v>0</v>
      </c>
      <c r="P9" s="237">
        <f t="shared" si="16"/>
        <v>146000</v>
      </c>
      <c r="Q9" s="275">
        <f t="shared" si="11"/>
        <v>0</v>
      </c>
      <c r="R9" s="275">
        <f t="shared" si="12"/>
        <v>0</v>
      </c>
      <c r="S9" s="275">
        <f t="shared" si="13"/>
        <v>800</v>
      </c>
      <c r="T9" s="238">
        <f t="shared" si="14"/>
        <v>0</v>
      </c>
      <c r="U9" s="285">
        <f t="shared" si="17"/>
        <v>145200</v>
      </c>
      <c r="X9" s="33">
        <f>IFERROR(VLOOKUP($B9,Salary_Master!B9:AH43,25,)*12,"")</f>
        <v>426000</v>
      </c>
      <c r="Y9" s="285" cm="1">
        <f t="array" ref="Y9">IFERROR(_xlfn.IFS(X9&gt;1275000,(X9-1275000)*104%,X9&lt;=1275000,0),)</f>
        <v>0</v>
      </c>
    </row>
    <row r="10" spans="1:28" s="33" customFormat="1" ht="25.2" customHeight="1" x14ac:dyDescent="0.3">
      <c r="A10" s="235">
        <v>6</v>
      </c>
      <c r="B10" s="247" t="str">
        <f>IF(Salary_Master!B10="","",Salary_Master!B10)</f>
        <v>Kavita Sawant</v>
      </c>
      <c r="C10" s="236"/>
      <c r="D10" s="278">
        <f t="shared" si="0"/>
        <v>70200</v>
      </c>
      <c r="E10" s="280">
        <f t="shared" si="1"/>
        <v>70200</v>
      </c>
      <c r="F10" s="280">
        <f t="shared" si="2"/>
        <v>74000</v>
      </c>
      <c r="G10" s="280">
        <f t="shared" si="15"/>
        <v>74000</v>
      </c>
      <c r="H10" s="280">
        <f t="shared" si="3"/>
        <v>0</v>
      </c>
      <c r="I10" s="280">
        <f t="shared" si="4"/>
        <v>0</v>
      </c>
      <c r="J10" s="280">
        <f t="shared" si="5"/>
        <v>0</v>
      </c>
      <c r="K10" s="280">
        <f t="shared" si="6"/>
        <v>0</v>
      </c>
      <c r="L10" s="280">
        <f t="shared" si="7"/>
        <v>0</v>
      </c>
      <c r="M10" s="280">
        <f t="shared" si="8"/>
        <v>0</v>
      </c>
      <c r="N10" s="280">
        <f t="shared" si="9"/>
        <v>0</v>
      </c>
      <c r="O10" s="280">
        <f t="shared" si="10"/>
        <v>0</v>
      </c>
      <c r="P10" s="237">
        <f t="shared" si="16"/>
        <v>288400</v>
      </c>
      <c r="Q10" s="275">
        <f t="shared" si="11"/>
        <v>0</v>
      </c>
      <c r="R10" s="275">
        <f t="shared" si="12"/>
        <v>0</v>
      </c>
      <c r="S10" s="275">
        <f t="shared" si="13"/>
        <v>800</v>
      </c>
      <c r="T10" s="238">
        <f t="shared" si="14"/>
        <v>0</v>
      </c>
      <c r="U10" s="285">
        <f t="shared" si="17"/>
        <v>287600</v>
      </c>
      <c r="X10" s="33">
        <f>IFERROR(VLOOKUP($B10,Salary_Master!B10:AH44,25,)*12,"")</f>
        <v>842400</v>
      </c>
      <c r="Y10" s="285" cm="1">
        <f t="array" ref="Y10">IFERROR(_xlfn.IFS(X10&gt;1275000,(X10-1275000)*104%,X10&lt;=1275000,0),)</f>
        <v>0</v>
      </c>
    </row>
    <row r="11" spans="1:28" s="33" customFormat="1" ht="25.2" customHeight="1" x14ac:dyDescent="0.3">
      <c r="A11" s="235">
        <v>7</v>
      </c>
      <c r="B11" s="247" t="str">
        <f>IF(Salary_Master!B11="","",Salary_Master!B11)</f>
        <v>Pankajkumar Chodhary</v>
      </c>
      <c r="C11" s="236"/>
      <c r="D11" s="278">
        <f t="shared" si="0"/>
        <v>44000</v>
      </c>
      <c r="E11" s="280">
        <f t="shared" si="1"/>
        <v>44000</v>
      </c>
      <c r="F11" s="280">
        <f t="shared" si="2"/>
        <v>46000</v>
      </c>
      <c r="G11" s="280">
        <f t="shared" si="15"/>
        <v>46000</v>
      </c>
      <c r="H11" s="280">
        <f t="shared" si="3"/>
        <v>0</v>
      </c>
      <c r="I11" s="280">
        <f t="shared" si="4"/>
        <v>0</v>
      </c>
      <c r="J11" s="280">
        <f t="shared" si="5"/>
        <v>0</v>
      </c>
      <c r="K11" s="280">
        <f t="shared" si="6"/>
        <v>0</v>
      </c>
      <c r="L11" s="280">
        <f t="shared" si="7"/>
        <v>0</v>
      </c>
      <c r="M11" s="280">
        <f t="shared" si="8"/>
        <v>0</v>
      </c>
      <c r="N11" s="280">
        <f t="shared" si="9"/>
        <v>0</v>
      </c>
      <c r="O11" s="280">
        <f t="shared" si="10"/>
        <v>0</v>
      </c>
      <c r="P11" s="237">
        <f t="shared" si="16"/>
        <v>180000</v>
      </c>
      <c r="Q11" s="275">
        <f t="shared" si="11"/>
        <v>0</v>
      </c>
      <c r="R11" s="275">
        <f t="shared" si="12"/>
        <v>0</v>
      </c>
      <c r="S11" s="275">
        <f t="shared" si="13"/>
        <v>800</v>
      </c>
      <c r="T11" s="238">
        <f t="shared" si="14"/>
        <v>0</v>
      </c>
      <c r="U11" s="285">
        <f t="shared" si="17"/>
        <v>179200</v>
      </c>
      <c r="X11" s="33">
        <f>IFERROR(VLOOKUP($B11,Salary_Master!B11:AH45,25,)*12,"")</f>
        <v>528000</v>
      </c>
      <c r="Y11" s="285" cm="1">
        <f t="array" ref="Y11">IFERROR(_xlfn.IFS(X11&gt;1275000,(X11-1275000)*104%,X11&lt;=1275000,0),)</f>
        <v>0</v>
      </c>
    </row>
    <row r="12" spans="1:28" s="45" customFormat="1" ht="25.2" customHeight="1" x14ac:dyDescent="0.3">
      <c r="A12" s="240">
        <v>8</v>
      </c>
      <c r="B12" s="247" t="str">
        <f>IF(Salary_Master!B12="","",Salary_Master!B12)</f>
        <v>Komal Patil</v>
      </c>
      <c r="C12" s="236"/>
      <c r="D12" s="278">
        <f t="shared" si="0"/>
        <v>76500</v>
      </c>
      <c r="E12" s="280">
        <f t="shared" si="1"/>
        <v>76500</v>
      </c>
      <c r="F12" s="280">
        <f t="shared" si="2"/>
        <v>80000</v>
      </c>
      <c r="G12" s="280">
        <f t="shared" si="15"/>
        <v>74839</v>
      </c>
      <c r="H12" s="280">
        <f t="shared" si="3"/>
        <v>0</v>
      </c>
      <c r="I12" s="280">
        <f t="shared" si="4"/>
        <v>0</v>
      </c>
      <c r="J12" s="280">
        <f t="shared" si="5"/>
        <v>0</v>
      </c>
      <c r="K12" s="280">
        <f t="shared" si="6"/>
        <v>0</v>
      </c>
      <c r="L12" s="280">
        <f t="shared" si="7"/>
        <v>0</v>
      </c>
      <c r="M12" s="280">
        <f t="shared" si="8"/>
        <v>0</v>
      </c>
      <c r="N12" s="280">
        <f t="shared" si="9"/>
        <v>0</v>
      </c>
      <c r="O12" s="280">
        <f t="shared" si="10"/>
        <v>0</v>
      </c>
      <c r="P12" s="237">
        <f t="shared" si="16"/>
        <v>307839</v>
      </c>
      <c r="Q12" s="275">
        <f t="shared" si="11"/>
        <v>0</v>
      </c>
      <c r="R12" s="275">
        <f t="shared" si="12"/>
        <v>0</v>
      </c>
      <c r="S12" s="275">
        <f t="shared" si="13"/>
        <v>800</v>
      </c>
      <c r="T12" s="238">
        <f t="shared" si="14"/>
        <v>0</v>
      </c>
      <c r="U12" s="285">
        <f t="shared" si="17"/>
        <v>307039</v>
      </c>
      <c r="X12" s="33">
        <f>IFERROR(VLOOKUP($B12,Salary_Master!B12:AH46,25,)*12,"")</f>
        <v>918000</v>
      </c>
      <c r="Y12" s="285" cm="1">
        <f t="array" ref="Y12">IFERROR(_xlfn.IFS(X12&gt;1275000,(X12-1275000)*104%,X12&lt;=1275000,0),)</f>
        <v>0</v>
      </c>
    </row>
    <row r="13" spans="1:28" s="45" customFormat="1" ht="25.2" customHeight="1" x14ac:dyDescent="0.3">
      <c r="A13" s="240">
        <v>9</v>
      </c>
      <c r="B13" s="247" t="str">
        <f>IF(Salary_Master!B13="","",Salary_Master!B13)</f>
        <v>Ankit Parmar</v>
      </c>
      <c r="C13" s="236"/>
      <c r="D13" s="278">
        <f t="shared" si="0"/>
        <v>45000</v>
      </c>
      <c r="E13" s="280">
        <f t="shared" si="1"/>
        <v>45000</v>
      </c>
      <c r="F13" s="280">
        <f t="shared" si="2"/>
        <v>47500</v>
      </c>
      <c r="G13" s="280">
        <f t="shared" si="15"/>
        <v>47500</v>
      </c>
      <c r="H13" s="280">
        <f t="shared" si="3"/>
        <v>0</v>
      </c>
      <c r="I13" s="280">
        <f t="shared" si="4"/>
        <v>0</v>
      </c>
      <c r="J13" s="280">
        <f t="shared" si="5"/>
        <v>0</v>
      </c>
      <c r="K13" s="280">
        <f t="shared" si="6"/>
        <v>0</v>
      </c>
      <c r="L13" s="280">
        <f t="shared" si="7"/>
        <v>0</v>
      </c>
      <c r="M13" s="280">
        <f t="shared" si="8"/>
        <v>0</v>
      </c>
      <c r="N13" s="280">
        <f t="shared" si="9"/>
        <v>0</v>
      </c>
      <c r="O13" s="280">
        <f t="shared" si="10"/>
        <v>0</v>
      </c>
      <c r="P13" s="237">
        <f t="shared" si="16"/>
        <v>185000</v>
      </c>
      <c r="Q13" s="275">
        <f t="shared" si="11"/>
        <v>0</v>
      </c>
      <c r="R13" s="275">
        <f t="shared" si="12"/>
        <v>0</v>
      </c>
      <c r="S13" s="275">
        <f t="shared" si="13"/>
        <v>800</v>
      </c>
      <c r="T13" s="238">
        <f t="shared" si="14"/>
        <v>0</v>
      </c>
      <c r="U13" s="285">
        <f t="shared" si="17"/>
        <v>184200</v>
      </c>
      <c r="X13" s="33">
        <f>IFERROR(VLOOKUP($B13,Salary_Master!B13:AH47,25,)*12,"")</f>
        <v>540000</v>
      </c>
      <c r="Y13" s="285" cm="1">
        <f t="array" ref="Y13">IFERROR(_xlfn.IFS(X13&gt;1275000,(X13-1275000)*104%,X13&lt;=1275000,0),)</f>
        <v>0</v>
      </c>
    </row>
    <row r="14" spans="1:28" s="33" customFormat="1" ht="25.2" customHeight="1" x14ac:dyDescent="0.3">
      <c r="A14" s="235">
        <v>10</v>
      </c>
      <c r="B14" s="247" t="str">
        <f>IF(Salary_Master!B14="","",Salary_Master!B14)</f>
        <v>Jayesh Chogle</v>
      </c>
      <c r="C14" s="236"/>
      <c r="D14" s="278">
        <f t="shared" si="0"/>
        <v>42500</v>
      </c>
      <c r="E14" s="280">
        <f t="shared" si="1"/>
        <v>42500</v>
      </c>
      <c r="F14" s="280">
        <f t="shared" si="2"/>
        <v>45000</v>
      </c>
      <c r="G14" s="280">
        <f t="shared" si="15"/>
        <v>45000</v>
      </c>
      <c r="H14" s="280">
        <f t="shared" si="3"/>
        <v>0</v>
      </c>
      <c r="I14" s="280">
        <f t="shared" si="4"/>
        <v>0</v>
      </c>
      <c r="J14" s="280">
        <f t="shared" si="5"/>
        <v>0</v>
      </c>
      <c r="K14" s="280">
        <f t="shared" si="6"/>
        <v>0</v>
      </c>
      <c r="L14" s="280">
        <f t="shared" si="7"/>
        <v>0</v>
      </c>
      <c r="M14" s="280">
        <f t="shared" si="8"/>
        <v>0</v>
      </c>
      <c r="N14" s="280">
        <f t="shared" si="9"/>
        <v>0</v>
      </c>
      <c r="O14" s="280">
        <f t="shared" si="10"/>
        <v>0</v>
      </c>
      <c r="P14" s="237">
        <f t="shared" si="16"/>
        <v>175000</v>
      </c>
      <c r="Q14" s="275">
        <f t="shared" si="11"/>
        <v>0</v>
      </c>
      <c r="R14" s="275">
        <f t="shared" si="12"/>
        <v>0</v>
      </c>
      <c r="S14" s="275">
        <f t="shared" si="13"/>
        <v>800</v>
      </c>
      <c r="T14" s="238">
        <f t="shared" si="14"/>
        <v>0</v>
      </c>
      <c r="U14" s="285">
        <f t="shared" si="17"/>
        <v>174200</v>
      </c>
      <c r="X14" s="33">
        <f>IFERROR(VLOOKUP($B14,Salary_Master!B14:AH48,25,)*12,"")</f>
        <v>510000</v>
      </c>
      <c r="Y14" s="285" cm="1">
        <f t="array" ref="Y14">IFERROR(_xlfn.IFS(X14&gt;1275000,(X14-1275000)*104%,X14&lt;=1275000,0),)</f>
        <v>0</v>
      </c>
    </row>
    <row r="15" spans="1:28" s="33" customFormat="1" ht="25.2" customHeight="1" x14ac:dyDescent="0.3">
      <c r="A15" s="235">
        <v>11</v>
      </c>
      <c r="B15" s="247" t="str">
        <f>IF(Salary_Master!B15="","",Salary_Master!B15)</f>
        <v>Aparna Raithatha</v>
      </c>
      <c r="C15" s="239"/>
      <c r="D15" s="278">
        <f t="shared" si="0"/>
        <v>52500</v>
      </c>
      <c r="E15" s="280">
        <f t="shared" si="1"/>
        <v>52500</v>
      </c>
      <c r="F15" s="280">
        <f t="shared" si="2"/>
        <v>55500</v>
      </c>
      <c r="G15" s="280">
        <f t="shared" si="15"/>
        <v>55500</v>
      </c>
      <c r="H15" s="280">
        <f t="shared" si="3"/>
        <v>0</v>
      </c>
      <c r="I15" s="280">
        <f t="shared" si="4"/>
        <v>0</v>
      </c>
      <c r="J15" s="280">
        <f t="shared" si="5"/>
        <v>0</v>
      </c>
      <c r="K15" s="280">
        <f t="shared" si="6"/>
        <v>0</v>
      </c>
      <c r="L15" s="280">
        <f t="shared" si="7"/>
        <v>0</v>
      </c>
      <c r="M15" s="280">
        <f t="shared" si="8"/>
        <v>0</v>
      </c>
      <c r="N15" s="280">
        <f t="shared" si="9"/>
        <v>0</v>
      </c>
      <c r="O15" s="280">
        <f t="shared" si="10"/>
        <v>0</v>
      </c>
      <c r="P15" s="237">
        <f t="shared" si="16"/>
        <v>216000</v>
      </c>
      <c r="Q15" s="275">
        <f t="shared" si="11"/>
        <v>0</v>
      </c>
      <c r="R15" s="275">
        <f t="shared" si="12"/>
        <v>0</v>
      </c>
      <c r="S15" s="275">
        <f t="shared" si="13"/>
        <v>800</v>
      </c>
      <c r="T15" s="238">
        <f t="shared" si="14"/>
        <v>0</v>
      </c>
      <c r="U15" s="285">
        <f t="shared" si="17"/>
        <v>215200</v>
      </c>
      <c r="X15" s="33">
        <f>IFERROR(VLOOKUP($B15,Salary_Master!B15:AH49,25,)*12,"")</f>
        <v>630000</v>
      </c>
      <c r="Y15" s="285" cm="1">
        <f t="array" ref="Y15">IFERROR(_xlfn.IFS(X15&gt;1275000,(X15-1275000)*104%,X15&lt;=1275000,0),)</f>
        <v>0</v>
      </c>
    </row>
    <row r="16" spans="1:28" s="33" customFormat="1" ht="25.2" customHeight="1" x14ac:dyDescent="0.3">
      <c r="A16" s="235">
        <v>12</v>
      </c>
      <c r="B16" s="247" t="str">
        <f>IF(Salary_Master!B16="","",Salary_Master!B16)</f>
        <v>Ravin Gaikwad</v>
      </c>
      <c r="C16" s="236"/>
      <c r="D16" s="278">
        <f t="shared" si="0"/>
        <v>55000</v>
      </c>
      <c r="E16" s="280">
        <f t="shared" si="1"/>
        <v>55000</v>
      </c>
      <c r="F16" s="280">
        <f t="shared" si="2"/>
        <v>60000</v>
      </c>
      <c r="G16" s="280">
        <f t="shared" si="15"/>
        <v>60000</v>
      </c>
      <c r="H16" s="280">
        <f t="shared" si="3"/>
        <v>0</v>
      </c>
      <c r="I16" s="280">
        <f t="shared" si="4"/>
        <v>0</v>
      </c>
      <c r="J16" s="280">
        <f t="shared" si="5"/>
        <v>0</v>
      </c>
      <c r="K16" s="280">
        <f t="shared" si="6"/>
        <v>0</v>
      </c>
      <c r="L16" s="280">
        <f t="shared" si="7"/>
        <v>0</v>
      </c>
      <c r="M16" s="280">
        <f t="shared" si="8"/>
        <v>0</v>
      </c>
      <c r="N16" s="280">
        <f t="shared" si="9"/>
        <v>0</v>
      </c>
      <c r="O16" s="280">
        <f t="shared" si="10"/>
        <v>0</v>
      </c>
      <c r="P16" s="237">
        <f t="shared" si="16"/>
        <v>230000</v>
      </c>
      <c r="Q16" s="275">
        <f t="shared" si="11"/>
        <v>14400</v>
      </c>
      <c r="R16" s="275">
        <f t="shared" si="12"/>
        <v>0</v>
      </c>
      <c r="S16" s="275">
        <f t="shared" si="13"/>
        <v>800</v>
      </c>
      <c r="T16" s="238">
        <f t="shared" si="14"/>
        <v>0</v>
      </c>
      <c r="U16" s="285">
        <f t="shared" si="17"/>
        <v>214800</v>
      </c>
      <c r="X16" s="33">
        <f>IFERROR(VLOOKUP($B16,Salary_Master!B16:AH50,25,)*12,"")</f>
        <v>660000</v>
      </c>
      <c r="Y16" s="285" cm="1">
        <f t="array" ref="Y16">IFERROR(_xlfn.IFS(X16&gt;1275000,(X16-1275000)*104%,X16&lt;=1275000,0),)</f>
        <v>0</v>
      </c>
    </row>
    <row r="17" spans="1:25" s="33" customFormat="1" ht="25.2" customHeight="1" x14ac:dyDescent="0.3">
      <c r="A17" s="240">
        <v>13</v>
      </c>
      <c r="B17" s="247" t="str">
        <f>IF(Salary_Master!B17="","",Salary_Master!B17)</f>
        <v>Gaurav Sune</v>
      </c>
      <c r="C17" s="236"/>
      <c r="D17" s="278">
        <f t="shared" si="0"/>
        <v>34000</v>
      </c>
      <c r="E17" s="280">
        <f t="shared" si="1"/>
        <v>34000</v>
      </c>
      <c r="F17" s="280">
        <f t="shared" si="2"/>
        <v>36000</v>
      </c>
      <c r="G17" s="280">
        <f t="shared" si="15"/>
        <v>36000</v>
      </c>
      <c r="H17" s="280">
        <f t="shared" si="3"/>
        <v>0</v>
      </c>
      <c r="I17" s="280">
        <f t="shared" si="4"/>
        <v>0</v>
      </c>
      <c r="J17" s="280">
        <f t="shared" si="5"/>
        <v>0</v>
      </c>
      <c r="K17" s="280">
        <f t="shared" si="6"/>
        <v>0</v>
      </c>
      <c r="L17" s="280">
        <f t="shared" si="7"/>
        <v>0</v>
      </c>
      <c r="M17" s="280">
        <f t="shared" si="8"/>
        <v>0</v>
      </c>
      <c r="N17" s="280">
        <f t="shared" si="9"/>
        <v>0</v>
      </c>
      <c r="O17" s="280">
        <f t="shared" si="10"/>
        <v>0</v>
      </c>
      <c r="P17" s="237">
        <f t="shared" si="16"/>
        <v>140000</v>
      </c>
      <c r="Q17" s="275">
        <f t="shared" si="11"/>
        <v>0</v>
      </c>
      <c r="R17" s="275">
        <f t="shared" si="12"/>
        <v>0</v>
      </c>
      <c r="S17" s="275">
        <f t="shared" si="13"/>
        <v>800</v>
      </c>
      <c r="T17" s="238">
        <f t="shared" si="14"/>
        <v>0</v>
      </c>
      <c r="U17" s="285">
        <f t="shared" si="17"/>
        <v>139200</v>
      </c>
      <c r="X17" s="33">
        <f>IFERROR(VLOOKUP($B17,Salary_Master!B17:AH51,25,)*12,"")</f>
        <v>408000</v>
      </c>
      <c r="Y17" s="285" cm="1">
        <f t="array" ref="Y17">IFERROR(_xlfn.IFS(X17&gt;1275000,(X17-1275000)*104%,X17&lt;=1275000,0),)</f>
        <v>0</v>
      </c>
    </row>
    <row r="18" spans="1:25" s="45" customFormat="1" ht="25.2" customHeight="1" x14ac:dyDescent="0.3">
      <c r="A18" s="235">
        <v>14</v>
      </c>
      <c r="B18" s="247" t="str">
        <f>IF(Salary_Master!B18="","",Salary_Master!B18)</f>
        <v>Hasanulbana Siddiqui</v>
      </c>
      <c r="C18" s="236"/>
      <c r="D18" s="278">
        <f t="shared" si="0"/>
        <v>32500</v>
      </c>
      <c r="E18" s="280">
        <f t="shared" si="1"/>
        <v>32500</v>
      </c>
      <c r="F18" s="280">
        <f t="shared" si="2"/>
        <v>35000</v>
      </c>
      <c r="G18" s="280">
        <f t="shared" si="15"/>
        <v>35000</v>
      </c>
      <c r="H18" s="280">
        <f t="shared" si="3"/>
        <v>0</v>
      </c>
      <c r="I18" s="280">
        <f t="shared" si="4"/>
        <v>0</v>
      </c>
      <c r="J18" s="280">
        <f t="shared" si="5"/>
        <v>0</v>
      </c>
      <c r="K18" s="280">
        <f t="shared" si="6"/>
        <v>0</v>
      </c>
      <c r="L18" s="280">
        <f t="shared" si="7"/>
        <v>0</v>
      </c>
      <c r="M18" s="280">
        <f t="shared" si="8"/>
        <v>0</v>
      </c>
      <c r="N18" s="280">
        <f t="shared" si="9"/>
        <v>0</v>
      </c>
      <c r="O18" s="280">
        <f t="shared" si="10"/>
        <v>0</v>
      </c>
      <c r="P18" s="237">
        <f t="shared" si="16"/>
        <v>135000</v>
      </c>
      <c r="Q18" s="275">
        <f t="shared" si="11"/>
        <v>0</v>
      </c>
      <c r="R18" s="275">
        <f t="shared" si="12"/>
        <v>0</v>
      </c>
      <c r="S18" s="275">
        <f t="shared" si="13"/>
        <v>800</v>
      </c>
      <c r="T18" s="238">
        <f t="shared" si="14"/>
        <v>0</v>
      </c>
      <c r="U18" s="285">
        <f t="shared" si="17"/>
        <v>134200</v>
      </c>
      <c r="X18" s="33">
        <f>IFERROR(VLOOKUP($B18,Salary_Master!B18:AH52,25,)*12,"")</f>
        <v>390000</v>
      </c>
      <c r="Y18" s="285" cm="1">
        <f t="array" ref="Y18">IFERROR(_xlfn.IFS(X18&gt;1275000,(X18-1275000)*104%,X18&lt;=1275000,0),)</f>
        <v>0</v>
      </c>
    </row>
    <row r="19" spans="1:25" s="33" customFormat="1" ht="25.2" customHeight="1" x14ac:dyDescent="0.3">
      <c r="A19" s="235">
        <v>15</v>
      </c>
      <c r="B19" s="247" t="str">
        <f>IF(Salary_Master!B19="","",Salary_Master!B19)</f>
        <v>Aniket Sawant</v>
      </c>
      <c r="C19" s="236"/>
      <c r="D19" s="278">
        <f t="shared" si="0"/>
        <v>58000</v>
      </c>
      <c r="E19" s="280">
        <f t="shared" si="1"/>
        <v>58000</v>
      </c>
      <c r="F19" s="280">
        <f t="shared" si="2"/>
        <v>61000</v>
      </c>
      <c r="G19" s="280">
        <f t="shared" si="15"/>
        <v>61000</v>
      </c>
      <c r="H19" s="280">
        <f t="shared" si="3"/>
        <v>0</v>
      </c>
      <c r="I19" s="280">
        <f t="shared" si="4"/>
        <v>0</v>
      </c>
      <c r="J19" s="280">
        <f t="shared" si="5"/>
        <v>0</v>
      </c>
      <c r="K19" s="280">
        <f t="shared" si="6"/>
        <v>0</v>
      </c>
      <c r="L19" s="280">
        <f t="shared" si="7"/>
        <v>0</v>
      </c>
      <c r="M19" s="280">
        <f t="shared" si="8"/>
        <v>0</v>
      </c>
      <c r="N19" s="280">
        <f t="shared" si="9"/>
        <v>0</v>
      </c>
      <c r="O19" s="280">
        <f t="shared" si="10"/>
        <v>0</v>
      </c>
      <c r="P19" s="237">
        <f t="shared" si="16"/>
        <v>238000</v>
      </c>
      <c r="Q19" s="275">
        <f t="shared" si="11"/>
        <v>0</v>
      </c>
      <c r="R19" s="275">
        <f t="shared" si="12"/>
        <v>0</v>
      </c>
      <c r="S19" s="275">
        <f t="shared" si="13"/>
        <v>800</v>
      </c>
      <c r="T19" s="238">
        <f t="shared" si="14"/>
        <v>0</v>
      </c>
      <c r="U19" s="285">
        <f t="shared" si="17"/>
        <v>237200</v>
      </c>
      <c r="X19" s="33">
        <f>IFERROR(VLOOKUP($B19,Salary_Master!B19:AH53,25,)*12,"")</f>
        <v>696000</v>
      </c>
      <c r="Y19" s="285" cm="1">
        <f t="array" ref="Y19">IFERROR(_xlfn.IFS(X19&gt;1275000,(X19-1275000)*104%,X19&lt;=1275000,0),)</f>
        <v>0</v>
      </c>
    </row>
    <row r="20" spans="1:25" s="33" customFormat="1" ht="25.2" customHeight="1" x14ac:dyDescent="0.3">
      <c r="A20" s="235">
        <v>16</v>
      </c>
      <c r="B20" s="247" t="str">
        <f>IF(Salary_Master!B20="","",Salary_Master!B20)</f>
        <v>Mayur Bhoir</v>
      </c>
      <c r="C20" s="236"/>
      <c r="D20" s="278">
        <f t="shared" si="0"/>
        <v>26500</v>
      </c>
      <c r="E20" s="280">
        <f t="shared" si="1"/>
        <v>26500</v>
      </c>
      <c r="F20" s="280">
        <f t="shared" si="2"/>
        <v>27800</v>
      </c>
      <c r="G20" s="280">
        <f t="shared" si="15"/>
        <v>27800</v>
      </c>
      <c r="H20" s="280">
        <f t="shared" si="3"/>
        <v>0</v>
      </c>
      <c r="I20" s="280">
        <f t="shared" si="4"/>
        <v>0</v>
      </c>
      <c r="J20" s="280">
        <f t="shared" si="5"/>
        <v>0</v>
      </c>
      <c r="K20" s="280">
        <f t="shared" si="6"/>
        <v>0</v>
      </c>
      <c r="L20" s="280">
        <f t="shared" si="7"/>
        <v>0</v>
      </c>
      <c r="M20" s="280">
        <f t="shared" si="8"/>
        <v>0</v>
      </c>
      <c r="N20" s="280">
        <f t="shared" si="9"/>
        <v>0</v>
      </c>
      <c r="O20" s="280">
        <f t="shared" si="10"/>
        <v>0</v>
      </c>
      <c r="P20" s="237">
        <f t="shared" si="16"/>
        <v>108600</v>
      </c>
      <c r="Q20" s="275">
        <f t="shared" si="11"/>
        <v>14400</v>
      </c>
      <c r="R20" s="275">
        <f t="shared" si="12"/>
        <v>0</v>
      </c>
      <c r="S20" s="275">
        <f t="shared" si="13"/>
        <v>800</v>
      </c>
      <c r="T20" s="238">
        <f t="shared" si="14"/>
        <v>0</v>
      </c>
      <c r="U20" s="285">
        <f t="shared" si="17"/>
        <v>93400</v>
      </c>
      <c r="X20" s="33">
        <f>IFERROR(VLOOKUP($B20,Salary_Master!B20:AH54,25,)*12,"")</f>
        <v>318000</v>
      </c>
      <c r="Y20" s="285" cm="1">
        <f t="array" ref="Y20">IFERROR(_xlfn.IFS(X20&gt;1275000,(X20-1275000)*104%,X20&lt;=1275000,0),)</f>
        <v>0</v>
      </c>
    </row>
    <row r="21" spans="1:25" s="33" customFormat="1" ht="25.2" customHeight="1" x14ac:dyDescent="0.3">
      <c r="A21" s="240">
        <v>17</v>
      </c>
      <c r="B21" s="247" t="str">
        <f>IF(Salary_Master!B21="","",Salary_Master!B21)</f>
        <v>Supriya Padel</v>
      </c>
      <c r="C21" s="236"/>
      <c r="D21" s="278">
        <f t="shared" si="0"/>
        <v>15918</v>
      </c>
      <c r="E21" s="280">
        <f t="shared" si="1"/>
        <v>23500</v>
      </c>
      <c r="F21" s="280">
        <f t="shared" si="2"/>
        <v>24700</v>
      </c>
      <c r="G21" s="280">
        <f t="shared" si="15"/>
        <v>24700</v>
      </c>
      <c r="H21" s="280">
        <f t="shared" si="3"/>
        <v>0</v>
      </c>
      <c r="I21" s="280">
        <f t="shared" si="4"/>
        <v>0</v>
      </c>
      <c r="J21" s="280">
        <f t="shared" si="5"/>
        <v>0</v>
      </c>
      <c r="K21" s="280">
        <f t="shared" si="6"/>
        <v>0</v>
      </c>
      <c r="L21" s="280">
        <f t="shared" si="7"/>
        <v>0</v>
      </c>
      <c r="M21" s="280">
        <f t="shared" si="8"/>
        <v>0</v>
      </c>
      <c r="N21" s="280">
        <f t="shared" si="9"/>
        <v>0</v>
      </c>
      <c r="O21" s="280">
        <f t="shared" si="10"/>
        <v>0</v>
      </c>
      <c r="P21" s="237">
        <f t="shared" si="16"/>
        <v>88818</v>
      </c>
      <c r="Q21" s="275">
        <f t="shared" si="11"/>
        <v>14296</v>
      </c>
      <c r="R21" s="275">
        <f t="shared" si="12"/>
        <v>0</v>
      </c>
      <c r="S21" s="275">
        <f t="shared" si="13"/>
        <v>0</v>
      </c>
      <c r="T21" s="238">
        <f t="shared" si="14"/>
        <v>0</v>
      </c>
      <c r="U21" s="285">
        <f t="shared" si="17"/>
        <v>74522</v>
      </c>
      <c r="X21" s="33">
        <f>IFERROR(VLOOKUP($B21,Salary_Master!B21:AH55,25,)*12,"")</f>
        <v>282000</v>
      </c>
      <c r="Y21" s="285" cm="1">
        <f t="array" ref="Y21">IFERROR(_xlfn.IFS(X21&gt;1275000,(X21-1275000)*104%,X21&lt;=1275000,0),)</f>
        <v>0</v>
      </c>
    </row>
    <row r="22" spans="1:25" s="45" customFormat="1" ht="25.2" customHeight="1" x14ac:dyDescent="0.3">
      <c r="A22" s="235">
        <v>18</v>
      </c>
      <c r="B22" s="247" t="str">
        <f>IF(Salary_Master!B22="","",Salary_Master!B22)</f>
        <v>Sagar Kadam</v>
      </c>
      <c r="C22" s="236"/>
      <c r="D22" s="278">
        <f t="shared" si="0"/>
        <v>18250</v>
      </c>
      <c r="E22" s="280">
        <f t="shared" si="1"/>
        <v>18250</v>
      </c>
      <c r="F22" s="280">
        <f t="shared" si="2"/>
        <v>19250</v>
      </c>
      <c r="G22" s="280">
        <f t="shared" si="15"/>
        <v>19250</v>
      </c>
      <c r="H22" s="280">
        <f t="shared" si="3"/>
        <v>0</v>
      </c>
      <c r="I22" s="280">
        <f t="shared" si="4"/>
        <v>0</v>
      </c>
      <c r="J22" s="280">
        <f t="shared" si="5"/>
        <v>0</v>
      </c>
      <c r="K22" s="280">
        <f t="shared" si="6"/>
        <v>0</v>
      </c>
      <c r="L22" s="280">
        <f t="shared" si="7"/>
        <v>0</v>
      </c>
      <c r="M22" s="280">
        <f t="shared" si="8"/>
        <v>0</v>
      </c>
      <c r="N22" s="280">
        <f t="shared" si="9"/>
        <v>0</v>
      </c>
      <c r="O22" s="280">
        <f t="shared" si="10"/>
        <v>0</v>
      </c>
      <c r="P22" s="237">
        <f t="shared" si="16"/>
        <v>75000</v>
      </c>
      <c r="Q22" s="275">
        <f t="shared" si="11"/>
        <v>7200</v>
      </c>
      <c r="R22" s="275">
        <f t="shared" si="12"/>
        <v>562</v>
      </c>
      <c r="S22" s="275">
        <f t="shared" si="13"/>
        <v>800</v>
      </c>
      <c r="T22" s="238">
        <f t="shared" si="14"/>
        <v>0</v>
      </c>
      <c r="U22" s="285">
        <f t="shared" si="17"/>
        <v>66438</v>
      </c>
      <c r="X22" s="33">
        <f>IFERROR(VLOOKUP($B22,Salary_Master!B22:AH56,25,)*12,"")</f>
        <v>219000</v>
      </c>
      <c r="Y22" s="285" cm="1">
        <f t="array" ref="Y22">IFERROR(_xlfn.IFS(X22&gt;1275000,(X22-1275000)*104%,X22&lt;=1275000,0),)</f>
        <v>0</v>
      </c>
    </row>
    <row r="23" spans="1:25" s="33" customFormat="1" ht="25.2" customHeight="1" x14ac:dyDescent="0.3">
      <c r="A23" s="235">
        <v>19</v>
      </c>
      <c r="B23" s="247" t="str">
        <f>IF(Salary_Master!B23="","",Salary_Master!B23)</f>
        <v>Rahul Jadhav</v>
      </c>
      <c r="C23" s="236"/>
      <c r="D23" s="278">
        <f t="shared" si="0"/>
        <v>18750</v>
      </c>
      <c r="E23" s="280">
        <f t="shared" si="1"/>
        <v>18750</v>
      </c>
      <c r="F23" s="280">
        <f t="shared" si="2"/>
        <v>19750</v>
      </c>
      <c r="G23" s="280">
        <f t="shared" si="15"/>
        <v>19750</v>
      </c>
      <c r="H23" s="280">
        <f t="shared" si="3"/>
        <v>0</v>
      </c>
      <c r="I23" s="280">
        <f t="shared" si="4"/>
        <v>0</v>
      </c>
      <c r="J23" s="280">
        <f t="shared" si="5"/>
        <v>0</v>
      </c>
      <c r="K23" s="280">
        <f t="shared" si="6"/>
        <v>0</v>
      </c>
      <c r="L23" s="280">
        <f t="shared" si="7"/>
        <v>0</v>
      </c>
      <c r="M23" s="280">
        <f t="shared" si="8"/>
        <v>0</v>
      </c>
      <c r="N23" s="280">
        <f t="shared" si="9"/>
        <v>0</v>
      </c>
      <c r="O23" s="280">
        <f t="shared" si="10"/>
        <v>0</v>
      </c>
      <c r="P23" s="237">
        <f t="shared" si="16"/>
        <v>77000</v>
      </c>
      <c r="Q23" s="275">
        <f t="shared" si="11"/>
        <v>7200</v>
      </c>
      <c r="R23" s="275">
        <f t="shared" si="12"/>
        <v>578</v>
      </c>
      <c r="S23" s="275">
        <f t="shared" si="13"/>
        <v>800</v>
      </c>
      <c r="T23" s="238">
        <f t="shared" si="14"/>
        <v>0</v>
      </c>
      <c r="U23" s="285">
        <f t="shared" si="17"/>
        <v>68422</v>
      </c>
      <c r="X23" s="33">
        <f>IFERROR(VLOOKUP($B23,Salary_Master!B23:AH57,25,)*12,"")</f>
        <v>225000</v>
      </c>
      <c r="Y23" s="285" cm="1">
        <f t="array" ref="Y23">IFERROR(_xlfn.IFS(X23&gt;1275000,(X23-1275000)*104%,X23&lt;=1275000,0),)</f>
        <v>0</v>
      </c>
    </row>
    <row r="24" spans="1:25" s="33" customFormat="1" ht="25.2" customHeight="1" x14ac:dyDescent="0.3">
      <c r="A24" s="240">
        <v>20</v>
      </c>
      <c r="B24" s="247" t="str">
        <f>IF(Salary_Master!B24="","",Salary_Master!B24)</f>
        <v>Yash Ghumre</v>
      </c>
      <c r="C24" s="236"/>
      <c r="D24" s="278">
        <f t="shared" si="0"/>
        <v>27000</v>
      </c>
      <c r="E24" s="280">
        <f t="shared" si="1"/>
        <v>27000</v>
      </c>
      <c r="F24" s="280">
        <f t="shared" si="2"/>
        <v>30000</v>
      </c>
      <c r="G24" s="280">
        <f t="shared" si="15"/>
        <v>30000</v>
      </c>
      <c r="H24" s="280">
        <f t="shared" si="3"/>
        <v>0</v>
      </c>
      <c r="I24" s="280">
        <f t="shared" si="4"/>
        <v>0</v>
      </c>
      <c r="J24" s="280">
        <f t="shared" si="5"/>
        <v>0</v>
      </c>
      <c r="K24" s="280">
        <f t="shared" si="6"/>
        <v>0</v>
      </c>
      <c r="L24" s="280">
        <f t="shared" si="7"/>
        <v>0</v>
      </c>
      <c r="M24" s="280">
        <f t="shared" si="8"/>
        <v>0</v>
      </c>
      <c r="N24" s="280">
        <f t="shared" si="9"/>
        <v>0</v>
      </c>
      <c r="O24" s="280">
        <f t="shared" si="10"/>
        <v>0</v>
      </c>
      <c r="P24" s="237">
        <f t="shared" si="16"/>
        <v>114000</v>
      </c>
      <c r="Q24" s="275">
        <f t="shared" si="11"/>
        <v>14400</v>
      </c>
      <c r="R24" s="275">
        <f t="shared" si="12"/>
        <v>0</v>
      </c>
      <c r="S24" s="275">
        <f t="shared" si="13"/>
        <v>800</v>
      </c>
      <c r="T24" s="238">
        <f t="shared" si="14"/>
        <v>0</v>
      </c>
      <c r="U24" s="285">
        <f t="shared" si="17"/>
        <v>98800</v>
      </c>
      <c r="X24" s="33">
        <f>IFERROR(VLOOKUP($B24,Salary_Master!B24:AH58,25,)*12,"")</f>
        <v>324000</v>
      </c>
      <c r="Y24" s="285" cm="1">
        <f t="array" ref="Y24">IFERROR(_xlfn.IFS(X24&gt;1275000,(X24-1275000)*104%,X24&lt;=1275000,0),)</f>
        <v>0</v>
      </c>
    </row>
    <row r="25" spans="1:25" s="45" customFormat="1" ht="25.2" customHeight="1" x14ac:dyDescent="0.3">
      <c r="A25" s="235">
        <v>21</v>
      </c>
      <c r="B25" s="247" t="str">
        <f>IF(Salary_Master!B25="","",Salary_Master!B25)</f>
        <v>Shivraj Mahajan</v>
      </c>
      <c r="C25" s="236"/>
      <c r="D25" s="278">
        <f t="shared" si="0"/>
        <v>35000</v>
      </c>
      <c r="E25" s="280">
        <f t="shared" si="1"/>
        <v>35000</v>
      </c>
      <c r="F25" s="280">
        <f t="shared" si="2"/>
        <v>37500</v>
      </c>
      <c r="G25" s="280">
        <f t="shared" si="15"/>
        <v>37500</v>
      </c>
      <c r="H25" s="280">
        <f t="shared" si="3"/>
        <v>0</v>
      </c>
      <c r="I25" s="280">
        <f t="shared" si="4"/>
        <v>0</v>
      </c>
      <c r="J25" s="280">
        <f t="shared" si="5"/>
        <v>0</v>
      </c>
      <c r="K25" s="280">
        <f t="shared" si="6"/>
        <v>0</v>
      </c>
      <c r="L25" s="280">
        <f t="shared" si="7"/>
        <v>0</v>
      </c>
      <c r="M25" s="280">
        <f t="shared" si="8"/>
        <v>0</v>
      </c>
      <c r="N25" s="280">
        <f t="shared" si="9"/>
        <v>0</v>
      </c>
      <c r="O25" s="280">
        <f t="shared" si="10"/>
        <v>0</v>
      </c>
      <c r="P25" s="237">
        <f t="shared" si="16"/>
        <v>145000</v>
      </c>
      <c r="Q25" s="275">
        <f t="shared" si="11"/>
        <v>14400</v>
      </c>
      <c r="R25" s="275">
        <f t="shared" si="12"/>
        <v>0</v>
      </c>
      <c r="S25" s="275">
        <f t="shared" si="13"/>
        <v>800</v>
      </c>
      <c r="T25" s="238">
        <f t="shared" si="14"/>
        <v>0</v>
      </c>
      <c r="U25" s="285">
        <f t="shared" si="17"/>
        <v>129800</v>
      </c>
      <c r="X25" s="33">
        <f>IFERROR(VLOOKUP($B25,Salary_Master!B25:AH59,25,)*12,"")</f>
        <v>420000</v>
      </c>
      <c r="Y25" s="285" cm="1">
        <f t="array" ref="Y25">IFERROR(_xlfn.IFS(X25&gt;1275000,(X25-1275000)*104%,X25&lt;=1275000,0),)</f>
        <v>0</v>
      </c>
    </row>
    <row r="26" spans="1:25" s="33" customFormat="1" ht="25.2" customHeight="1" x14ac:dyDescent="0.3">
      <c r="A26" s="235">
        <v>22</v>
      </c>
      <c r="B26" s="247" t="str">
        <f>IF(Salary_Master!B26="","",Salary_Master!B26)</f>
        <v>Akash Gholap</v>
      </c>
      <c r="C26" s="239"/>
      <c r="D26" s="278">
        <f t="shared" si="0"/>
        <v>31800</v>
      </c>
      <c r="E26" s="280">
        <f t="shared" si="1"/>
        <v>31800</v>
      </c>
      <c r="F26" s="280">
        <f t="shared" si="2"/>
        <v>34300</v>
      </c>
      <c r="G26" s="280">
        <f t="shared" si="15"/>
        <v>25413</v>
      </c>
      <c r="H26" s="280">
        <f t="shared" si="3"/>
        <v>0</v>
      </c>
      <c r="I26" s="280">
        <f t="shared" si="4"/>
        <v>0</v>
      </c>
      <c r="J26" s="280">
        <f t="shared" si="5"/>
        <v>0</v>
      </c>
      <c r="K26" s="280">
        <f t="shared" si="6"/>
        <v>0</v>
      </c>
      <c r="L26" s="280">
        <f t="shared" si="7"/>
        <v>0</v>
      </c>
      <c r="M26" s="280">
        <f t="shared" si="8"/>
        <v>0</v>
      </c>
      <c r="N26" s="280">
        <f t="shared" si="9"/>
        <v>0</v>
      </c>
      <c r="O26" s="280">
        <f t="shared" si="10"/>
        <v>0</v>
      </c>
      <c r="P26" s="237">
        <f t="shared" si="16"/>
        <v>123313</v>
      </c>
      <c r="Q26" s="275">
        <f t="shared" si="11"/>
        <v>14400</v>
      </c>
      <c r="R26" s="275">
        <f t="shared" si="12"/>
        <v>0</v>
      </c>
      <c r="S26" s="275">
        <f t="shared" si="13"/>
        <v>800</v>
      </c>
      <c r="T26" s="238">
        <f t="shared" si="14"/>
        <v>0</v>
      </c>
      <c r="U26" s="285">
        <f t="shared" si="17"/>
        <v>108113</v>
      </c>
      <c r="X26" s="33">
        <f>IFERROR(VLOOKUP($B26,Salary_Master!B26:AH60,25,)*12,"")</f>
        <v>381600</v>
      </c>
      <c r="Y26" s="285" cm="1">
        <f t="array" ref="Y26">IFERROR(_xlfn.IFS(X26&gt;1275000,(X26-1275000)*104%,X26&lt;=1275000,0),)</f>
        <v>0</v>
      </c>
    </row>
    <row r="27" spans="1:25" s="33" customFormat="1" ht="25.2" customHeight="1" x14ac:dyDescent="0.3">
      <c r="A27" s="235">
        <v>23</v>
      </c>
      <c r="B27" s="247" t="str">
        <f>IF(Salary_Master!B27="","",Salary_Master!B27)</f>
        <v>Jatin Bhosale</v>
      </c>
      <c r="C27" s="236"/>
      <c r="D27" s="278">
        <f t="shared" si="0"/>
        <v>75000</v>
      </c>
      <c r="E27" s="280">
        <f t="shared" si="1"/>
        <v>75000</v>
      </c>
      <c r="F27" s="280">
        <f t="shared" si="2"/>
        <v>82500</v>
      </c>
      <c r="G27" s="280">
        <f t="shared" si="15"/>
        <v>82500</v>
      </c>
      <c r="H27" s="280">
        <f t="shared" si="3"/>
        <v>0</v>
      </c>
      <c r="I27" s="280">
        <f t="shared" si="4"/>
        <v>0</v>
      </c>
      <c r="J27" s="280">
        <f t="shared" si="5"/>
        <v>0</v>
      </c>
      <c r="K27" s="280">
        <f t="shared" si="6"/>
        <v>0</v>
      </c>
      <c r="L27" s="280">
        <f t="shared" si="7"/>
        <v>0</v>
      </c>
      <c r="M27" s="280">
        <f t="shared" si="8"/>
        <v>0</v>
      </c>
      <c r="N27" s="280">
        <f t="shared" si="9"/>
        <v>0</v>
      </c>
      <c r="O27" s="280">
        <f t="shared" si="10"/>
        <v>0</v>
      </c>
      <c r="P27" s="237">
        <f t="shared" si="16"/>
        <v>315000</v>
      </c>
      <c r="Q27" s="275">
        <f t="shared" si="11"/>
        <v>14400</v>
      </c>
      <c r="R27" s="275">
        <f t="shared" si="12"/>
        <v>0</v>
      </c>
      <c r="S27" s="275">
        <f t="shared" si="13"/>
        <v>800</v>
      </c>
      <c r="T27" s="238">
        <f t="shared" si="14"/>
        <v>0</v>
      </c>
      <c r="U27" s="285">
        <f t="shared" si="17"/>
        <v>299800</v>
      </c>
      <c r="X27" s="33">
        <f>IFERROR(VLOOKUP($B27,Salary_Master!B27:AH61,25,)*12,"")</f>
        <v>900000</v>
      </c>
      <c r="Y27" s="285" cm="1">
        <f t="array" ref="Y27">IFERROR(_xlfn.IFS(X27&gt;1275000,(X27-1275000)*104%,X27&lt;=1275000,0),)</f>
        <v>0</v>
      </c>
    </row>
    <row r="28" spans="1:25" s="33" customFormat="1" ht="25.2" customHeight="1" x14ac:dyDescent="0.3">
      <c r="A28" s="235">
        <v>24</v>
      </c>
      <c r="B28" s="247" t="str">
        <f>IF(Salary_Master!B28="","",Salary_Master!B28)</f>
        <v>Pratik Lotankar</v>
      </c>
      <c r="C28" s="239"/>
      <c r="D28" s="278">
        <f t="shared" si="0"/>
        <v>71000</v>
      </c>
      <c r="E28" s="280">
        <f t="shared" si="1"/>
        <v>71000</v>
      </c>
      <c r="F28" s="280">
        <f t="shared" si="2"/>
        <v>78500</v>
      </c>
      <c r="G28" s="280">
        <f t="shared" si="15"/>
        <v>78500</v>
      </c>
      <c r="H28" s="280">
        <f t="shared" si="3"/>
        <v>0</v>
      </c>
      <c r="I28" s="280">
        <f t="shared" si="4"/>
        <v>0</v>
      </c>
      <c r="J28" s="280">
        <f t="shared" si="5"/>
        <v>0</v>
      </c>
      <c r="K28" s="280">
        <f t="shared" si="6"/>
        <v>0</v>
      </c>
      <c r="L28" s="280">
        <f t="shared" si="7"/>
        <v>0</v>
      </c>
      <c r="M28" s="280">
        <f t="shared" si="8"/>
        <v>0</v>
      </c>
      <c r="N28" s="280">
        <f t="shared" si="9"/>
        <v>0</v>
      </c>
      <c r="O28" s="280">
        <f t="shared" si="10"/>
        <v>0</v>
      </c>
      <c r="P28" s="237">
        <f t="shared" si="16"/>
        <v>299000</v>
      </c>
      <c r="Q28" s="275">
        <f t="shared" si="11"/>
        <v>14400</v>
      </c>
      <c r="R28" s="275">
        <f t="shared" si="12"/>
        <v>0</v>
      </c>
      <c r="S28" s="275">
        <f t="shared" si="13"/>
        <v>800</v>
      </c>
      <c r="T28" s="238">
        <f t="shared" si="14"/>
        <v>0</v>
      </c>
      <c r="U28" s="285">
        <f t="shared" si="17"/>
        <v>283800</v>
      </c>
      <c r="X28" s="33">
        <f>IFERROR(VLOOKUP($B28,Salary_Master!B28:AH62,25,)*12,"")</f>
        <v>852000</v>
      </c>
      <c r="Y28" s="285" cm="1">
        <f t="array" ref="Y28">IFERROR(_xlfn.IFS(X28&gt;1275000,(X28-1275000)*104%,X28&lt;=1275000,0),)</f>
        <v>0</v>
      </c>
    </row>
    <row r="29" spans="1:25" s="45" customFormat="1" ht="25.2" customHeight="1" x14ac:dyDescent="0.3">
      <c r="A29" s="240">
        <v>25</v>
      </c>
      <c r="B29" s="247" t="str">
        <f>IF(Salary_Master!B29="","",Salary_Master!B29)</f>
        <v>Jyoti Sawant</v>
      </c>
      <c r="C29" s="236"/>
      <c r="D29" s="278">
        <f t="shared" si="0"/>
        <v>31000</v>
      </c>
      <c r="E29" s="280">
        <f t="shared" si="1"/>
        <v>31000</v>
      </c>
      <c r="F29" s="280">
        <f t="shared" si="2"/>
        <v>32500</v>
      </c>
      <c r="G29" s="280">
        <f t="shared" si="15"/>
        <v>32500</v>
      </c>
      <c r="H29" s="280">
        <f t="shared" si="3"/>
        <v>0</v>
      </c>
      <c r="I29" s="280">
        <f t="shared" si="4"/>
        <v>0</v>
      </c>
      <c r="J29" s="280">
        <f t="shared" si="5"/>
        <v>0</v>
      </c>
      <c r="K29" s="280">
        <f t="shared" si="6"/>
        <v>0</v>
      </c>
      <c r="L29" s="280">
        <f t="shared" si="7"/>
        <v>0</v>
      </c>
      <c r="M29" s="280">
        <f t="shared" si="8"/>
        <v>0</v>
      </c>
      <c r="N29" s="280">
        <f t="shared" si="9"/>
        <v>0</v>
      </c>
      <c r="O29" s="280">
        <f t="shared" si="10"/>
        <v>0</v>
      </c>
      <c r="P29" s="237">
        <f t="shared" si="16"/>
        <v>127000</v>
      </c>
      <c r="Q29" s="275">
        <f t="shared" si="11"/>
        <v>14400</v>
      </c>
      <c r="R29" s="275">
        <f t="shared" si="12"/>
        <v>0</v>
      </c>
      <c r="S29" s="275">
        <f t="shared" si="13"/>
        <v>800</v>
      </c>
      <c r="T29" s="238">
        <f t="shared" si="14"/>
        <v>0</v>
      </c>
      <c r="U29" s="285">
        <f t="shared" si="17"/>
        <v>111800</v>
      </c>
      <c r="X29" s="33">
        <f>IFERROR(VLOOKUP($B29,Salary_Master!B29:AH63,25,)*12,"")</f>
        <v>372000</v>
      </c>
      <c r="Y29" s="285" cm="1">
        <f t="array" ref="Y29">IFERROR(_xlfn.IFS(X29&gt;1275000,(X29-1275000)*104%,X29&lt;=1275000,0),)</f>
        <v>0</v>
      </c>
    </row>
    <row r="30" spans="1:25" s="33" customFormat="1" ht="25.2" customHeight="1" x14ac:dyDescent="0.3">
      <c r="A30" s="235">
        <v>26</v>
      </c>
      <c r="B30" s="247" t="str">
        <f>IF(Salary_Master!B30="","",Salary_Master!B30)</f>
        <v>Deepu Raj</v>
      </c>
      <c r="C30" s="239"/>
      <c r="D30" s="278">
        <f t="shared" si="0"/>
        <v>35000</v>
      </c>
      <c r="E30" s="280">
        <f t="shared" si="1"/>
        <v>35000</v>
      </c>
      <c r="F30" s="280">
        <f t="shared" si="2"/>
        <v>37000</v>
      </c>
      <c r="G30" s="280">
        <f t="shared" si="15"/>
        <v>37000</v>
      </c>
      <c r="H30" s="280">
        <f t="shared" si="3"/>
        <v>0</v>
      </c>
      <c r="I30" s="280">
        <f t="shared" si="4"/>
        <v>0</v>
      </c>
      <c r="J30" s="280">
        <f t="shared" si="5"/>
        <v>0</v>
      </c>
      <c r="K30" s="280">
        <f t="shared" si="6"/>
        <v>0</v>
      </c>
      <c r="L30" s="280">
        <f t="shared" si="7"/>
        <v>0</v>
      </c>
      <c r="M30" s="280">
        <f t="shared" si="8"/>
        <v>0</v>
      </c>
      <c r="N30" s="280">
        <f t="shared" si="9"/>
        <v>0</v>
      </c>
      <c r="O30" s="280">
        <f t="shared" si="10"/>
        <v>0</v>
      </c>
      <c r="P30" s="237">
        <f t="shared" si="16"/>
        <v>144000</v>
      </c>
      <c r="Q30" s="275">
        <f t="shared" si="11"/>
        <v>0</v>
      </c>
      <c r="R30" s="275">
        <f t="shared" si="12"/>
        <v>0</v>
      </c>
      <c r="S30" s="275">
        <f t="shared" si="13"/>
        <v>800</v>
      </c>
      <c r="T30" s="238">
        <f t="shared" si="14"/>
        <v>0</v>
      </c>
      <c r="U30" s="285">
        <f t="shared" si="17"/>
        <v>143200</v>
      </c>
      <c r="X30" s="33">
        <f>IFERROR(VLOOKUP($B30,Salary_Master!B30:AH64,25,)*12,"")</f>
        <v>420000</v>
      </c>
      <c r="Y30" s="285" cm="1">
        <f t="array" ref="Y30">IFERROR(_xlfn.IFS(X30&gt;1275000,(X30-1275000)*104%,X30&lt;=1275000,0),)</f>
        <v>0</v>
      </c>
    </row>
    <row r="31" spans="1:25" s="33" customFormat="1" ht="25.2" customHeight="1" x14ac:dyDescent="0.3">
      <c r="A31" s="235">
        <v>27</v>
      </c>
      <c r="B31" s="247" t="str">
        <f>IF(Salary_Master!B31="","",Salary_Master!B31)</f>
        <v xml:space="preserve">Vicky Kumar </v>
      </c>
      <c r="C31" s="239"/>
      <c r="D31" s="278">
        <f t="shared" si="0"/>
        <v>23000</v>
      </c>
      <c r="E31" s="280">
        <f t="shared" si="1"/>
        <v>23000</v>
      </c>
      <c r="F31" s="280">
        <f t="shared" si="2"/>
        <v>25000</v>
      </c>
      <c r="G31" s="280">
        <f t="shared" si="15"/>
        <v>25000</v>
      </c>
      <c r="H31" s="280">
        <f t="shared" si="3"/>
        <v>0</v>
      </c>
      <c r="I31" s="280">
        <f t="shared" si="4"/>
        <v>0</v>
      </c>
      <c r="J31" s="280">
        <f t="shared" si="5"/>
        <v>0</v>
      </c>
      <c r="K31" s="280">
        <f t="shared" si="6"/>
        <v>0</v>
      </c>
      <c r="L31" s="280">
        <f t="shared" si="7"/>
        <v>0</v>
      </c>
      <c r="M31" s="280">
        <f t="shared" si="8"/>
        <v>0</v>
      </c>
      <c r="N31" s="280">
        <f t="shared" si="9"/>
        <v>0</v>
      </c>
      <c r="O31" s="280">
        <f t="shared" si="10"/>
        <v>0</v>
      </c>
      <c r="P31" s="237">
        <f t="shared" si="16"/>
        <v>96000</v>
      </c>
      <c r="Q31" s="275">
        <f t="shared" si="11"/>
        <v>14400</v>
      </c>
      <c r="R31" s="275">
        <f t="shared" si="12"/>
        <v>0</v>
      </c>
      <c r="S31" s="275">
        <f t="shared" si="13"/>
        <v>800</v>
      </c>
      <c r="T31" s="238">
        <f t="shared" si="14"/>
        <v>0</v>
      </c>
      <c r="U31" s="285">
        <f t="shared" si="17"/>
        <v>80800</v>
      </c>
      <c r="X31" s="33">
        <f>IFERROR(VLOOKUP($B31,Salary_Master!B31:AH65,25,)*12,"")</f>
        <v>276000</v>
      </c>
      <c r="Y31" s="285" cm="1">
        <f t="array" ref="Y31">IFERROR(_xlfn.IFS(X31&gt;1275000,(X31-1275000)*104%,X31&lt;=1275000,0),)</f>
        <v>0</v>
      </c>
    </row>
    <row r="32" spans="1:25" s="45" customFormat="1" ht="25.2" customHeight="1" x14ac:dyDescent="0.3">
      <c r="A32" s="240">
        <v>28</v>
      </c>
      <c r="B32" s="247" t="str">
        <f>IF(Salary_Master!B32="","",Salary_Master!B32)</f>
        <v>Waman Bandekar</v>
      </c>
      <c r="C32" s="236"/>
      <c r="D32" s="278">
        <f t="shared" si="0"/>
        <v>20000</v>
      </c>
      <c r="E32" s="280">
        <f t="shared" si="1"/>
        <v>20000</v>
      </c>
      <c r="F32" s="280">
        <f t="shared" si="2"/>
        <v>20000</v>
      </c>
      <c r="G32" s="280">
        <f t="shared" si="15"/>
        <v>20000</v>
      </c>
      <c r="H32" s="280">
        <f t="shared" si="3"/>
        <v>0</v>
      </c>
      <c r="I32" s="280">
        <f t="shared" si="4"/>
        <v>0</v>
      </c>
      <c r="J32" s="280">
        <f t="shared" si="5"/>
        <v>0</v>
      </c>
      <c r="K32" s="280">
        <f t="shared" si="6"/>
        <v>0</v>
      </c>
      <c r="L32" s="280">
        <f t="shared" si="7"/>
        <v>0</v>
      </c>
      <c r="M32" s="280">
        <f t="shared" si="8"/>
        <v>0</v>
      </c>
      <c r="N32" s="280">
        <f t="shared" si="9"/>
        <v>0</v>
      </c>
      <c r="O32" s="280">
        <f t="shared" si="10"/>
        <v>0</v>
      </c>
      <c r="P32" s="237">
        <f t="shared" si="16"/>
        <v>80000</v>
      </c>
      <c r="Q32" s="275">
        <f t="shared" si="11"/>
        <v>14400</v>
      </c>
      <c r="R32" s="275">
        <f t="shared" si="12"/>
        <v>3200</v>
      </c>
      <c r="S32" s="275">
        <f t="shared" si="13"/>
        <v>800</v>
      </c>
      <c r="T32" s="238">
        <f t="shared" si="14"/>
        <v>0</v>
      </c>
      <c r="U32" s="285">
        <f t="shared" si="17"/>
        <v>61600</v>
      </c>
      <c r="X32" s="33">
        <f>IFERROR(VLOOKUP($B32,Salary_Master!B32:AH66,25,)*12,"")</f>
        <v>240000</v>
      </c>
      <c r="Y32" s="285" cm="1">
        <f t="array" ref="Y32">IFERROR(_xlfn.IFS(X32&gt;1275000,(X32-1275000)*104%,X32&lt;=1275000,0),)</f>
        <v>0</v>
      </c>
    </row>
    <row r="33" spans="1:42" s="45" customFormat="1" ht="25.2" customHeight="1" x14ac:dyDescent="0.3">
      <c r="A33" s="240">
        <v>29</v>
      </c>
      <c r="B33" s="247" t="str">
        <f>IF(Salary_Master!B33="","",Salary_Master!B33)</f>
        <v/>
      </c>
      <c r="C33" s="236"/>
      <c r="D33" s="278">
        <f t="shared" si="0"/>
        <v>0</v>
      </c>
      <c r="E33" s="280">
        <f t="shared" si="1"/>
        <v>0</v>
      </c>
      <c r="F33" s="280">
        <f t="shared" si="2"/>
        <v>0</v>
      </c>
      <c r="G33" s="280">
        <f t="shared" si="15"/>
        <v>0</v>
      </c>
      <c r="H33" s="280">
        <f t="shared" si="3"/>
        <v>0</v>
      </c>
      <c r="I33" s="280">
        <f t="shared" si="4"/>
        <v>0</v>
      </c>
      <c r="J33" s="280">
        <f t="shared" si="5"/>
        <v>0</v>
      </c>
      <c r="K33" s="280">
        <f t="shared" si="6"/>
        <v>0</v>
      </c>
      <c r="L33" s="280">
        <f t="shared" si="7"/>
        <v>0</v>
      </c>
      <c r="M33" s="280">
        <f t="shared" si="8"/>
        <v>0</v>
      </c>
      <c r="N33" s="280">
        <f t="shared" si="9"/>
        <v>0</v>
      </c>
      <c r="O33" s="280">
        <f t="shared" si="10"/>
        <v>0</v>
      </c>
      <c r="P33" s="237">
        <f t="shared" si="16"/>
        <v>0</v>
      </c>
      <c r="Q33" s="275" t="e">
        <f t="shared" si="11"/>
        <v>#VALUE!</v>
      </c>
      <c r="R33" s="275" t="e">
        <f t="shared" si="12"/>
        <v>#VALUE!</v>
      </c>
      <c r="S33" s="275">
        <f t="shared" si="13"/>
        <v>0</v>
      </c>
      <c r="T33" s="238">
        <f t="shared" si="14"/>
        <v>0</v>
      </c>
      <c r="U33" s="285" t="str">
        <f t="shared" si="17"/>
        <v/>
      </c>
      <c r="X33" s="33" t="str">
        <f>IFERROR(VLOOKUP($B33,Salary_Master!B33:AH67,25,)*12,"")</f>
        <v/>
      </c>
      <c r="Y33" s="285" cm="1">
        <f t="array" ref="Y33">IFERROR(_xlfn.IFS(X33&gt;1275000,(X33-1275000)*104%,X33&lt;=1275000,0),)</f>
        <v>0</v>
      </c>
    </row>
    <row r="34" spans="1:42" s="45" customFormat="1" ht="25.2" customHeight="1" x14ac:dyDescent="0.3">
      <c r="A34" s="240">
        <v>30</v>
      </c>
      <c r="B34" s="247" t="str">
        <f>IF(Salary_Master!B34="","",Salary_Master!B34)</f>
        <v/>
      </c>
      <c r="C34" s="236"/>
      <c r="D34" s="278">
        <f t="shared" si="0"/>
        <v>0</v>
      </c>
      <c r="E34" s="280">
        <f t="shared" si="1"/>
        <v>0</v>
      </c>
      <c r="F34" s="280">
        <f t="shared" si="2"/>
        <v>0</v>
      </c>
      <c r="G34" s="280">
        <f t="shared" si="15"/>
        <v>0</v>
      </c>
      <c r="H34" s="280">
        <f t="shared" si="3"/>
        <v>0</v>
      </c>
      <c r="I34" s="280">
        <f t="shared" si="4"/>
        <v>0</v>
      </c>
      <c r="J34" s="280">
        <f t="shared" si="5"/>
        <v>0</v>
      </c>
      <c r="K34" s="280">
        <f t="shared" si="6"/>
        <v>0</v>
      </c>
      <c r="L34" s="280">
        <f t="shared" si="7"/>
        <v>0</v>
      </c>
      <c r="M34" s="280">
        <f t="shared" si="8"/>
        <v>0</v>
      </c>
      <c r="N34" s="280">
        <f t="shared" si="9"/>
        <v>0</v>
      </c>
      <c r="O34" s="280">
        <f t="shared" si="10"/>
        <v>0</v>
      </c>
      <c r="P34" s="237">
        <f t="shared" si="16"/>
        <v>0</v>
      </c>
      <c r="Q34" s="275" t="e">
        <f t="shared" si="11"/>
        <v>#VALUE!</v>
      </c>
      <c r="R34" s="275" t="e">
        <f t="shared" si="12"/>
        <v>#VALUE!</v>
      </c>
      <c r="S34" s="275">
        <f t="shared" si="13"/>
        <v>0</v>
      </c>
      <c r="T34" s="238">
        <f t="shared" si="14"/>
        <v>0</v>
      </c>
      <c r="U34" s="285" t="str">
        <f t="shared" si="17"/>
        <v/>
      </c>
      <c r="X34" s="33" t="str">
        <f>IFERROR(VLOOKUP($B34,Salary_Master!B34:AH68,25,)*12,"")</f>
        <v/>
      </c>
      <c r="Y34" s="285" cm="1">
        <f t="array" ref="Y34">IFERROR(_xlfn.IFS(X34&gt;1275000,(X34-1275000)*104%,X34&lt;=1275000,0),)</f>
        <v>0</v>
      </c>
    </row>
    <row r="35" spans="1:42" s="45" customFormat="1" ht="25.2" customHeight="1" x14ac:dyDescent="0.3">
      <c r="A35" s="240">
        <v>31</v>
      </c>
      <c r="B35" s="247" t="str">
        <f>IF(Salary_Master!B35="","",Salary_Master!B35)</f>
        <v/>
      </c>
      <c r="C35" s="236"/>
      <c r="D35" s="278">
        <f t="shared" si="0"/>
        <v>0</v>
      </c>
      <c r="E35" s="280">
        <f t="shared" si="1"/>
        <v>0</v>
      </c>
      <c r="F35" s="280">
        <f t="shared" si="2"/>
        <v>0</v>
      </c>
      <c r="G35" s="280">
        <f t="shared" si="15"/>
        <v>0</v>
      </c>
      <c r="H35" s="280">
        <f t="shared" si="3"/>
        <v>0</v>
      </c>
      <c r="I35" s="280">
        <f t="shared" si="4"/>
        <v>0</v>
      </c>
      <c r="J35" s="280">
        <f t="shared" si="5"/>
        <v>0</v>
      </c>
      <c r="K35" s="280">
        <f t="shared" si="6"/>
        <v>0</v>
      </c>
      <c r="L35" s="280">
        <f t="shared" si="7"/>
        <v>0</v>
      </c>
      <c r="M35" s="280">
        <f t="shared" si="8"/>
        <v>0</v>
      </c>
      <c r="N35" s="280">
        <f t="shared" si="9"/>
        <v>0</v>
      </c>
      <c r="O35" s="280">
        <f t="shared" si="10"/>
        <v>0</v>
      </c>
      <c r="P35" s="237">
        <f t="shared" si="16"/>
        <v>0</v>
      </c>
      <c r="Q35" s="275" t="e">
        <f t="shared" si="11"/>
        <v>#VALUE!</v>
      </c>
      <c r="R35" s="275" t="e">
        <f t="shared" si="12"/>
        <v>#VALUE!</v>
      </c>
      <c r="S35" s="275">
        <f t="shared" si="13"/>
        <v>0</v>
      </c>
      <c r="T35" s="238">
        <f t="shared" si="14"/>
        <v>0</v>
      </c>
      <c r="U35" s="285" t="str">
        <f t="shared" si="17"/>
        <v/>
      </c>
      <c r="X35" s="33" t="str">
        <f>IFERROR(VLOOKUP($B35,Salary_Master!B35:AH69,25,)*12,"")</f>
        <v/>
      </c>
      <c r="Y35" s="285" cm="1">
        <f t="array" ref="Y35">IFERROR(_xlfn.IFS(X35&gt;1275000,(X35-1275000)*104%,X35&lt;=1275000,0),)</f>
        <v>0</v>
      </c>
    </row>
    <row r="36" spans="1:42" s="45" customFormat="1" ht="25.2" customHeight="1" x14ac:dyDescent="0.3">
      <c r="A36" s="240">
        <v>32</v>
      </c>
      <c r="B36" s="247" t="str">
        <f>IF(Salary_Master!B36="","",Salary_Master!B36)</f>
        <v/>
      </c>
      <c r="C36" s="236"/>
      <c r="D36" s="278">
        <f t="shared" si="0"/>
        <v>0</v>
      </c>
      <c r="E36" s="280">
        <f t="shared" si="1"/>
        <v>0</v>
      </c>
      <c r="F36" s="280">
        <f t="shared" si="2"/>
        <v>0</v>
      </c>
      <c r="G36" s="280">
        <f t="shared" si="15"/>
        <v>0</v>
      </c>
      <c r="H36" s="280">
        <f t="shared" si="3"/>
        <v>0</v>
      </c>
      <c r="I36" s="280">
        <f t="shared" si="4"/>
        <v>0</v>
      </c>
      <c r="J36" s="280">
        <f t="shared" si="5"/>
        <v>0</v>
      </c>
      <c r="K36" s="280">
        <f t="shared" si="6"/>
        <v>0</v>
      </c>
      <c r="L36" s="280">
        <f t="shared" si="7"/>
        <v>0</v>
      </c>
      <c r="M36" s="280">
        <f t="shared" si="8"/>
        <v>0</v>
      </c>
      <c r="N36" s="280">
        <f t="shared" si="9"/>
        <v>0</v>
      </c>
      <c r="O36" s="280">
        <f t="shared" si="10"/>
        <v>0</v>
      </c>
      <c r="P36" s="237">
        <f t="shared" si="16"/>
        <v>0</v>
      </c>
      <c r="Q36" s="275" t="e">
        <f t="shared" si="11"/>
        <v>#VALUE!</v>
      </c>
      <c r="R36" s="275" t="e">
        <f t="shared" si="12"/>
        <v>#VALUE!</v>
      </c>
      <c r="S36" s="275">
        <f t="shared" si="13"/>
        <v>0</v>
      </c>
      <c r="T36" s="238">
        <f t="shared" si="14"/>
        <v>0</v>
      </c>
      <c r="U36" s="285" t="str">
        <f t="shared" si="17"/>
        <v/>
      </c>
      <c r="X36" s="33" t="str">
        <f>IFERROR(VLOOKUP($B36,Salary_Master!B36:AH70,25,)*12,"")</f>
        <v/>
      </c>
      <c r="Y36" s="285" cm="1">
        <f t="array" ref="Y36">IFERROR(_xlfn.IFS(X36&gt;1275000,(X36-1275000)*104%,X36&lt;=1275000,0),)</f>
        <v>0</v>
      </c>
    </row>
    <row r="37" spans="1:42" s="45" customFormat="1" ht="25.2" customHeight="1" x14ac:dyDescent="0.3">
      <c r="A37" s="240">
        <v>33</v>
      </c>
      <c r="B37" s="247" t="str">
        <f>IF(Salary_Master!B37="","",Salary_Master!B37)</f>
        <v/>
      </c>
      <c r="C37" s="236"/>
      <c r="D37" s="278">
        <f t="shared" si="0"/>
        <v>0</v>
      </c>
      <c r="E37" s="280">
        <f t="shared" si="1"/>
        <v>0</v>
      </c>
      <c r="F37" s="280">
        <f t="shared" si="2"/>
        <v>0</v>
      </c>
      <c r="G37" s="280">
        <f t="shared" si="15"/>
        <v>0</v>
      </c>
      <c r="H37" s="280">
        <f t="shared" si="3"/>
        <v>0</v>
      </c>
      <c r="I37" s="280">
        <f t="shared" si="4"/>
        <v>0</v>
      </c>
      <c r="J37" s="280">
        <f t="shared" si="5"/>
        <v>0</v>
      </c>
      <c r="K37" s="280">
        <f t="shared" si="6"/>
        <v>0</v>
      </c>
      <c r="L37" s="280">
        <f t="shared" si="7"/>
        <v>0</v>
      </c>
      <c r="M37" s="280">
        <f t="shared" si="8"/>
        <v>0</v>
      </c>
      <c r="N37" s="280">
        <f t="shared" si="9"/>
        <v>0</v>
      </c>
      <c r="O37" s="280">
        <f t="shared" si="10"/>
        <v>0</v>
      </c>
      <c r="P37" s="237">
        <f t="shared" si="16"/>
        <v>0</v>
      </c>
      <c r="Q37" s="275" t="e">
        <f t="shared" si="11"/>
        <v>#VALUE!</v>
      </c>
      <c r="R37" s="275" t="e">
        <f t="shared" si="12"/>
        <v>#VALUE!</v>
      </c>
      <c r="S37" s="275">
        <f t="shared" si="13"/>
        <v>0</v>
      </c>
      <c r="T37" s="238">
        <f t="shared" si="14"/>
        <v>0</v>
      </c>
      <c r="U37" s="285" t="str">
        <f t="shared" si="17"/>
        <v/>
      </c>
      <c r="X37" s="33" t="str">
        <f>IFERROR(VLOOKUP($B37,Salary_Master!B37:AH71,25,)*12,"")</f>
        <v/>
      </c>
      <c r="Y37" s="285" cm="1">
        <f t="array" ref="Y37">IFERROR(_xlfn.IFS(X37&gt;1275000,(X37-1275000)*104%,X37&lt;=1275000,0),)</f>
        <v>0</v>
      </c>
    </row>
    <row r="38" spans="1:42" s="45" customFormat="1" ht="25.2" customHeight="1" x14ac:dyDescent="0.3">
      <c r="A38" s="240">
        <v>34</v>
      </c>
      <c r="B38" s="247" t="str">
        <f>IF(Salary_Master!B38="","",Salary_Master!B38)</f>
        <v/>
      </c>
      <c r="C38" s="236"/>
      <c r="D38" s="278">
        <f t="shared" si="0"/>
        <v>0</v>
      </c>
      <c r="E38" s="280">
        <f t="shared" si="1"/>
        <v>0</v>
      </c>
      <c r="F38" s="280">
        <f t="shared" si="2"/>
        <v>0</v>
      </c>
      <c r="G38" s="280">
        <f t="shared" si="15"/>
        <v>0</v>
      </c>
      <c r="H38" s="280">
        <f t="shared" si="3"/>
        <v>0</v>
      </c>
      <c r="I38" s="280">
        <f t="shared" si="4"/>
        <v>0</v>
      </c>
      <c r="J38" s="280">
        <f t="shared" si="5"/>
        <v>0</v>
      </c>
      <c r="K38" s="280">
        <f t="shared" si="6"/>
        <v>0</v>
      </c>
      <c r="L38" s="280">
        <f t="shared" si="7"/>
        <v>0</v>
      </c>
      <c r="M38" s="280">
        <f t="shared" si="8"/>
        <v>0</v>
      </c>
      <c r="N38" s="280">
        <f t="shared" si="9"/>
        <v>0</v>
      </c>
      <c r="O38" s="280">
        <f t="shared" si="10"/>
        <v>0</v>
      </c>
      <c r="P38" s="237">
        <f t="shared" si="16"/>
        <v>0</v>
      </c>
      <c r="Q38" s="275" t="e">
        <f t="shared" si="11"/>
        <v>#VALUE!</v>
      </c>
      <c r="R38" s="275" t="e">
        <f t="shared" si="12"/>
        <v>#VALUE!</v>
      </c>
      <c r="S38" s="275">
        <f t="shared" si="13"/>
        <v>0</v>
      </c>
      <c r="T38" s="238">
        <f t="shared" si="14"/>
        <v>0</v>
      </c>
      <c r="U38" s="285" t="str">
        <f t="shared" si="17"/>
        <v/>
      </c>
      <c r="X38" s="33" t="str">
        <f>IFERROR(VLOOKUP($B38,Salary_Master!B38:AH72,25,)*12,"")</f>
        <v/>
      </c>
      <c r="Y38" s="285" cm="1">
        <f t="array" ref="Y38">IFERROR(_xlfn.IFS(X38&gt;1275000,(X38-1275000)*104%,X38&lt;=1275000,0),)</f>
        <v>0</v>
      </c>
    </row>
    <row r="39" spans="1:42" s="45" customFormat="1" ht="25.2" customHeight="1" thickBot="1" x14ac:dyDescent="0.35">
      <c r="A39" s="240">
        <v>35</v>
      </c>
      <c r="B39" s="259" t="str">
        <f>IF(Salary_Master!B39="","",Salary_Master!B39)</f>
        <v/>
      </c>
      <c r="C39" s="236"/>
      <c r="D39" s="278">
        <f t="shared" si="0"/>
        <v>0</v>
      </c>
      <c r="E39" s="281">
        <f t="shared" si="1"/>
        <v>0</v>
      </c>
      <c r="F39" s="281">
        <f t="shared" si="2"/>
        <v>0</v>
      </c>
      <c r="G39" s="281">
        <f t="shared" si="15"/>
        <v>0</v>
      </c>
      <c r="H39" s="281">
        <f t="shared" si="3"/>
        <v>0</v>
      </c>
      <c r="I39" s="281">
        <f t="shared" si="4"/>
        <v>0</v>
      </c>
      <c r="J39" s="281">
        <f t="shared" si="5"/>
        <v>0</v>
      </c>
      <c r="K39" s="281">
        <f t="shared" si="6"/>
        <v>0</v>
      </c>
      <c r="L39" s="281">
        <f t="shared" si="7"/>
        <v>0</v>
      </c>
      <c r="M39" s="281">
        <f t="shared" si="8"/>
        <v>0</v>
      </c>
      <c r="N39" s="281">
        <f t="shared" si="9"/>
        <v>0</v>
      </c>
      <c r="O39" s="281">
        <f t="shared" si="10"/>
        <v>0</v>
      </c>
      <c r="P39" s="272">
        <f t="shared" si="16"/>
        <v>0</v>
      </c>
      <c r="Q39" s="275" t="e">
        <f t="shared" si="11"/>
        <v>#VALUE!</v>
      </c>
      <c r="R39" s="275" t="e">
        <f t="shared" si="12"/>
        <v>#VALUE!</v>
      </c>
      <c r="S39" s="275">
        <f t="shared" si="13"/>
        <v>0</v>
      </c>
      <c r="T39" s="238">
        <f t="shared" si="14"/>
        <v>0</v>
      </c>
      <c r="U39" s="285" t="str">
        <f t="shared" si="17"/>
        <v/>
      </c>
      <c r="X39" s="33" t="str">
        <f>IFERROR(VLOOKUP($B39,Salary_Master!B39:AH73,25,)*12,"")</f>
        <v/>
      </c>
      <c r="Y39" s="285" cm="1">
        <f t="array" ref="Y39">IFERROR(_xlfn.IFS(X39&gt;1275000,(X39-1275000)*104%,X39&lt;=1275000,0),)</f>
        <v>0</v>
      </c>
    </row>
    <row r="40" spans="1:42" s="182" customFormat="1" ht="25.2" customHeight="1" thickBot="1" x14ac:dyDescent="0.35">
      <c r="A40" s="241"/>
      <c r="B40" s="242" t="s">
        <v>88</v>
      </c>
      <c r="C40" s="243"/>
      <c r="D40" s="244">
        <f t="shared" ref="D40:P40" si="18">SUM(D5:D39)</f>
        <v>1167918</v>
      </c>
      <c r="E40" s="244">
        <f t="shared" si="18"/>
        <v>1175500</v>
      </c>
      <c r="F40" s="244">
        <f t="shared" si="18"/>
        <v>1250300</v>
      </c>
      <c r="G40" s="244">
        <f t="shared" si="18"/>
        <v>1236252</v>
      </c>
      <c r="H40" s="244">
        <f t="shared" si="18"/>
        <v>0</v>
      </c>
      <c r="I40" s="244">
        <f t="shared" si="18"/>
        <v>0</v>
      </c>
      <c r="J40" s="244">
        <f t="shared" si="18"/>
        <v>0</v>
      </c>
      <c r="K40" s="244">
        <f t="shared" si="18"/>
        <v>0</v>
      </c>
      <c r="L40" s="244">
        <f t="shared" si="18"/>
        <v>0</v>
      </c>
      <c r="M40" s="244">
        <f t="shared" si="18"/>
        <v>0</v>
      </c>
      <c r="N40" s="244">
        <f t="shared" si="18"/>
        <v>0</v>
      </c>
      <c r="O40" s="244">
        <f t="shared" si="18"/>
        <v>0</v>
      </c>
      <c r="P40" s="250">
        <f t="shared" si="18"/>
        <v>4829970</v>
      </c>
      <c r="Q40" s="244" t="e">
        <f>SUM(Q5:Q39)</f>
        <v>#VALUE!</v>
      </c>
      <c r="R40" s="244" t="e">
        <f>SUM(R5:R39)</f>
        <v>#VALUE!</v>
      </c>
      <c r="S40" s="244">
        <f>SUM(S5:S39)</f>
        <v>21600</v>
      </c>
      <c r="T40" s="183">
        <f>SUM(T5:T32)</f>
        <v>0</v>
      </c>
      <c r="U40" s="249">
        <f>SUM(U5:U39)</f>
        <v>4616934</v>
      </c>
      <c r="W40" s="33"/>
      <c r="X40" s="33"/>
      <c r="Y40" s="282">
        <f>SUM(Y5:Y39)</f>
        <v>0</v>
      </c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</row>
  </sheetData>
  <dataValidations count="1">
    <dataValidation type="list" allowBlank="1" showInputMessage="1" showErrorMessage="1" sqref="C5:C39" xr:uid="{4498C216-89AC-43CA-812A-736CFADCCCAF}">
      <formula1>"Yes,No"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18</vt:i4>
      </vt:variant>
    </vt:vector>
  </HeadingPairs>
  <TitlesOfParts>
    <vt:vector size="37" baseType="lpstr">
      <vt:lpstr>Salary_Slip_Print_Mass</vt:lpstr>
      <vt:lpstr>Salary_Slip_Print_Single</vt:lpstr>
      <vt:lpstr>Salary_Master</vt:lpstr>
      <vt:lpstr>Salary_Master_1</vt:lpstr>
      <vt:lpstr>Salary_Master_2</vt:lpstr>
      <vt:lpstr>Apr'25</vt:lpstr>
      <vt:lpstr>May'25</vt:lpstr>
      <vt:lpstr>Increment</vt:lpstr>
      <vt:lpstr>Jun'25</vt:lpstr>
      <vt:lpstr>Jul'25</vt:lpstr>
      <vt:lpstr>Aug'25</vt:lpstr>
      <vt:lpstr>Sep'25</vt:lpstr>
      <vt:lpstr>Oct'25</vt:lpstr>
      <vt:lpstr>Nov'25</vt:lpstr>
      <vt:lpstr>Dec'25</vt:lpstr>
      <vt:lpstr>Jan'26</vt:lpstr>
      <vt:lpstr>Feb'26</vt:lpstr>
      <vt:lpstr>Mar'26</vt:lpstr>
      <vt:lpstr>Annual_Report</vt:lpstr>
      <vt:lpstr>Aprr25</vt:lpstr>
      <vt:lpstr>Augg25</vt:lpstr>
      <vt:lpstr>Decc25</vt:lpstr>
      <vt:lpstr>Febb26</vt:lpstr>
      <vt:lpstr>Increment</vt:lpstr>
      <vt:lpstr>Jann26</vt:lpstr>
      <vt:lpstr>Jull25</vt:lpstr>
      <vt:lpstr>Junn25</vt:lpstr>
      <vt:lpstr>Marr26</vt:lpstr>
      <vt:lpstr>Mayy25</vt:lpstr>
      <vt:lpstr>Novv25</vt:lpstr>
      <vt:lpstr>Octt25</vt:lpstr>
      <vt:lpstr>Salary_Slip_Print_Mass!Print_Area</vt:lpstr>
      <vt:lpstr>Salary_Slip_Print_Single!Print_Area</vt:lpstr>
      <vt:lpstr>Salary_Master</vt:lpstr>
      <vt:lpstr>Salary_Master_1</vt:lpstr>
      <vt:lpstr>Salary_Master_2</vt:lpstr>
      <vt:lpstr>Sepp25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Mahendra</dc:creator>
  <cp:lastModifiedBy>Salesco Manager</cp:lastModifiedBy>
  <cp:lastPrinted>2025-08-28T08:49:04Z</cp:lastPrinted>
  <dcterms:created xsi:type="dcterms:W3CDTF">2022-02-28T10:05:26Z</dcterms:created>
  <dcterms:modified xsi:type="dcterms:W3CDTF">2025-09-01T11:19:08Z</dcterms:modified>
</cp:coreProperties>
</file>